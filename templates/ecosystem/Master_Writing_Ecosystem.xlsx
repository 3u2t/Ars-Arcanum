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niverses &amp; Series" sheetId="3" state="visible" r:id="rId3"/>
    <sheet xmlns:r="http://schemas.openxmlformats.org/officeDocument/2006/relationships" name="My Books" sheetId="4" state="visible" r:id="rId4"/>
    <sheet xmlns:r="http://schemas.openxmlformats.org/officeDocument/2006/relationships" name="Daily Writing Log" sheetId="5" state="visible" r:id="rId5"/>
    <sheet xmlns:r="http://schemas.openxmlformats.org/officeDocument/2006/relationships" name="Calc" sheetId="6" state="visible" r:id="rId6"/>
    <sheet xmlns:r="http://schemas.openxmlformats.org/officeDocument/2006/relationships" name="Continuity &amp; Compilers" sheetId="7" state="visible" r:id="rId7"/>
    <sheet xmlns:r="http://schemas.openxmlformats.org/officeDocument/2006/relationships" name="World Bible &amp; Lore" sheetId="8" state="visible" r:id="rId8"/>
  </sheets>
  <definedNames>
    <definedName name="lst_Books">'My Books'!$B$5:$B$24</definedName>
    <definedName name="lst_BookTypes">Config!$E$5:$E$15</definedName>
    <definedName name="lst_Series">'Universes &amp; Series'!$A$5:$A$24</definedName>
    <definedName name="lst_Stages">Config!$F$5:$F$14</definedName>
    <definedName name="lst_Universes">Config!$G$5:$G$15</definedName>
    <definedName name="_xlnm.Print_Area" localSheetId="0">'Dashboard'!$A$1:$I$60</definedName>
    <definedName name="_xlnm.Print_Area" localSheetId="1">'Config'!$A$1:$O$33</definedName>
    <definedName name="_xlnm.Print_Area" localSheetId="2">'Universes &amp; Series'!$A$1:$I$44</definedName>
    <definedName name="_xlnm.Print_Area" localSheetId="3">'My Books'!$A$1:$R$44</definedName>
    <definedName name="_xlnm.Print_Area" localSheetId="4">'Daily Writing Log'!$A$1:$N$54</definedName>
    <definedName name="_xlnm.Print_Area" localSheetId="5">'Calc'!$A$1:$S$36</definedName>
    <definedName name="_xlnm.Print_Area" localSheetId="6">'Continuity &amp; Compilers'!$A$1:$M$49</definedName>
    <definedName name="_xlnm.Print_Area" localSheetId="7">'World Bible &amp; Lore'!$A$1:$L$49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\-mm\-dd"/>
    <numFmt numFmtId="166" formatCode="#,##0,\k"/>
    <numFmt numFmtId="167" formatCode="dd\-mmm\-yyyy"/>
    <numFmt numFmtId="168" formatCode="mmm\ d&quot;, &quot;yyyy"/>
    <numFmt numFmtId="169" formatCode="#,##0&quot; Days&quot;"/>
    <numFmt numFmtId="170" formatCode="0.00000"/>
  </numFmts>
  <fonts count="45">
    <font>
      <name val="Calibri"/>
      <charset val="1"/>
      <color rgb="FF000000"/>
      <sz val="11"/>
    </font>
    <font>
      <name val="Calibri"/>
      <charset val="1"/>
      <b val="1"/>
      <color rgb="FF301B92"/>
      <sz val="15"/>
    </font>
    <font>
      <name val="Calibri"/>
      <charset val="1"/>
      <i val="1"/>
      <color rgb="FF465469"/>
      <sz val="10"/>
    </font>
    <font>
      <name val="Calibri"/>
      <charset val="1"/>
      <b val="1"/>
      <color rgb="FFFFFFFF"/>
      <sz val="9"/>
    </font>
    <font>
      <name val="Calibri"/>
      <charset val="1"/>
      <b val="1"/>
      <color rgb="FFE65100"/>
      <sz val="16"/>
    </font>
    <font>
      <name val="Calibri"/>
      <charset val="1"/>
      <color rgb="FF5E35B0"/>
      <sz val="9"/>
    </font>
    <font>
      <name val="Calibri"/>
      <charset val="1"/>
      <b val="1"/>
      <color rgb="FF59337F"/>
      <sz val="9"/>
    </font>
    <font>
      <name val="Calibri"/>
      <charset val="1"/>
      <b val="1"/>
      <color rgb="FFFFFFFF"/>
      <sz val="10"/>
    </font>
    <font>
      <name val="Calibri"/>
      <charset val="1"/>
      <b val="1"/>
      <color rgb="FF1F2937"/>
      <sz val="10"/>
    </font>
    <font>
      <name val="Calibri"/>
      <charset val="1"/>
      <color rgb="FF1F2937"/>
      <sz val="10"/>
    </font>
    <font>
      <name val="Quattrocento Sans"/>
      <charset val="1"/>
      <b val="1"/>
      <color rgb="FFFFFFFF"/>
      <sz val="11"/>
    </font>
    <font>
      <name val="Quattrocento Sans"/>
      <charset val="1"/>
      <b val="1"/>
      <color rgb="FF1E3989"/>
      <sz val="10"/>
    </font>
    <font>
      <name val="Calibri"/>
      <charset val="1"/>
      <color rgb="FF1F2937"/>
      <sz val="9"/>
    </font>
    <font>
      <name val="Calibri"/>
      <charset val="1"/>
      <b val="1"/>
      <color rgb="FF301B92"/>
      <sz val="14"/>
    </font>
    <font>
      <name val="Calibri"/>
      <charset val="1"/>
      <b val="1"/>
      <color rgb="FF301B92"/>
      <sz val="10"/>
    </font>
    <font>
      <name val="Quattrocento Sans"/>
      <charset val="1"/>
      <b val="1"/>
      <color rgb="FF000000"/>
      <sz val="10"/>
    </font>
    <font>
      <name val="Quattrocento Sans"/>
      <charset val="1"/>
      <color rgb="FF000000"/>
      <sz val="10"/>
    </font>
    <font>
      <name val="Calibri"/>
      <charset val="1"/>
      <b val="1"/>
      <color rgb="FF49138B"/>
      <sz val="14"/>
    </font>
    <font>
      <name val="Calibri"/>
      <charset val="1"/>
      <i val="1"/>
      <color rgb="FF595959"/>
      <sz val="10"/>
    </font>
    <font>
      <name val="Calibri"/>
      <charset val="1"/>
      <b val="1"/>
      <color rgb="FF49138B"/>
      <sz val="10"/>
    </font>
    <font>
      <name val="Calibri"/>
      <charset val="1"/>
      <b val="1"/>
      <color rgb="FFBE360B"/>
      <sz val="14"/>
    </font>
    <font>
      <name val="Calibri"/>
      <charset val="1"/>
      <b val="1"/>
      <color rgb="FFB8330A"/>
      <sz val="10"/>
    </font>
    <font>
      <name val="Calibri"/>
      <charset val="1"/>
      <b val="1"/>
      <color rgb="FFE65100"/>
      <sz val="14"/>
    </font>
    <font>
      <name val="Calibri"/>
      <charset val="1"/>
      <b val="1"/>
      <color rgb="FF49138B"/>
      <sz val="9"/>
    </font>
    <font>
      <name val="Calibri"/>
      <charset val="1"/>
      <i val="1"/>
      <color rgb="FF595959"/>
      <sz val="9"/>
    </font>
    <font>
      <name val="Calibri"/>
      <charset val="1"/>
      <b val="1"/>
      <color rgb="FF33194C"/>
      <sz val="11"/>
    </font>
    <font>
      <name val="Calibri"/>
      <charset val="1"/>
      <color rgb="FF111827"/>
      <sz val="10"/>
    </font>
    <font>
      <name val="Calibri"/>
      <charset val="1"/>
      <b val="1"/>
      <color rgb="FF111827"/>
      <sz val="10"/>
    </font>
    <font>
      <name val="Calibri"/>
      <charset val="1"/>
      <b val="1"/>
      <color rgb="FF9A3412"/>
      <sz val="10"/>
    </font>
    <font>
      <name val="Calibri"/>
      <charset val="1"/>
      <b val="1"/>
      <color rgb="FF301B92"/>
      <sz val="13"/>
    </font>
    <font>
      <name val="Calibri"/>
      <charset val="1"/>
      <i val="1"/>
      <color rgb="FF465469"/>
      <sz val="9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15E59"/>
      <sz val="15"/>
    </font>
    <font>
      <name val="Calibri"/>
      <i val="1"/>
      <color rgb="00334155"/>
      <sz val="10"/>
    </font>
    <font>
      <name val="Calibri"/>
      <b val="1"/>
      <color rgb="000F766E"/>
      <sz val="15"/>
    </font>
    <font>
      <name val="Calibri"/>
      <color rgb="00115E59"/>
      <sz val="9"/>
    </font>
    <font>
      <name val="Calibri"/>
      <b val="1"/>
      <color rgb="00134E4A"/>
      <sz val="9"/>
    </font>
    <font>
      <name val="Calibri"/>
      <b val="1"/>
      <color rgb="00111827"/>
      <sz val="10"/>
    </font>
    <font>
      <name val="Calibri"/>
      <b val="1"/>
      <color rgb="00115E59"/>
      <sz val="10"/>
    </font>
    <font>
      <name val="Calibri"/>
      <b val="1"/>
      <color rgb="00312E81"/>
      <sz val="15"/>
    </font>
    <font>
      <name val="Calibri"/>
      <b val="1"/>
      <color rgb="003730A3"/>
      <sz val="15"/>
    </font>
    <font>
      <name val="Calibri"/>
      <color rgb="00312E81"/>
      <sz val="9"/>
    </font>
    <font>
      <name val="Calibri"/>
      <b val="1"/>
      <color rgb="001E1B4B"/>
      <sz val="9"/>
    </font>
    <font>
      <name val="Calibri"/>
      <b val="1"/>
      <color rgb="00312E81"/>
      <sz val="10"/>
    </font>
  </fonts>
  <fills count="33">
    <fill>
      <patternFill/>
    </fill>
    <fill>
      <patternFill patternType="gray125"/>
    </fill>
    <fill>
      <patternFill patternType="solid">
        <fgColor rgb="FFECE7F6"/>
        <bgColor rgb="FFF3E4F5"/>
      </patternFill>
    </fill>
    <fill>
      <patternFill patternType="solid">
        <fgColor rgb="FF49138B"/>
        <bgColor rgb="FF301B92"/>
      </patternFill>
    </fill>
    <fill>
      <patternFill patternType="solid">
        <fgColor rgb="FFFFFFFF"/>
        <bgColor rgb="FFFFFBF5"/>
      </patternFill>
    </fill>
    <fill>
      <patternFill patternType="solid">
        <fgColor rgb="FFF5EDF8"/>
        <bgColor rgb="FFF9F4FC"/>
      </patternFill>
    </fill>
    <fill>
      <patternFill patternType="solid">
        <fgColor rgb="FF1E3989"/>
        <bgColor rgb="FF301B92"/>
      </patternFill>
    </fill>
    <fill>
      <patternFill patternType="solid">
        <fgColor rgb="FFF8F9FB"/>
        <bgColor rgb="FFF8F5FB"/>
      </patternFill>
    </fill>
    <fill>
      <patternFill patternType="solid">
        <fgColor rgb="FFF0F5F8"/>
        <bgColor rgb="FFF8F5FB"/>
      </patternFill>
    </fill>
    <fill>
      <patternFill patternType="solid">
        <fgColor rgb="FF6A1B9A"/>
        <bgColor rgb="FF7A1FA1"/>
      </patternFill>
    </fill>
    <fill>
      <patternFill patternType="solid">
        <fgColor rgb="FFF3E4F5"/>
        <bgColor rgb="FFECE7F6"/>
      </patternFill>
    </fill>
    <fill>
      <patternFill patternType="solid">
        <fgColor rgb="FFF8F5FB"/>
        <bgColor rgb="FFF9F4FC"/>
      </patternFill>
    </fill>
    <fill>
      <patternFill patternType="solid">
        <fgColor rgb="FF3B1E54"/>
        <bgColor rgb="FF33194C"/>
      </patternFill>
    </fill>
    <fill>
      <patternFill patternType="solid">
        <fgColor rgb="FFFAE9E7"/>
        <bgColor rgb="FFFEE2E2"/>
      </patternFill>
    </fill>
    <fill>
      <patternFill patternType="solid">
        <fgColor rgb="FFB8330A"/>
        <bgColor rgb="FFBE360B"/>
      </patternFill>
    </fill>
    <fill>
      <patternFill patternType="solid">
        <fgColor rgb="FFFDF8F6"/>
        <bgColor rgb="FFFFFBF5"/>
      </patternFill>
    </fill>
    <fill>
      <patternFill patternType="solid">
        <fgColor rgb="FF7C2D12"/>
        <bgColor rgb="FF9A3412"/>
      </patternFill>
    </fill>
    <fill>
      <patternFill patternType="solid">
        <fgColor rgb="FFFFF3DF"/>
        <bgColor rgb="FFFEF3C7"/>
      </patternFill>
    </fill>
    <fill>
      <patternFill patternType="solid">
        <fgColor rgb="FFF9F4FC"/>
        <bgColor rgb="FFF8F5FB"/>
      </patternFill>
    </fill>
    <fill>
      <patternFill patternType="solid">
        <fgColor rgb="FFD74314"/>
        <bgColor rgb="FFE65100"/>
      </patternFill>
    </fill>
    <fill>
      <patternFill patternType="solid">
        <fgColor rgb="FFFFFBF5"/>
        <bgColor rgb="FFFDF8F6"/>
      </patternFill>
    </fill>
    <fill>
      <patternFill patternType="solid">
        <fgColor rgb="FFFDE68A"/>
        <bgColor rgb="FFFEF3C7"/>
      </patternFill>
    </fill>
    <fill>
      <patternFill patternType="solid">
        <fgColor rgb="FF9A3412"/>
        <bgColor rgb="FF92400E"/>
      </patternFill>
    </fill>
    <fill>
      <patternFill patternType="solid">
        <fgColor rgb="FF1E293B"/>
        <bgColor rgb="FF1F2937"/>
      </patternFill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E6FFFA"/>
        <bgColor rgb="00E6FFFA"/>
      </patternFill>
    </fill>
    <fill>
      <patternFill patternType="solid">
        <fgColor rgb="00F0FDFA"/>
        <bgColor rgb="00F0FDFA"/>
      </patternFill>
    </fill>
    <fill>
      <patternFill patternType="solid">
        <fgColor rgb="00E0E7FF"/>
        <bgColor rgb="00E0E7FF"/>
      </patternFill>
    </fill>
    <fill>
      <patternFill patternType="solid">
        <fgColor rgb="003730A3"/>
        <bgColor rgb="003730A3"/>
      </patternFill>
    </fill>
    <fill>
      <patternFill patternType="solid">
        <fgColor rgb="00EEF2FF"/>
        <bgColor rgb="00EEF2FF"/>
      </patternFill>
    </fill>
  </fills>
  <borders count="2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  <diagonal/>
    </border>
    <border>
      <left style="thin">
        <color rgb="FFCAD4E0"/>
      </left>
      <right/>
      <top style="thin">
        <color rgb="FFCAD4E0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49138B"/>
      </top>
      <bottom style="double">
        <color rgb="FF49138B"/>
      </bottom>
      <diagonal/>
    </border>
    <border>
      <left style="thin">
        <color rgb="FFD9D9D9"/>
      </left>
      <right style="thin">
        <color rgb="FFD9D9D9"/>
      </right>
      <top style="thin">
        <color rgb="FF4A154B"/>
      </top>
      <bottom style="double">
        <color rgb="FF4A154B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AD4E0"/>
      </top>
      <bottom/>
      <diagonal/>
    </border>
    <border>
      <left/>
      <right/>
      <top style="thin">
        <color rgb="FFCAD4E0"/>
      </top>
      <bottom style="thin">
        <color rgb="FFE1E8EF"/>
      </bottom>
      <diagonal/>
    </border>
    <border>
      <left/>
      <right/>
      <top style="thin">
        <color rgb="FFD3D3D3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7" fillId="6" borderId="6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6" borderId="6" applyAlignment="1" pivotButton="0" quotePrefix="0" xfId="0">
      <alignment vertical="center"/>
    </xf>
    <xf numFmtId="0" fontId="7" fillId="6" borderId="2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7" fillId="22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22" fillId="17" borderId="0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1" fillId="8" borderId="7" applyAlignment="1" pivotButton="0" quotePrefix="0" xfId="0">
      <alignment horizontal="left" vertical="center" wrapText="1"/>
    </xf>
    <xf numFmtId="0" fontId="11" fillId="8" borderId="8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6" fontId="0" fillId="0" borderId="0" pivotButton="0" quotePrefix="0" xfId="0"/>
    <xf numFmtId="0" fontId="15" fillId="0" borderId="9" pivotButton="0" quotePrefix="0" xfId="0"/>
    <xf numFmtId="3" fontId="15" fillId="0" borderId="9" applyAlignment="1" pivotButton="0" quotePrefix="0" xfId="0">
      <alignment horizontal="right" vertical="center"/>
    </xf>
    <xf numFmtId="0" fontId="16" fillId="0" borderId="9" pivotButton="0" quotePrefix="0" xfId="0"/>
    <xf numFmtId="0" fontId="12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3" fontId="12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164" fontId="0" fillId="0" borderId="0" pivotButton="0" quotePrefix="0" xfId="0"/>
    <xf numFmtId="2" fontId="15" fillId="0" borderId="9" applyAlignment="1" pivotButton="0" quotePrefix="0" xfId="0">
      <alignment horizontal="right" vertical="center"/>
    </xf>
    <xf numFmtId="0" fontId="16" fillId="0" borderId="10" pivotButton="0" quotePrefix="0" xfId="0"/>
    <xf numFmtId="0" fontId="0" fillId="0" borderId="0" applyAlignment="1" pivotButton="0" quotePrefix="0" xfId="0">
      <alignment wrapText="1"/>
    </xf>
    <xf numFmtId="164" fontId="3" fillId="9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/>
    </xf>
    <xf numFmtId="3" fontId="12" fillId="4" borderId="1" applyAlignment="1" pivotButton="0" quotePrefix="0" xfId="0">
      <alignment horizontal="right"/>
    </xf>
    <xf numFmtId="164" fontId="12" fillId="4" borderId="1" applyAlignment="1" pivotButton="0" quotePrefix="0" xfId="0">
      <alignment horizontal="right"/>
    </xf>
    <xf numFmtId="0" fontId="12" fillId="7" borderId="1" applyAlignment="1" pivotButton="0" quotePrefix="0" xfId="0">
      <alignment horizontal="left"/>
    </xf>
    <xf numFmtId="3" fontId="12" fillId="7" borderId="1" applyAlignment="1" pivotButton="0" quotePrefix="0" xfId="0">
      <alignment horizontal="right"/>
    </xf>
    <xf numFmtId="164" fontId="12" fillId="7" borderId="1" applyAlignment="1" pivotButton="0" quotePrefix="0" xfId="0">
      <alignment horizontal="right"/>
    </xf>
    <xf numFmtId="0" fontId="14" fillId="5" borderId="11" applyAlignment="1" pivotButton="0" quotePrefix="0" xfId="0">
      <alignment horizontal="left" vertical="center"/>
    </xf>
    <xf numFmtId="3" fontId="14" fillId="5" borderId="11" applyAlignment="1" pivotButton="0" quotePrefix="0" xfId="0">
      <alignment horizontal="right" vertical="center"/>
    </xf>
    <xf numFmtId="3" fontId="0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4" fontId="9" fillId="11" borderId="1" applyAlignment="1" pivotButton="0" quotePrefix="0" xfId="0">
      <alignment horizontal="right" vertical="center"/>
    </xf>
    <xf numFmtId="0" fontId="19" fillId="5" borderId="11" applyAlignment="1" pivotButton="0" quotePrefix="0" xfId="0">
      <alignment horizontal="left" vertical="center"/>
    </xf>
    <xf numFmtId="0" fontId="19" fillId="5" borderId="11" applyAlignment="1" pivotButton="0" quotePrefix="0" xfId="0">
      <alignment horizontal="center" vertical="center"/>
    </xf>
    <xf numFmtId="3" fontId="19" fillId="5" borderId="11" applyAlignment="1" pivotButton="0" quotePrefix="0" xfId="0">
      <alignment horizontal="right" vertical="center"/>
    </xf>
    <xf numFmtId="164" fontId="19" fillId="5" borderId="11" applyAlignment="1" pivotButton="0" quotePrefix="0" xfId="0">
      <alignment horizontal="right" vertical="center"/>
    </xf>
    <xf numFmtId="1" fontId="0" fillId="0" borderId="0" pivotButton="0" quotePrefix="0" xfId="0"/>
    <xf numFmtId="165" fontId="0" fillId="0" borderId="0" pivotButton="0" quotePrefix="0" xfId="0"/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1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center" vertical="center"/>
    </xf>
    <xf numFmtId="1" fontId="9" fillId="15" borderId="1" applyAlignment="1" pivotButton="0" quotePrefix="0" xfId="0">
      <alignment horizontal="right" vertical="center"/>
    </xf>
    <xf numFmtId="0" fontId="8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left" vertical="center"/>
    </xf>
    <xf numFmtId="3" fontId="9" fillId="15" borderId="1" applyAlignment="1" pivotButton="0" quotePrefix="0" xfId="0">
      <alignment horizontal="right" vertical="center"/>
    </xf>
    <xf numFmtId="164" fontId="9" fillId="15" borderId="1" applyAlignment="1" pivotButton="0" quotePrefix="0" xfId="0">
      <alignment horizontal="right" vertical="center"/>
    </xf>
    <xf numFmtId="165" fontId="9" fillId="15" borderId="1" applyAlignment="1" pivotButton="0" quotePrefix="0" xfId="0">
      <alignment horizontal="center" vertical="center"/>
    </xf>
    <xf numFmtId="1" fontId="21" fillId="13" borderId="11" applyAlignment="1" pivotButton="0" quotePrefix="0" xfId="0">
      <alignment horizontal="left" vertical="center"/>
    </xf>
    <xf numFmtId="0" fontId="21" fillId="13" borderId="11" applyAlignment="1" pivotButton="0" quotePrefix="0" xfId="0">
      <alignment horizontal="left" vertical="center"/>
    </xf>
    <xf numFmtId="3" fontId="21" fillId="13" borderId="11" applyAlignment="1" pivotButton="0" quotePrefix="0" xfId="0">
      <alignment horizontal="right" vertical="center"/>
    </xf>
    <xf numFmtId="164" fontId="21" fillId="13" borderId="11" applyAlignment="1" pivotButton="0" quotePrefix="0" xfId="0">
      <alignment horizontal="right" vertical="center"/>
    </xf>
    <xf numFmtId="167" fontId="21" fillId="13" borderId="11" applyAlignment="1" pivotButton="0" quotePrefix="0" xfId="0">
      <alignment horizontal="left" vertical="center"/>
    </xf>
    <xf numFmtId="168" fontId="21" fillId="13" borderId="11" applyAlignment="1" pivotButton="0" quotePrefix="0" xfId="0">
      <alignment horizontal="left" vertical="center"/>
    </xf>
    <xf numFmtId="0" fontId="21" fillId="13" borderId="11" applyAlignment="1" pivotButton="0" quotePrefix="0" xfId="0">
      <alignment horizontal="center" vertical="center"/>
    </xf>
    <xf numFmtId="3" fontId="23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169" fontId="25" fillId="18" borderId="1" applyAlignment="1" pivotButton="0" quotePrefix="0" xfId="0">
      <alignment horizontal="right" vertical="center"/>
    </xf>
    <xf numFmtId="3" fontId="25" fillId="18" borderId="1" applyAlignment="1" pivotButton="0" quotePrefix="0" xfId="0">
      <alignment horizontal="right" vertical="center"/>
    </xf>
    <xf numFmtId="165" fontId="7" fillId="19" borderId="3" applyAlignment="1" pivotButton="0" quotePrefix="0" xfId="0">
      <alignment horizontal="center" vertical="center"/>
    </xf>
    <xf numFmtId="0" fontId="7" fillId="19" borderId="4" applyAlignment="1" pivotButton="0" quotePrefix="0" xfId="0">
      <alignment horizontal="left" vertical="center"/>
    </xf>
    <xf numFmtId="0" fontId="7" fillId="19" borderId="4" applyAlignment="1" pivotButton="0" quotePrefix="0" xfId="0">
      <alignment horizontal="center" vertical="center" wrapText="1"/>
    </xf>
    <xf numFmtId="3" fontId="7" fillId="19" borderId="4" applyAlignment="1" pivotButton="0" quotePrefix="0" xfId="0">
      <alignment horizontal="center" vertical="center"/>
    </xf>
    <xf numFmtId="0" fontId="7" fillId="19" borderId="5" applyAlignment="1" pivotButton="0" quotePrefix="0" xfId="0">
      <alignment horizontal="left" vertical="center"/>
    </xf>
    <xf numFmtId="165" fontId="26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0" fontId="26" fillId="4" borderId="1" applyAlignment="1" pivotButton="0" quotePrefix="0" xfId="0">
      <alignment horizontal="center" vertical="center"/>
    </xf>
    <xf numFmtId="3" fontId="26" fillId="4" borderId="1" applyAlignment="1" pivotButton="0" quotePrefix="0" xfId="0">
      <alignment horizontal="right" vertical="center"/>
    </xf>
    <xf numFmtId="3" fontId="27" fillId="4" borderId="1" applyAlignment="1" pivotButton="0" quotePrefix="0" xfId="0">
      <alignment horizontal="right" vertical="center"/>
    </xf>
    <xf numFmtId="0" fontId="26" fillId="4" borderId="1" applyAlignment="1" pivotButton="0" quotePrefix="0" xfId="0">
      <alignment horizontal="left" vertical="center"/>
    </xf>
    <xf numFmtId="165" fontId="26" fillId="20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left" vertical="center"/>
    </xf>
    <xf numFmtId="0" fontId="26" fillId="20" borderId="1" applyAlignment="1" pivotButton="0" quotePrefix="0" xfId="0">
      <alignment horizontal="center" vertical="center"/>
    </xf>
    <xf numFmtId="3" fontId="26" fillId="20" borderId="1" applyAlignment="1" pivotButton="0" quotePrefix="0" xfId="0">
      <alignment horizontal="right" vertical="center"/>
    </xf>
    <xf numFmtId="3" fontId="27" fillId="20" borderId="1" applyAlignment="1" pivotButton="0" quotePrefix="0" xfId="0">
      <alignment horizontal="right" vertical="center"/>
    </xf>
    <xf numFmtId="0" fontId="26" fillId="20" borderId="1" applyAlignment="1" pivotButton="0" quotePrefix="0" xfId="0">
      <alignment horizontal="left" vertical="center"/>
    </xf>
    <xf numFmtId="0" fontId="28" fillId="21" borderId="12" applyAlignment="1" pivotButton="0" quotePrefix="0" xfId="0">
      <alignment horizontal="left" vertical="center"/>
    </xf>
    <xf numFmtId="0" fontId="28" fillId="21" borderId="12" applyAlignment="1" pivotButton="0" quotePrefix="0" xfId="0">
      <alignment horizontal="center" vertical="center"/>
    </xf>
    <xf numFmtId="3" fontId="28" fillId="21" borderId="12" applyAlignment="1" pivotButton="0" quotePrefix="0" xfId="0">
      <alignment horizontal="right" vertical="center"/>
    </xf>
    <xf numFmtId="0" fontId="28" fillId="21" borderId="12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center" vertical="center"/>
    </xf>
    <xf numFmtId="165" fontId="16" fillId="0" borderId="0" pivotButton="0" quotePrefix="0" xfId="0"/>
    <xf numFmtId="3" fontId="16" fillId="0" borderId="0" pivotButton="0" quotePrefix="0" xfId="0"/>
    <xf numFmtId="1" fontId="16" fillId="0" borderId="0" pivotButton="0" quotePrefix="0" xfId="0"/>
    <xf numFmtId="170" fontId="16" fillId="0" borderId="0" pivotButton="0" quotePrefix="0" xfId="0"/>
    <xf numFmtId="0" fontId="16" fillId="0" borderId="0" pivotButton="0" quotePrefix="0" xfId="0"/>
    <xf numFmtId="0" fontId="26" fillId="0" borderId="1" pivotButton="0" quotePrefix="0" xfId="0"/>
    <xf numFmtId="3" fontId="26" fillId="0" borderId="1" pivotButton="0" quotePrefix="0" xfId="0"/>
    <xf numFmtId="0" fontId="13" fillId="2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18" pivotButton="0" quotePrefix="0" xfId="0"/>
    <xf numFmtId="0" fontId="31" fillId="0" borderId="0" pivotButton="0" quotePrefix="0" xfId="0"/>
    <xf numFmtId="0" fontId="32" fillId="24" borderId="20" applyAlignment="1" pivotButton="0" quotePrefix="0" xfId="0">
      <alignment horizontal="center" vertical="center"/>
    </xf>
    <xf numFmtId="0" fontId="31" fillId="0" borderId="20" pivotButton="0" quotePrefix="0" xfId="0"/>
    <xf numFmtId="3" fontId="31" fillId="0" borderId="20" pivotButton="0" quotePrefix="0" xfId="0"/>
    <xf numFmtId="0" fontId="33" fillId="25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2" fillId="26" borderId="20" applyAlignment="1" pivotButton="0" quotePrefix="0" xfId="0">
      <alignment horizontal="center" vertical="center"/>
    </xf>
    <xf numFmtId="49" fontId="35" fillId="27" borderId="20" applyAlignment="1" pivotButton="0" quotePrefix="0" xfId="0">
      <alignment horizontal="center" vertical="center"/>
    </xf>
    <xf numFmtId="3" fontId="35" fillId="27" borderId="20" applyAlignment="1" pivotButton="0" quotePrefix="0" xfId="0">
      <alignment horizontal="center" vertical="center"/>
    </xf>
    <xf numFmtId="0" fontId="36" fillId="28" borderId="20" applyAlignment="1" pivotButton="0" quotePrefix="0" xfId="0">
      <alignment horizontal="center" vertical="center"/>
    </xf>
    <xf numFmtId="0" fontId="37" fillId="28" borderId="20" applyAlignment="1" pivotButton="0" quotePrefix="0" xfId="0">
      <alignment horizontal="center" vertical="center"/>
    </xf>
    <xf numFmtId="0" fontId="32" fillId="26" borderId="0" applyAlignment="1" pivotButton="0" quotePrefix="0" xfId="0">
      <alignment horizontal="left" vertical="center"/>
    </xf>
    <xf numFmtId="0" fontId="32" fillId="26" borderId="20" applyAlignment="1" pivotButton="0" quotePrefix="0" xfId="0">
      <alignment horizontal="left" vertical="center" wrapText="1"/>
    </xf>
    <xf numFmtId="0" fontId="32" fillId="26" borderId="20" applyAlignment="1" pivotButton="0" quotePrefix="0" xfId="0">
      <alignment horizontal="center" vertical="center" wrapText="1"/>
    </xf>
    <xf numFmtId="0" fontId="38" fillId="29" borderId="20" applyAlignment="1" pivotButton="0" quotePrefix="0" xfId="0">
      <alignment horizontal="left" vertical="center"/>
    </xf>
    <xf numFmtId="0" fontId="31" fillId="29" borderId="20" applyAlignment="1" pivotButton="0" quotePrefix="0" xfId="0">
      <alignment horizontal="left" vertical="center"/>
    </xf>
    <xf numFmtId="0" fontId="31" fillId="29" borderId="20" applyAlignment="1" pivotButton="0" quotePrefix="0" xfId="0">
      <alignment horizontal="center" vertical="center"/>
    </xf>
    <xf numFmtId="3" fontId="31" fillId="29" borderId="20" applyAlignment="1" pivotButton="0" quotePrefix="0" xfId="0">
      <alignment horizontal="right" vertical="center"/>
    </xf>
    <xf numFmtId="3" fontId="38" fillId="29" borderId="20" applyAlignment="1" pivotButton="0" quotePrefix="0" xfId="0">
      <alignment horizontal="right" vertical="center"/>
    </xf>
    <xf numFmtId="164" fontId="31" fillId="29" borderId="20" applyAlignment="1" pivotButton="0" quotePrefix="0" xfId="0">
      <alignment horizontal="right" vertical="center"/>
    </xf>
    <xf numFmtId="0" fontId="38" fillId="27" borderId="20" applyAlignment="1" pivotButton="0" quotePrefix="0" xfId="0">
      <alignment horizontal="left" vertical="center"/>
    </xf>
    <xf numFmtId="0" fontId="31" fillId="27" borderId="20" applyAlignment="1" pivotButton="0" quotePrefix="0" xfId="0">
      <alignment horizontal="left" vertical="center"/>
    </xf>
    <xf numFmtId="0" fontId="31" fillId="27" borderId="20" applyAlignment="1" pivotButton="0" quotePrefix="0" xfId="0">
      <alignment horizontal="center" vertical="center"/>
    </xf>
    <xf numFmtId="3" fontId="31" fillId="27" borderId="20" applyAlignment="1" pivotButton="0" quotePrefix="0" xfId="0">
      <alignment horizontal="right" vertical="center"/>
    </xf>
    <xf numFmtId="3" fontId="38" fillId="27" borderId="20" applyAlignment="1" pivotButton="0" quotePrefix="0" xfId="0">
      <alignment horizontal="right" vertical="center"/>
    </xf>
    <xf numFmtId="164" fontId="31" fillId="27" borderId="20" applyAlignment="1" pivotButton="0" quotePrefix="0" xfId="0">
      <alignment horizontal="right" vertical="center"/>
    </xf>
    <xf numFmtId="0" fontId="39" fillId="28" borderId="21" applyAlignment="1" pivotButton="0" quotePrefix="0" xfId="0">
      <alignment horizontal="left" vertical="center"/>
    </xf>
    <xf numFmtId="3" fontId="39" fillId="28" borderId="21" applyAlignment="1" pivotButton="0" quotePrefix="0" xfId="0">
      <alignment horizontal="right" vertical="center"/>
    </xf>
    <xf numFmtId="164" fontId="39" fillId="28" borderId="21" applyAlignment="1" pivotButton="0" quotePrefix="0" xfId="0">
      <alignment horizontal="right" vertical="center"/>
    </xf>
    <xf numFmtId="0" fontId="39" fillId="28" borderId="21" applyAlignment="1" pivotButton="0" quotePrefix="0" xfId="0">
      <alignment horizontal="center" vertical="center"/>
    </xf>
    <xf numFmtId="0" fontId="40" fillId="30" borderId="0" applyAlignment="1" pivotButton="0" quotePrefix="0" xfId="0">
      <alignment horizontal="left" vertical="center"/>
    </xf>
    <xf numFmtId="0" fontId="32" fillId="31" borderId="20" applyAlignment="1" pivotButton="0" quotePrefix="0" xfId="0">
      <alignment horizontal="center" vertical="center"/>
    </xf>
    <xf numFmtId="3" fontId="41" fillId="27" borderId="20" applyAlignment="1" pivotButton="0" quotePrefix="0" xfId="0">
      <alignment horizontal="center" vertical="center"/>
    </xf>
    <xf numFmtId="0" fontId="42" fillId="32" borderId="20" applyAlignment="1" pivotButton="0" quotePrefix="0" xfId="0">
      <alignment horizontal="center" vertical="center"/>
    </xf>
    <xf numFmtId="0" fontId="43" fillId="32" borderId="20" applyAlignment="1" pivotButton="0" quotePrefix="0" xfId="0">
      <alignment horizontal="center" vertical="center"/>
    </xf>
    <xf numFmtId="0" fontId="32" fillId="31" borderId="0" applyAlignment="1" pivotButton="0" quotePrefix="0" xfId="0">
      <alignment horizontal="left" vertical="center"/>
    </xf>
    <xf numFmtId="0" fontId="32" fillId="31" borderId="20" applyAlignment="1" pivotButton="0" quotePrefix="0" xfId="0">
      <alignment horizontal="left" vertical="center" wrapText="1"/>
    </xf>
    <xf numFmtId="0" fontId="32" fillId="31" borderId="20" applyAlignment="1" pivotButton="0" quotePrefix="0" xfId="0">
      <alignment horizontal="center" vertical="center" wrapText="1"/>
    </xf>
    <xf numFmtId="0" fontId="38" fillId="32" borderId="20" applyAlignment="1" pivotButton="0" quotePrefix="0" xfId="0">
      <alignment horizontal="left" vertical="center"/>
    </xf>
    <xf numFmtId="0" fontId="31" fillId="32" borderId="20" applyAlignment="1" pivotButton="0" quotePrefix="0" xfId="0">
      <alignment horizontal="left" vertical="center"/>
    </xf>
    <xf numFmtId="3" fontId="31" fillId="32" borderId="20" applyAlignment="1" pivotButton="0" quotePrefix="0" xfId="0">
      <alignment horizontal="right" vertical="center"/>
    </xf>
    <xf numFmtId="0" fontId="31" fillId="32" borderId="20" applyAlignment="1" pivotButton="0" quotePrefix="0" xfId="0">
      <alignment horizontal="center" vertical="center"/>
    </xf>
    <xf numFmtId="0" fontId="44" fillId="32" borderId="21" applyAlignment="1" pivotButton="0" quotePrefix="0" xfId="0">
      <alignment horizontal="left" vertical="center"/>
    </xf>
    <xf numFmtId="3" fontId="44" fillId="32" borderId="21" applyAlignment="1" pivotButton="0" quotePrefix="0" xfId="0">
      <alignment horizontal="right" vertical="center"/>
    </xf>
    <xf numFmtId="0" fontId="44" fillId="32" borderId="21" applyAlignment="1" pivotButton="0" quotePrefix="0" xfId="0">
      <alignment horizontal="center" vertical="center"/>
    </xf>
  </cellXfs>
  <cellStyles count="1">
    <cellStyle name="Normal" xfId="0" builtinId="0"/>
  </cellStyles>
  <dxfs count="6">
    <dxf>
      <fill>
        <patternFill>
          <bgColor rgb="FFECFDF5"/>
        </patternFill>
      </fill>
    </dxf>
    <dxf>
      <font>
        <name val="Calibri"/>
        <charset val="1"/>
        <b val="1"/>
        <color rgb="FF991B1B"/>
        <sz val="9"/>
      </font>
      <fill>
        <patternFill>
          <bgColor rgb="FFFEE2E2"/>
        </patternFill>
      </fill>
    </dxf>
    <dxf>
      <font>
        <name val="Calibri"/>
        <charset val="1"/>
        <b val="1"/>
        <color rgb="FF92400E"/>
        <sz val="9"/>
      </font>
      <fill>
        <patternFill>
          <bgColor rgb="FFFEF3C7"/>
        </patternFill>
      </fill>
    </dxf>
    <dxf>
      <font>
        <name val="Calibri"/>
        <charset val="1"/>
        <b val="1"/>
        <color rgb="FF166534"/>
        <sz val="9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BE360B"/>
      <rgbColor rgb="FF00FF00"/>
      <rgbColor rgb="FF49138B"/>
      <rgbColor rgb="FFFFF3DF"/>
      <rgbColor rgb="FFFF00FF"/>
      <rgbColor rgb="FFF8F9FB"/>
      <rgbColor rgb="FF991B1B"/>
      <rgbColor rgb="FF166534"/>
      <rgbColor rgb="FF301B92"/>
      <rgbColor rgb="FFD74314"/>
      <rgbColor rgb="FF6A1B9A"/>
      <rgbColor rgb="FF465469"/>
      <rgbColor rgb="FFD3D3D3"/>
      <rgbColor rgb="FF7F7F7F"/>
      <rgbColor rgb="FFA5A5A5"/>
      <rgbColor rgb="FF92400E"/>
      <rgbColor rgb="FFFEF3C7"/>
      <rgbColor rgb="FFDCFCE7"/>
      <rgbColor rgb="FF4A154B"/>
      <rgbColor rgb="FFED7D31"/>
      <rgbColor rgb="FF5E35B0"/>
      <rgbColor rgb="FFCAD4E0"/>
      <rgbColor rgb="FF3B1E54"/>
      <rgbColor rgb="FFFF00FF"/>
      <rgbColor rgb="FFFAE9E7"/>
      <rgbColor rgb="FFF9F4FC"/>
      <rgbColor rgb="FF7A1FA1"/>
      <rgbColor rgb="FFB8330A"/>
      <rgbColor rgb="FF008080"/>
      <rgbColor rgb="FF59337F"/>
      <rgbColor rgb="FFFFFBF5"/>
      <rgbColor rgb="FFECFDF5"/>
      <rgbColor rgb="FFE1E8EF"/>
      <rgbColor rgb="FFFDE68A"/>
      <rgbColor rgb="FFD9D9D9"/>
      <rgbColor rgb="FFF3E4F5"/>
      <rgbColor rgb="FFECE7F6"/>
      <rgbColor rgb="FFFEE2E2"/>
      <rgbColor rgb="FF4472C4"/>
      <rgbColor rgb="FFF8F5FB"/>
      <rgbColor rgb="FFF0F5F8"/>
      <rgbColor rgb="FFF5EDF8"/>
      <rgbColor rgb="FFE65100"/>
      <rgbColor rgb="FFF57B00"/>
      <rgbColor rgb="FF595959"/>
      <rgbColor rgb="FF8B8B8B"/>
      <rgbColor rgb="FF1E293B"/>
      <rgbColor rgb="FFFDF8F6"/>
      <rgbColor rgb="FF111827"/>
      <rgbColor rgb="FF33194C"/>
      <rgbColor rgb="FF9A3412"/>
      <rgbColor rgb="FF7C2D12"/>
      <rgbColor rgb="FF1E398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Trailing 30-Day Word Count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Calc!$K$4</f>
              <strCache>
                <ptCount val="1"/>
                <pt idx="0">
                  <v>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Calc!$J$5:$J$34</f>
              <numCache>
                <formatCode>yyyy\-mm\-dd</formatCode>
                <ptCount val="30"/>
                <pt idx="0">
                  <v>46281</v>
                </pt>
                <pt idx="1">
                  <v>46282</v>
                </pt>
                <pt idx="2">
                  <v>46283</v>
                </pt>
                <pt idx="3">
                  <v>46284</v>
                </pt>
                <pt idx="4">
                  <v>46285</v>
                </pt>
                <pt idx="5">
                  <v>46286</v>
                </pt>
                <pt idx="6">
                  <v>46287</v>
                </pt>
                <pt idx="7">
                  <v>46288</v>
                </pt>
                <pt idx="8">
                  <v>46289</v>
                </pt>
                <pt idx="9">
                  <v>46290</v>
                </pt>
                <pt idx="10">
                  <v>46291</v>
                </pt>
                <pt idx="11">
                  <v>46292</v>
                </pt>
                <pt idx="12">
                  <v>46293</v>
                </pt>
                <pt idx="13">
                  <v>46294</v>
                </pt>
                <pt idx="14">
                  <v>46295</v>
                </pt>
                <pt idx="15">
                  <v>46296</v>
                </pt>
                <pt idx="16">
                  <v>46297</v>
                </pt>
                <pt idx="17">
                  <v>46298</v>
                </pt>
                <pt idx="18">
                  <v>46299</v>
                </pt>
                <pt idx="19">
                  <v>46300</v>
                </pt>
                <pt idx="20">
                  <v>46301</v>
                </pt>
                <pt idx="21">
                  <v>46302</v>
                </pt>
                <pt idx="22">
                  <v>46303</v>
                </pt>
                <pt idx="23">
                  <v>46304</v>
                </pt>
                <pt idx="24">
                  <v>46305</v>
                </pt>
                <pt idx="25">
                  <v>46306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</numCache>
            </numRef>
          </cat>
          <val>
            <numRef>
              <f>Calc!$K$5:$K$34</f>
              <numCache>
                <formatCode>#,##0</formatCode>
                <ptCount val="3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1799820"/>
        <axId val="22485180"/>
      </barChart>
      <dateAx>
        <axId val="9179982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yyyy\-mm\-dd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22485180"/>
        <crosses val="autoZero"/>
        <lblOffset val="100"/>
        <baseTimeUnit val="days"/>
      </dateAx>
      <valAx>
        <axId val="2248518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1799820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 Spotlight Book: Draft vs Remaining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Config!$J$4</f>
              <strCache>
                <ptCount val="1"/>
                <pt idx="0">
                  <v>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 w="6480">
                <a:solidFill>
                  <a:srgbClr val="FFFFFF"/>
                </a:solidFill>
                <a:prstDash val="solid"/>
                <a:round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Config!$I$5:$I$6</f>
              <strCache>
                <ptCount val="2"/>
                <pt idx="0">
                  <v>Draft Words</v>
                </pt>
                <pt idx="1">
                  <v>Remaining</v>
                </pt>
              </strCache>
            </strRef>
          </cat>
          <val>
            <numRef>
              <f>Config!$J$5:$J$6</f>
              <numCache>
                <formatCode>#,##0</formatCode>
                <ptCount val="2"/>
                <pt idx="0">
                  <v>0</v>
                </pt>
                <pt idx="1">
                  <v>200000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Active Spotlight Books: Drafted vs. Remaining Words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Calc!$V$4</f>
              <strCache>
                <ptCount val="1"/>
                <pt idx="0">
                  <v>Drafted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Calc!$U$5:$U$12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Calc!$V$5:$V$12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Calc!$W$4</f>
              <strCache>
                <ptCount val="1"/>
                <pt idx="0">
                  <v>Remaining Target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Calc!$U$5:$U$12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Calc!$W$5:$W$12</f>
              <numCache>
                <formatCode>#,##0</formatCode>
                <ptCount val="8"/>
                <pt idx="0">
                  <v>200000</v>
                </pt>
                <pt idx="1">
                  <v>150000</v>
                </pt>
                <pt idx="2">
                  <v>200000</v>
                </pt>
                <pt idx="3">
                  <v>200000</v>
                </pt>
                <pt idx="4">
                  <v>150000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9523023"/>
        <axId val="75218961"/>
      </barChart>
      <catAx>
        <axId val="5952302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Active Spotlight Book (Ranked by Deadline)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5218961"/>
        <crosses val="autoZero"/>
        <auto val="1"/>
        <lblAlgn val="ctr"/>
        <lblOffset val="100"/>
        <noMultiLvlLbl val="0"/>
      </catAx>
      <valAx>
        <axId val="75218961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95230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Multi-Year Pipeline Load vs. Annual Target (2026–2030)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Calc!$AW$4</f>
              <strCache>
                <ptCount val="1"/>
                <pt idx="0">
                  <v>Scheduled Target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Calc!$AW$5:$AW$9</f>
              <numCache>
                <formatCode>#,##0</formatCode>
                <ptCount val="5"/>
                <pt idx="0">
                  <v>0</v>
                </pt>
                <pt idx="1">
                  <v>350000</v>
                </pt>
                <pt idx="2">
                  <v>550000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Calc!$AX$4</f>
              <strCache>
                <ptCount val="1"/>
                <pt idx="0">
                  <v>Actual Logged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Calc!$AX$5:$AX$9</f>
              <numCache>
                <formatCode>#,##0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Calc!$AY$4</f>
              <strCache>
                <ptCount val="1"/>
                <pt idx="0">
                  <v>Annual Goal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Calc!$AV$5:$AV$9</f>
              <strCache>
                <ptCount val="5"/>
                <pt idx="0">
                  <v>Year 2026</v>
                </pt>
                <pt idx="1">
                  <v>Year 2027</v>
                </pt>
                <pt idx="2">
                  <v>Year 2028</v>
                </pt>
                <pt idx="3">
                  <v>Year 2029</v>
                </pt>
                <pt idx="4">
                  <v>Year 2030</v>
                </pt>
              </strCache>
            </strRef>
          </cat>
          <val>
            <numRef>
              <f>Calc!$AY$5:$AY$9</f>
              <numCache>
                <formatCode>#,##0</formatCode>
                <ptCount val="5"/>
                <pt idx="0">
                  <v>730000</v>
                </pt>
                <pt idx="1">
                  <v>730000</v>
                </pt>
                <pt idx="2">
                  <v>730000</v>
                </pt>
                <pt idx="3">
                  <v>730000</v>
                </pt>
                <pt idx="4">
                  <v>730000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4138434"/>
        <axId val="45882788"/>
      </barChart>
      <catAx>
        <axId val="8413843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Production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5882788"/>
        <crosses val="autoZero"/>
        <auto val="1"/>
        <lblAlgn val="ctr"/>
        <lblOffset val="100"/>
        <noMultiLvlLbl val="0"/>
      </catAx>
      <valAx>
        <axId val="45882788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413843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Series Canon Architecture: Completed vs. In-Progress vs. Future Planned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stacked"/>
        <varyColors val="0"/>
        <ser>
          <idx val="0"/>
          <order val="0"/>
          <tx>
            <strRef>
              <f>Calc!$AP$4</f>
              <strCache>
                <ptCount val="1"/>
                <pt idx="0">
                  <v>Completed Books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Calc!$AP$5:$AP$10</f>
              <numCache>
                <formatCode>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Calc!$AQ$4</f>
              <strCache>
                <ptCount val="1"/>
                <pt idx="0">
                  <v>Books In Progress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Calc!$AQ$5:$AQ$10</f>
              <numCache>
                <formatCode>#,##0</formatCode>
                <ptCount val="6"/>
                <pt idx="0">
                  <v>2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Calc!$AR$4</f>
              <strCache>
                <ptCount val="1"/>
                <pt idx="0">
                  <v>Future Unscheduled Books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Calc!$AR$5:$AR$10</f>
              <numCache>
                <formatCode>#,##0</formatCode>
                <ptCount val="6"/>
                <pt idx="0">
                  <v>1</v>
                </pt>
                <pt idx="1">
                  <v>3</v>
                </pt>
                <pt idx="2">
                  <v>2</v>
                </pt>
                <pt idx="3">
                  <v>7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48422759"/>
        <axId val="47095350"/>
      </barChart>
      <catAx>
        <axId val="48422759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7095350"/>
        <crosses val="autoZero"/>
        <auto val="1"/>
        <lblAlgn val="ctr"/>
        <lblOffset val="100"/>
        <noMultiLvlLbl val="0"/>
      </catAx>
      <valAx>
        <axId val="4709535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842275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Cataloged Target Words vs. Actual Work Words by Series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Calc!$AS$4</f>
              <strCache>
                <ptCount val="1"/>
                <pt idx="0">
                  <v>Cataloged Target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Calc!$AS$5:$AS$10</f>
              <numCache>
                <formatCode>#,##0</formatCode>
                <ptCount val="6"/>
                <pt idx="0">
                  <v>400000</v>
                </pt>
                <pt idx="1">
                  <v>150000</v>
                </pt>
                <pt idx="2">
                  <v>200000</v>
                </pt>
                <pt idx="3">
                  <v>150000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Calc!$AT$4</f>
              <strCache>
                <ptCount val="1"/>
                <pt idx="0">
                  <v>Total Work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Calc!$AO$5:$AO$10</f>
              <strCache>
                <ptCount val="4"/>
                <pt idx="0">
                  <v>Sand Sea Saga</v>
                </pt>
                <pt idx="1">
                  <v>Gothic Fantasy Series</v>
                </pt>
                <pt idx="2">
                  <v>Classic Quest Fantasy</v>
                </pt>
                <pt idx="3">
                  <v>Stormbreaker Chronicles</v>
                </pt>
              </strCache>
            </strRef>
          </cat>
          <val>
            <numRef>
              <f>Calc!$AT$5:$AT$10</f>
              <numCache>
                <formatCode>#,##0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3859629"/>
        <axId val="51348823"/>
      </barChart>
      <catAx>
        <axId val="8385962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1348823"/>
        <crosses val="autoZero"/>
        <auto val="1"/>
        <lblAlgn val="ctr"/>
        <lblOffset val="100"/>
        <noMultiLvlLbl val="0"/>
      </catAx>
      <valAx>
        <axId val="5134882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385962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Draft Target vs. Actual Words by Book (Dynamic Pipeline)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Calc!$AF$4</f>
              <strCache>
                <ptCount val="1"/>
                <pt idx="0">
                  <v>Draft Target Words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Calc!$AF$5:$AF$12</f>
              <numCache>
                <formatCode>#,##0</formatCode>
                <ptCount val="8"/>
                <pt idx="0">
                  <v>200000</v>
                </pt>
                <pt idx="1">
                  <v>150000</v>
                </pt>
                <pt idx="2">
                  <v>200000</v>
                </pt>
                <pt idx="3">
                  <v>200000</v>
                </pt>
                <pt idx="4">
                  <v>150000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Calc!$AG$4</f>
              <strCache>
                <ptCount val="1"/>
                <pt idx="0">
                  <v>Total Work Words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Calc!$AG$5:$AG$12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0349816"/>
        <axId val="11839186"/>
      </barChart>
      <catAx>
        <axId val="3034981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1839186"/>
        <crosses val="autoZero"/>
        <auto val="1"/>
        <lblAlgn val="ctr"/>
        <lblOffset val="100"/>
        <noMultiLvlLbl val="0"/>
      </catAx>
      <valAx>
        <axId val="1183918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034981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Required Daily Draft Pace vs. 30D Speed (Words/Day)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Calc!$AI$4</f>
              <strCache>
                <ptCount val="1"/>
                <pt idx="0">
                  <v>Required Draft Words/Day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Calc!$AI$5:$AI$12</f>
              <numCache>
                <formatCode>#,##0</formatCode>
                <ptCount val="8"/>
                <pt idx="0">
                  <v>1105</v>
                </pt>
                <pt idx="1">
                  <v>816</v>
                </pt>
                <pt idx="2">
                  <v>1653</v>
                </pt>
                <pt idx="3">
                  <v>1627</v>
                </pt>
                <pt idx="4">
                  <v>1230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ser>
          <idx val="1"/>
          <order val="1"/>
          <tx>
            <strRef>
              <f>Calc!$AJ$4</f>
              <strCache>
                <ptCount val="1"/>
                <pt idx="0">
                  <v>Recent Draft Speed (30D)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Calc!$AE$5:$AE$12</f>
              <strCache>
                <ptCount val="5"/>
                <pt idx="0">
                  <v>Prisoner of Sand Sea</v>
                </pt>
                <pt idx="1">
                  <v>Gothic Fantasy 1</v>
                </pt>
                <pt idx="2">
                  <v>Quest Fantasy 1</v>
                </pt>
                <pt idx="3">
                  <v>Ruler of Sand Sea</v>
                </pt>
                <pt idx="4">
                  <v>Company of the Storm</v>
                </pt>
              </strCache>
            </strRef>
          </cat>
          <val>
            <numRef>
              <f>Calc!$AJ$5:$AJ$12</f>
              <numCache>
                <formatCode>#,##0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269518"/>
        <axId val="89541108"/>
      </barChart>
      <catAx>
        <axId val="42695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89541108"/>
        <crosses val="autoZero"/>
        <auto val="1"/>
        <lblAlgn val="ctr"/>
        <lblOffset val="100"/>
        <noMultiLvlLbl val="0"/>
      </catAx>
      <valAx>
        <axId val="89541108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Day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26951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Book Pipeline by Project Stage (Stage Funnel)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Calc!$AW$12</f>
              <strCache>
                <ptCount val="1"/>
                <pt idx="0">
                  <v>Books in Stage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Calc!$AV$13:$AV$22</f>
              <strCache>
                <ptCount val="10"/>
                <pt idx="0">
                  <v>Concept</v>
                </pt>
                <pt idx="1">
                  <v>Pre-Draft Outline</v>
                </pt>
                <pt idx="2">
                  <v>Drafting</v>
                </pt>
                <pt idx="3">
                  <v>Pre-Revision Outline</v>
                </pt>
                <pt idx="4">
                  <v>Revision</v>
                </pt>
                <pt idx="5">
                  <v>Beta Review</v>
                </pt>
                <pt idx="6">
                  <v>Proofing</v>
                </pt>
                <pt idx="7">
                  <v>Querying</v>
                </pt>
                <pt idx="8">
                  <v>Publishing</v>
                </pt>
                <pt idx="9">
                  <v>Published</v>
                </pt>
              </strCache>
            </strRef>
          </cat>
          <val>
            <numRef>
              <f>Calc!$AW$13:$AW$22</f>
              <numCache>
                <formatCode>#,##0</formatCode>
                <ptCount val="10"/>
                <pt idx="0">
                  <v>5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867066"/>
        <axId val="39427878"/>
      </barChart>
      <catAx>
        <axId val="18867066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9427878"/>
        <crosses val="autoZero"/>
        <auto val="1"/>
        <lblAlgn val="ctr"/>
        <lblOffset val="100"/>
        <noMultiLvlLbl val="0"/>
      </catAx>
      <valAx>
        <axId val="39427878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886706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Creative Phase Mix: Raw Words vs. Weighted Effort Points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Calc!$AW$25</f>
              <strCache>
                <ptCount val="1"/>
                <pt idx="0">
                  <v>Raw Words Logged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Calc!$AV$26:$AV$29</f>
              <strCache>
                <ptCount val="4"/>
                <pt idx="0">
                  <v>Worldbuilding</v>
                </pt>
                <pt idx="1">
                  <v>Outlining</v>
                </pt>
                <pt idx="2">
                  <v>First Draft Prose</v>
                </pt>
                <pt idx="3">
                  <v>Revisions</v>
                </pt>
              </strCache>
            </strRef>
          </cat>
          <val>
            <numRef>
              <f>Calc!$AW$26:$AW$29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Calc!$AX$25</f>
              <strCache>
                <ptCount val="1"/>
                <pt idx="0">
                  <v>Weighted Effort Points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Calc!$AV$26:$AV$29</f>
              <strCache>
                <ptCount val="4"/>
                <pt idx="0">
                  <v>Worldbuilding</v>
                </pt>
                <pt idx="1">
                  <v>Outlining</v>
                </pt>
                <pt idx="2">
                  <v>First Draft Prose</v>
                </pt>
                <pt idx="3">
                  <v>Revisions</v>
                </pt>
              </strCache>
            </strRef>
          </cat>
          <val>
            <numRef>
              <f>Calc!$AX$26:$AX$29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7068035"/>
        <axId val="91027403"/>
      </barChart>
      <catAx>
        <axId val="3706803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Creative Writing Pillar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91027403"/>
        <crosses val="autoZero"/>
        <auto val="1"/>
        <lblAlgn val="ctr"/>
        <lblOffset val="100"/>
        <noMultiLvlLbl val="0"/>
      </catAx>
      <valAx>
        <axId val="91027403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Points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706803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Writing Rhythm: Output, Effort &amp; Time by Weekday (Mon–Sun)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Calc!$AW$32</f>
              <strCache>
                <ptCount val="1"/>
                <pt idx="0">
                  <v>Words Added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Calc!$AW$33:$AW$39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Calc!$AX$32</f>
              <strCache>
                <ptCount val="1"/>
                <pt idx="0">
                  <v>Effort Points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Calc!$AX$33:$AX$39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2"/>
          <order val="2"/>
          <tx>
            <strRef>
              <f>Calc!$AY$32</f>
              <strCache>
                <ptCount val="1"/>
                <pt idx="0">
                  <v>Time Spent (Mins)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Calc!$AV$33:$AV$39</f>
              <strCache>
                <ptCount val="7"/>
                <pt idx="0">
                  <v>Mon</v>
                </pt>
                <pt idx="1">
                  <v>Tue</v>
                </pt>
                <pt idx="2">
                  <v>Wed</v>
                </pt>
                <pt idx="3">
                  <v>Thu</v>
                </pt>
                <pt idx="4">
                  <v>Fri</v>
                </pt>
                <pt idx="5">
                  <v>Sat</v>
                </pt>
                <pt idx="6">
                  <v>Sun</v>
                </pt>
              </strCache>
            </strRef>
          </cat>
          <val>
            <numRef>
              <f>Calc!$AY$33:$AY$39</f>
              <numCache>
                <formatCode>#,##0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1219744"/>
        <axId val="79626956"/>
      </barChart>
      <catAx>
        <axId val="7121974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9626956"/>
        <crosses val="autoZero"/>
        <auto val="1"/>
        <lblAlgn val="ctr"/>
        <lblOffset val="100"/>
        <noMultiLvlLbl val="0"/>
      </catAx>
      <valAx>
        <axId val="7962695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/ Mins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121974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Continuity Findings by Compiler Pillar (EPI, TIME, CON, LED, BRD)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'Calc'!$BA$5:$BA$9</f>
            </numRef>
          </cat>
          <val>
            <numRef>
              <f>'Calc'!$BB$5:$BB$9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Continuity Compiler Pillar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Findings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Indexed Vault Documents &amp; Excised Revision Scraps by Book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'Calc'!BB12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'Calc'!$BA$13:$BA$18</f>
            </numRef>
          </cat>
          <val>
            <numRef>
              <f>'Calc'!$BB$13:$BB$18</f>
            </numRef>
          </val>
        </ser>
        <ser>
          <idx val="1"/>
          <order val="1"/>
          <tx>
            <strRef>
              <f>'Calc'!BC12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'Calc'!$BA$13:$BA$18</f>
            </numRef>
          </cat>
          <val>
            <numRef>
              <f>'Calc'!$BC$13:$BC$18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Book / Vault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Bible Lore Entities by Domain (All Universes)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'Calc'!BB21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'Calc'!$BA$22:$BA$28</f>
            </numRef>
          </cat>
          <val>
            <numRef>
              <f>'Calc'!$BB$22:$BB$28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Lore 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Entities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 Lore Entities vs. Cross-Referenced Wikilinks by Series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'Calc'!BB31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'Calc'!$BA$32:$BA$36</f>
            </numRef>
          </cat>
          <val>
            <numRef>
              <f>'Calc'!$BB$32:$BB$36</f>
            </numRef>
          </val>
        </ser>
        <ser>
          <idx val="1"/>
          <order val="1"/>
          <tx>
            <strRef>
              <f>'Calc'!BC31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'Calc'!$BA$32:$BA$36</f>
            </numRef>
          </cat>
          <val>
            <numRef>
              <f>'Calc'!$BC$32:$BC$36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Series / World Vault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4</col>
      <colOff>1263240</colOff>
      <row>43</row>
      <rowOff>89280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25</row>
      <rowOff>0</rowOff>
    </from>
    <to>
      <col>8</col>
      <colOff>513000</colOff>
      <row>43</row>
      <rowOff>89280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43</row>
      <rowOff>0</rowOff>
    </from>
    <to>
      <col>4</col>
      <colOff>183600</colOff>
      <row>60</row>
      <rowOff>108720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5</col>
      <colOff>0</colOff>
      <row>43</row>
      <rowOff>0</rowOff>
    </from>
    <to>
      <col>8</col>
      <colOff>873360</colOff>
      <row>60</row>
      <rowOff>108720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27</row>
      <rowOff>0</rowOff>
    </from>
    <to>
      <col>3</col>
      <colOff>1240920</colOff>
      <row>41</row>
      <rowOff>165960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27</row>
      <rowOff>0</rowOff>
    </from>
    <to>
      <col>7</col>
      <colOff>528480</colOff>
      <row>41</row>
      <rowOff>165960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27</row>
      <rowOff>274319</rowOff>
    </from>
    <to>
      <col>5</col>
      <colOff>1341120</colOff>
      <row>44</row>
      <rowOff>210920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27</row>
      <rowOff>0</rowOff>
    </from>
    <to>
      <col>12</col>
      <colOff>736560</colOff>
      <row>43</row>
      <rowOff>114300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13</col>
      <colOff>7619</colOff>
      <row>27</row>
      <rowOff>7620</rowOff>
    </from>
    <to>
      <col>18</col>
      <colOff>515784</colOff>
      <row>43</row>
      <rowOff>114300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37</row>
      <rowOff>0</rowOff>
    </from>
    <to>
      <col>4</col>
      <colOff>2820</colOff>
      <row>48</row>
      <rowOff>185040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37</row>
      <rowOff>0</rowOff>
    </from>
    <to>
      <col>11</col>
      <colOff>513000</colOff>
      <row>48</row>
      <rowOff>185040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138B"/>
    <outlinePr summaryBelow="1" summaryRight="1"/>
    <pageSetUpPr fitToPage="1"/>
  </sheetPr>
  <dimension ref="A1:I25"/>
  <sheetViews>
    <sheetView tabSelected="1" zoomScaleNormal="100" zoomScalePageLayoutView="60" workbookViewId="0">
      <selection activeCell="A1" sqref="A1:I1"/>
    </sheetView>
  </sheetViews>
  <sheetFormatPr baseColWidth="8" defaultColWidth="14.44140625" defaultRowHeight="14.4"/>
  <cols>
    <col width="24" customWidth="1" min="1" max="1"/>
    <col width="16" customWidth="1" min="2" max="3"/>
    <col width="18" customWidth="1" min="4" max="5"/>
    <col width="16" customWidth="1" min="6" max="7"/>
    <col width="22" customWidth="1" min="8" max="8"/>
    <col width="15" customWidth="1" min="9" max="9"/>
  </cols>
  <sheetData>
    <row r="1" ht="27.75" customHeight="1">
      <c r="A1" s="11" t="inlineStr">
        <is>
          <t>🌟 AUTHOR ECOSYSTEM • EXECUTIVE DASHBOARD</t>
        </is>
      </c>
    </row>
    <row r="2" ht="19.5" customHeight="1">
      <c r="A2" s="10" t="inlineStr">
        <is>
          <t>Real-time strategic overview of your writing career milestones, fictional universes, active pacing, and habit momentum.</t>
        </is>
      </c>
    </row>
    <row r="3" ht="6" customHeight="1"/>
    <row r="4" ht="19.5" customHeight="1">
      <c r="A4" s="9" t="inlineStr">
        <is>
          <t>LIFETIME CAREER WORDS</t>
        </is>
      </c>
      <c r="B4" s="136" t="n"/>
      <c r="C4" s="9" t="str">
        <f>UPPER(Config!$G$5)&amp;" UNIVERSE"</f>
        <v>RELIQUARY UNIVERSE</v>
      </c>
      <c r="D4" s="136" t="n"/>
      <c r="E4" s="9" t="str">
        <f>UPPER(Config!$G$6)&amp;" PROJECTS"</f>
        <v>STANDALONE PROJECTS</v>
      </c>
      <c r="F4" s="136" t="n"/>
      <c r="G4" s="9" t="inlineStr">
        <is>
          <t>TRAILING 30D VELOCITY</t>
        </is>
      </c>
      <c r="H4" s="137" t="n"/>
      <c r="I4" s="136" t="n"/>
    </row>
    <row r="5" ht="27.75" customHeight="1">
      <c r="A5" s="8">
        <f>SUM('My Books'!$H$5:$H$24)</f>
        <v>4800</v>
      </c>
      <c r="B5" s="136" t="n"/>
      <c r="C5" s="8">
        <f>SUMIF('My Books'!$D$5:$D$24,Config!$G$5,'My Books'!$H$5:$H$24)</f>
        <v>0</v>
      </c>
      <c r="D5" s="136" t="n"/>
      <c r="E5" s="8">
        <f>SUMIF('My Books'!$D$5:$D$24,Config!$G$6,'My Books'!$H$5:$H$24)</f>
        <v>0</v>
      </c>
      <c r="F5" s="136" t="n"/>
      <c r="G5" s="8">
        <f>Calc!$S$11</f>
        <v>0</v>
      </c>
      <c r="H5" s="137" t="n"/>
      <c r="I5" s="136" t="n"/>
    </row>
    <row r="6" ht="18" customHeight="1">
      <c r="A6" s="7" t="str">
        <f>"(" &amp; TEXT(IF(Config!$B$6&gt;0, A5/Config!$B$6, 0), "0.0%") &amp; " of " &amp; TEXT(Config!$B$6/1000000, "#,##0") &amp; "M Milestone)"</f>
        <v>(0.0% of 15M Milestone)</v>
      </c>
      <c r="B6" s="136" t="n"/>
      <c r="C6" s="7" t="str">
        <f>"(" &amp; TEXT(IF(A5&gt;0, C5/A5, 0), "0.0%") &amp; " of Total Output)"</f>
        <v>(0.0% of Total Output)</v>
      </c>
      <c r="D6" s="136" t="n"/>
      <c r="E6" s="7" t="str">
        <f>"(" &amp; TEXT(IF(A5&gt;0, E5/A5, 0), "0.0%") &amp; " of Total Output)"</f>
        <v>(0.0% of Total Output)</v>
      </c>
      <c r="F6" s="136" t="n"/>
      <c r="G6" s="7" t="inlineStr">
        <is>
          <t>Words / Day (Actual Pace)</t>
        </is>
      </c>
      <c r="H6" s="137" t="n"/>
      <c r="I6" s="136" t="n"/>
    </row>
    <row r="7" ht="19.5" customHeight="1">
      <c r="A7" s="6" t="str">
        <f>"🔥 Streak: "&amp;Calc!$S$8&amp;IF(Calc!$S$8=1," day"," days")&amp;" · "&amp;Calc!$S$10&amp;" grace left"</f>
        <v>🔥 Streak: 0 days · 3 grace left</v>
      </c>
      <c r="B7" s="136" t="n"/>
      <c r="C7" s="6" t="str">
        <f>"🎯 Month Total: "&amp;TEXT(Calc!$S$6,"#,##0")&amp;" wds"</f>
        <v>🎯 Month Total: 0 wds</v>
      </c>
      <c r="D7" s="136" t="n"/>
      <c r="E7" s="6" t="str">
        <f>"🏁 Month Target: "&amp;TEXT(Calc!$S$5,"#,##0")&amp;" wds"</f>
        <v>🏁 Month Target: 62,000 wds</v>
      </c>
      <c r="F7" s="136" t="n"/>
      <c r="G7" s="6" t="str">
        <f>"📅 YTD: "&amp;TEXT(Calc!$S$7,"#,##0")&amp;" / "&amp;TEXT(Config!$B$7,"#,##0")&amp;" ("&amp;TEXT(IF(Config!$B$7&gt;0,Calc!$S$7/Config!$B$7,0),"0%")&amp;")"</f>
        <v>📅 YTD: 0 / 730,000 (0%)</v>
      </c>
      <c r="H7" s="137" t="n"/>
      <c r="I7" s="136" t="n"/>
    </row>
    <row r="8" ht="21.75" customHeight="1">
      <c r="A8" s="5" t="inlineStr">
        <is>
          <t>📌 CURRENT ACTIVE BOOKS SPOTLIGHT  (unfinished books, soonest deadline first)</t>
        </is>
      </c>
      <c r="B8" s="138" t="n"/>
      <c r="C8" s="138" t="n"/>
      <c r="D8" s="138" t="n"/>
      <c r="E8" s="138" t="n"/>
      <c r="F8" s="138" t="n"/>
      <c r="G8" s="138" t="n"/>
      <c r="H8" s="138" t="n"/>
      <c r="I8" s="138" t="n"/>
    </row>
    <row r="9" ht="15" customHeight="1">
      <c r="A9" s="15" t="inlineStr">
        <is>
          <t>Book Title</t>
        </is>
      </c>
      <c r="B9" s="16" t="inlineStr">
        <is>
          <t>Universe</t>
        </is>
      </c>
      <c r="C9" s="17" t="inlineStr">
        <is>
          <t>Stage</t>
        </is>
      </c>
      <c r="D9" s="17" t="inlineStr">
        <is>
          <t>Draft Target Words</t>
        </is>
      </c>
      <c r="E9" s="17" t="inlineStr">
        <is>
          <t>Total Work Words</t>
        </is>
      </c>
      <c r="F9" s="17" t="inlineStr">
        <is>
          <t>Draft Progress %</t>
        </is>
      </c>
      <c r="G9" s="17" t="inlineStr">
        <is>
          <t>Days Left</t>
        </is>
      </c>
      <c r="H9" s="18" t="inlineStr">
        <is>
          <t>Draft Words/Day Needed</t>
        </is>
      </c>
      <c r="I9" s="19" t="inlineStr">
        <is>
          <t>Draft Words</t>
        </is>
      </c>
    </row>
    <row r="10" ht="19.5" customHeight="1">
      <c r="A10" s="20" t="str">
        <f>IF(Calc!$P$5=0,"",INDEX('My Books'!$B$1:$B$24,Calc!$P$5))</f>
        <v>Prisoner of Sand Sea</v>
      </c>
      <c r="B10" s="21" t="str">
        <f>IF(Calc!$P$5=0,"",INDEX('My Books'!$D$1:$D$24,Calc!$P$5))</f>
        <v>Reliquary</v>
      </c>
      <c r="C10" s="22" t="str">
        <f>IF(Calc!$P$5=0,"",INDEX('My Books'!$F$1:$F$24,Calc!$P$5))</f>
        <v>Concept</v>
      </c>
      <c r="D10" s="23">
        <f>IF(Calc!$P$5=0,"",INDEX('My Books'!$G$1:$G$24,Calc!$P$5))</f>
        <v>200000</v>
      </c>
      <c r="E10" s="23">
        <f>IF(Calc!$P$5=0,"",INDEX('My Books'!$H$1:$H$24,Calc!$P$5))</f>
        <v>0</v>
      </c>
      <c r="F10" s="24">
        <f>IF(Calc!$P$5=0,"",INDEX('My Books'!$I$1:$I$24,Calc!$P$5))</f>
        <v>0</v>
      </c>
      <c r="G10" s="23">
        <f>IF(Calc!$P$5=0,"",INDEX('My Books'!$M$1:$M$24,Calc!$P$5))</f>
        <v>258</v>
      </c>
      <c r="H10" s="23">
        <f>IF(Calc!$P$5=0,"",INDEX('My Books'!$N$1:$N$24,Calc!$P$5))</f>
        <v>1105</v>
      </c>
      <c r="I10" s="23">
        <f>IF(Calc!$P$5=0,"",INDEX('My Books'!$Q$1:$Q$24,Calc!$P$5))</f>
        <v>0</v>
      </c>
    </row>
    <row r="11" ht="19.5" customHeight="1">
      <c r="A11" s="25" t="str">
        <f>IF(Calc!$P$6=0,"",INDEX('My Books'!$B$1:$B$24,Calc!$P$6))</f>
        <v>Gothic Fantasy 1</v>
      </c>
      <c r="B11" s="26" t="str">
        <f>IF(Calc!$P$6=0,"",INDEX('My Books'!$D$1:$D$24,Calc!$P$6))</f>
        <v>Reliquary</v>
      </c>
      <c r="C11" s="27" t="str">
        <f>IF(Calc!$P$6=0,"",INDEX('My Books'!$F$1:$F$24,Calc!$P$6))</f>
        <v>Concept</v>
      </c>
      <c r="D11" s="28">
        <f>IF(Calc!$P$6=0,"",INDEX('My Books'!$G$1:$G$24,Calc!$P$6))</f>
        <v>150000</v>
      </c>
      <c r="E11" s="28">
        <f>IF(Calc!$P$6=0,"",INDEX('My Books'!$H$1:$H$24,Calc!$P$6))</f>
        <v>0</v>
      </c>
      <c r="F11" s="29">
        <f>IF(Calc!$P$6=0,"",INDEX('My Books'!$I$1:$I$24,Calc!$P$6))</f>
        <v>0</v>
      </c>
      <c r="G11" s="28">
        <f>IF(Calc!$P$6=0,"",INDEX('My Books'!$M$1:$M$24,Calc!$P$6))</f>
        <v>442</v>
      </c>
      <c r="H11" s="28">
        <f>IF(Calc!$P$6=0,"",INDEX('My Books'!$N$1:$N$24,Calc!$P$6))</f>
        <v>816</v>
      </c>
      <c r="I11" s="28">
        <f>IF(Calc!$P$6=0,"",INDEX('My Books'!$Q$1:$Q$24,Calc!$P$6))</f>
        <v>0</v>
      </c>
    </row>
    <row r="12" ht="19.5" customHeight="1">
      <c r="A12" s="20" t="str">
        <f>IF(Calc!$P$7=0,"",INDEX('My Books'!$B$1:$B$24,Calc!$P$7))</f>
        <v>Quest Fantasy 1</v>
      </c>
      <c r="B12" s="21" t="str">
        <f>IF(Calc!$P$7=0,"",INDEX('My Books'!$D$1:$D$24,Calc!$P$7))</f>
        <v>Reliquary</v>
      </c>
      <c r="C12" s="22" t="str">
        <f>IF(Calc!$P$7=0,"",INDEX('My Books'!$F$1:$F$24,Calc!$P$7))</f>
        <v>Concept</v>
      </c>
      <c r="D12" s="23">
        <f>IF(Calc!$P$7=0,"",INDEX('My Books'!$G$1:$G$24,Calc!$P$7))</f>
        <v>200000</v>
      </c>
      <c r="E12" s="23">
        <f>IF(Calc!$P$7=0,"",INDEX('My Books'!$H$1:$H$24,Calc!$P$7))</f>
        <v>0</v>
      </c>
      <c r="F12" s="24">
        <f>IF(Calc!$P$7=0,"",INDEX('My Books'!$I$1:$I$24,Calc!$P$7))</f>
        <v>0</v>
      </c>
      <c r="G12" s="23">
        <f>IF(Calc!$P$7=0,"",INDEX('My Books'!$M$1:$M$24,Calc!$P$7))</f>
        <v>563</v>
      </c>
      <c r="H12" s="23">
        <f>IF(Calc!$P$7=0,"",INDEX('My Books'!$N$1:$N$24,Calc!$P$7))</f>
        <v>1653</v>
      </c>
      <c r="I12" s="23">
        <f>IF(Calc!$P$7=0,"",INDEX('My Books'!$Q$1:$Q$24,Calc!$P$7))</f>
        <v>0</v>
      </c>
    </row>
    <row r="13" ht="19.5" customHeight="1">
      <c r="A13" s="25" t="str">
        <f>IF(Calc!$P$8=0,"",INDEX('My Books'!$B$1:$B$24,Calc!$P$8))</f>
        <v>Ruler of Sand Sea</v>
      </c>
      <c r="B13" s="26" t="str">
        <f>IF(Calc!$P$8=0,"",INDEX('My Books'!$D$1:$D$24,Calc!$P$8))</f>
        <v>Reliquary</v>
      </c>
      <c r="C13" s="27" t="str">
        <f>IF(Calc!$P$8=0,"",INDEX('My Books'!$F$1:$F$24,Calc!$P$8))</f>
        <v>Concept</v>
      </c>
      <c r="D13" s="28">
        <f>IF(Calc!$P$8=0,"",INDEX('My Books'!$G$1:$G$24,Calc!$P$8))</f>
        <v>200000</v>
      </c>
      <c r="E13" s="28">
        <f>IF(Calc!$P$8=0,"",INDEX('My Books'!$H$1:$H$24,Calc!$P$8))</f>
        <v>0</v>
      </c>
      <c r="F13" s="29">
        <f>IF(Calc!$P$8=0,"",INDEX('My Books'!$I$1:$I$24,Calc!$P$8))</f>
        <v>0</v>
      </c>
      <c r="G13" s="28">
        <f>IF(Calc!$P$8=0,"",INDEX('My Books'!$M$1:$M$24,Calc!$P$8))</f>
        <v>686</v>
      </c>
      <c r="H13" s="28">
        <f>IF(Calc!$P$8=0,"",INDEX('My Books'!$N$1:$N$24,Calc!$P$8))</f>
        <v>1627</v>
      </c>
      <c r="I13" s="28">
        <f>IF(Calc!$P$8=0,"",INDEX('My Books'!$Q$1:$Q$24,Calc!$P$8))</f>
        <v>0</v>
      </c>
    </row>
    <row r="14" ht="19.5" customHeight="1">
      <c r="A14" s="20" t="str">
        <f>IF(Calc!$P$9=0,"",INDEX('My Books'!$B$1:$B$24,Calc!$P$9))</f>
        <v>Company of the Storm</v>
      </c>
      <c r="B14" s="21" t="str">
        <f>IF(Calc!$P$9=0,"",INDEX('My Books'!$D$1:$D$24,Calc!$P$9))</f>
        <v>Reliquary</v>
      </c>
      <c r="C14" s="22" t="str">
        <f>IF(Calc!$P$9=0,"",INDEX('My Books'!$F$1:$F$24,Calc!$P$9))</f>
        <v>Concept</v>
      </c>
      <c r="D14" s="23">
        <f>IF(Calc!$P$9=0,"",INDEX('My Books'!$G$1:$G$24,Calc!$P$9))</f>
        <v>150000</v>
      </c>
      <c r="E14" s="23">
        <f>IF(Calc!$P$9=0,"",INDEX('My Books'!$H$1:$H$24,Calc!$P$9))</f>
        <v>0</v>
      </c>
      <c r="F14" s="24">
        <f>IF(Calc!$P$9=0,"",INDEX('My Books'!$I$1:$I$24,Calc!$P$9))</f>
        <v>0</v>
      </c>
      <c r="G14" s="23">
        <f>IF(Calc!$P$9=0,"",INDEX('My Books'!$M$1:$M$24,Calc!$P$9))</f>
        <v>808</v>
      </c>
      <c r="H14" s="23">
        <f>IF(Calc!$P$9=0,"",INDEX('My Books'!$N$1:$N$24,Calc!$P$9))</f>
        <v>1230</v>
      </c>
      <c r="I14" s="23">
        <f>IF(Calc!$P$9=0,"",INDEX('My Books'!$Q$1:$Q$24,Calc!$P$9))</f>
        <v>0</v>
      </c>
    </row>
    <row r="15" ht="19.5" customHeight="1">
      <c r="A15" s="25" t="str">
        <f>IF(Calc!$P$10=0,"",INDEX('My Books'!$B$1:$B$24,Calc!$P$10))</f>
        <v>The Silver Chronicles</v>
      </c>
      <c r="B15" s="26" t="str">
        <f>IF(Calc!$P$10=0,"",INDEX('My Books'!$D$1:$D$24,Calc!$P$10))</f>
        <v>Eldoria-Cosmos</v>
      </c>
      <c r="C15" s="27" t="str">
        <f>IF(Calc!$P$10=0,"",INDEX('My Books'!$F$1:$F$24,Calc!$P$10))</f>
        <v>Drafting</v>
      </c>
      <c r="D15" s="28">
        <f>IF(Calc!$P$10=0,"",INDEX('My Books'!$G$1:$G$24,Calc!$P$10))</f>
        <v>120000</v>
      </c>
      <c r="E15" s="28">
        <f>IF(Calc!$P$10=0,"",INDEX('My Books'!$H$1:$H$24,Calc!$P$10))</f>
        <v>4800</v>
      </c>
      <c r="F15" s="29">
        <f>IF(Calc!$P$10=0,"",INDEX('My Books'!$I$1:$I$24,Calc!$P$10))</f>
        <v>0.0158333333333333</v>
      </c>
      <c r="G15" s="28">
        <f>IF(Calc!$P$10=0,"",INDEX('My Books'!$M$1:$M$24,Calc!$P$10))</f>
        <v>228</v>
      </c>
      <c r="H15" s="28">
        <f>IF(Calc!$P$10=0,"",INDEX('My Books'!$N$1:$N$24,Calc!$P$10))</f>
        <v>0</v>
      </c>
      <c r="I15" s="28">
        <f>IF(Calc!$P$10=0,"",INDEX('My Books'!$Q$1:$Q$24,Calc!$P$10))</f>
        <v>1900</v>
      </c>
    </row>
    <row r="16" ht="19.5" customHeight="1">
      <c r="A16" s="20">
        <f>IF(Calc!$P$11=0,"",INDEX('My Books'!$B$1:$B$24,Calc!$P$11))</f>
        <v/>
      </c>
      <c r="B16" s="21">
        <f>IF(Calc!$P$11=0,"",INDEX('My Books'!$D$1:$D$24,Calc!$P$11))</f>
        <v/>
      </c>
      <c r="C16" s="22">
        <f>IF(Calc!$P$11=0,"",INDEX('My Books'!$F$1:$F$24,Calc!$P$11))</f>
        <v/>
      </c>
      <c r="D16" s="23">
        <f>IF(Calc!$P$11=0,"",INDEX('My Books'!$G$1:$G$24,Calc!$P$11))</f>
        <v/>
      </c>
      <c r="E16" s="23">
        <f>IF(Calc!$P$11=0,"",INDEX('My Books'!$H$1:$H$24,Calc!$P$11))</f>
        <v/>
      </c>
      <c r="F16" s="24">
        <f>IF(Calc!$P$11=0,"",INDEX('My Books'!$I$1:$I$24,Calc!$P$11))</f>
        <v/>
      </c>
      <c r="G16" s="23">
        <f>IF(Calc!$P$11=0,"",INDEX('My Books'!$M$1:$M$24,Calc!$P$11))</f>
        <v/>
      </c>
      <c r="H16" s="23">
        <f>IF(Calc!$P$11=0,"",INDEX('My Books'!$N$1:$N$24,Calc!$P$11))</f>
        <v/>
      </c>
      <c r="I16" s="23">
        <f>IF(Calc!$P$11=0,"",INDEX('My Books'!$Q$1:$Q$24,Calc!$P$11))</f>
        <v/>
      </c>
    </row>
    <row r="17" ht="19.5" customHeight="1">
      <c r="A17" s="25">
        <f>IF(Calc!$P$12=0,"",INDEX('My Books'!$B$1:$B$24,Calc!$P$12))</f>
        <v/>
      </c>
      <c r="B17" s="26">
        <f>IF(Calc!$P$12=0,"",INDEX('My Books'!$D$1:$D$24,Calc!$P$12))</f>
        <v/>
      </c>
      <c r="C17" s="27">
        <f>IF(Calc!$P$12=0,"",INDEX('My Books'!$F$1:$F$24,Calc!$P$12))</f>
        <v/>
      </c>
      <c r="D17" s="28">
        <f>IF(Calc!$P$12=0,"",INDEX('My Books'!$G$1:$G$24,Calc!$P$12))</f>
        <v/>
      </c>
      <c r="E17" s="28">
        <f>IF(Calc!$P$12=0,"",INDEX('My Books'!$H$1:$H$24,Calc!$P$12))</f>
        <v/>
      </c>
      <c r="F17" s="29">
        <f>IF(Calc!$P$12=0,"",INDEX('My Books'!$I$1:$I$24,Calc!$P$12))</f>
        <v/>
      </c>
      <c r="G17" s="28">
        <f>IF(Calc!$P$12=0,"",INDEX('My Books'!$M$1:$M$24,Calc!$P$12))</f>
        <v/>
      </c>
      <c r="H17" s="28">
        <f>IF(Calc!$P$12=0,"",INDEX('My Books'!$N$1:$N$24,Calc!$P$12))</f>
        <v/>
      </c>
      <c r="I17" s="28">
        <f>IF(Calc!$P$12=0,"",INDEX('My Books'!$Q$1:$Q$24,Calc!$P$12))</f>
        <v/>
      </c>
    </row>
    <row r="18" ht="16.5" customHeight="1">
      <c r="A18" s="4" t="inlineStr">
        <is>
          <t>💡 QUICK USER GUIDE &amp; BEST PRACTICES</t>
        </is>
      </c>
      <c r="B18" s="139" t="n"/>
      <c r="C18" s="139" t="n"/>
      <c r="D18" s="139" t="n"/>
      <c r="E18" s="139" t="n"/>
      <c r="F18" s="139" t="n"/>
      <c r="G18" s="139" t="n"/>
      <c r="H18" s="139" t="n"/>
      <c r="I18" s="139" t="n"/>
    </row>
    <row r="19" ht="27.75" customHeight="1">
      <c r="A19" s="30" t="inlineStr">
        <is>
          <t>1. Adding Projects</t>
        </is>
      </c>
      <c r="B19" s="3" t="inlineStr">
        <is>
          <t>Add projects in 'My Books' or run `python scripts/arcanum workbook sync`: Year, Type, Universe, Stage, Continuity Compilers, World Bible Lore, and all 15 charts across the 8 sheets auto-update dynamically!</t>
        </is>
      </c>
      <c r="C19" s="137" t="n"/>
      <c r="D19" s="137" t="n"/>
      <c r="E19" s="137" t="n"/>
      <c r="F19" s="137" t="n"/>
      <c r="G19" s="137" t="n"/>
      <c r="H19" s="137" t="n"/>
      <c r="I19" s="136" t="n"/>
    </row>
    <row r="20" ht="27.75" customHeight="1">
      <c r="A20" s="30" t="inlineStr">
        <is>
          <t>2. Series Dropdown</t>
        </is>
      </c>
      <c r="B20" s="2" t="inlineStr">
        <is>
          <t>Add series in 'Universes &amp; Series': Universe auto-populates, and the Series Canon &amp; Word Volume charts below the table update automatically.</t>
        </is>
      </c>
      <c r="C20" s="137" t="n"/>
      <c r="D20" s="137" t="n"/>
      <c r="E20" s="137" t="n"/>
      <c r="F20" s="137" t="n"/>
      <c r="G20" s="137" t="n"/>
      <c r="H20" s="137" t="n"/>
      <c r="I20" s="136" t="n"/>
    </row>
    <row r="21" ht="27.75" customHeight="1">
      <c r="A21" s="30" t="inlineStr">
        <is>
          <t>3. Daily Logging</t>
        </is>
      </c>
      <c r="B21" s="3" t="inlineStr">
        <is>
          <t>In 'Daily Writing Log', select a Date and Book Title — Stage at Session auto-populates from 'My Books', and Creative Phase &amp; Weekly Rhythm charts update live.</t>
        </is>
      </c>
      <c r="C21" s="137" t="n"/>
      <c r="D21" s="137" t="n"/>
      <c r="E21" s="137" t="n"/>
      <c r="F21" s="137" t="n"/>
      <c r="G21" s="137" t="n"/>
      <c r="H21" s="137" t="n"/>
      <c r="I21" s="136" t="n"/>
    </row>
    <row r="22" ht="27.75" customHeight="1">
      <c r="A22" s="30" t="inlineStr">
        <is>
          <t>4. Phase-Aware Effort</t>
        </is>
      </c>
      <c r="B22" s="2" t="inlineStr">
        <is>
          <t>Effort multipliers in 'Config' weight each session by its logged stage (100% for drafting/in-phase outlining, 50% for worldbuilding, 20% for in-phase revision, 0% for premature revision during drafting).</t>
        </is>
      </c>
      <c r="C22" s="137" t="n"/>
      <c r="D22" s="137" t="n"/>
      <c r="E22" s="137" t="n"/>
      <c r="F22" s="137" t="n"/>
      <c r="G22" s="137" t="n"/>
      <c r="H22" s="137" t="n"/>
      <c r="I22" s="136" t="n"/>
    </row>
    <row r="23" ht="27.75" customHeight="1">
      <c r="A23" s="31" t="inlineStr">
        <is>
          <t>5. Central Settings</t>
        </is>
      </c>
      <c r="B23" s="3" t="inlineStr">
        <is>
          <t>Adjust the daily effort goal, lifetime word milestone, annual production target, and phase-effort weights in 'Config'. The monthly target automatically scales to the exact number of days in the current month.</t>
        </is>
      </c>
      <c r="C23" s="137" t="n"/>
      <c r="D23" s="137" t="n"/>
      <c r="E23" s="137" t="n"/>
      <c r="F23" s="137" t="n"/>
      <c r="G23" s="137" t="n"/>
      <c r="H23" s="137" t="n"/>
      <c r="I23" s="136" t="n"/>
    </row>
    <row r="24" ht="8.25" customHeight="1"/>
    <row r="25" ht="21.75" customHeight="1">
      <c r="A25" s="1" t="inlineStr">
        <is>
          <t>📈 EXECUTIVE VISUAL TELEMETRY • 30D VELOCITY, ACTIVE SPOTLIGHT &amp; MULTI-YEAR CAPACITY</t>
        </is>
      </c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6">
    <mergeCell ref="A25:I25"/>
    <mergeCell ref="C6:D6"/>
    <mergeCell ref="G6:I6"/>
    <mergeCell ref="C5:D5"/>
    <mergeCell ref="E5:F5"/>
    <mergeCell ref="A18:I18"/>
    <mergeCell ref="B22:I22"/>
    <mergeCell ref="A6:B6"/>
    <mergeCell ref="C4:D4"/>
    <mergeCell ref="E4:F4"/>
    <mergeCell ref="B21:I21"/>
    <mergeCell ref="A2:I2"/>
    <mergeCell ref="A7:B7"/>
    <mergeCell ref="G5:I5"/>
    <mergeCell ref="G4:I4"/>
    <mergeCell ref="A8:I8"/>
    <mergeCell ref="B23:I23"/>
    <mergeCell ref="E6:F6"/>
    <mergeCell ref="A5:B5"/>
    <mergeCell ref="B19:I19"/>
    <mergeCell ref="A4:B4"/>
    <mergeCell ref="C7:D7"/>
    <mergeCell ref="E7:F7"/>
    <mergeCell ref="B20:I20"/>
    <mergeCell ref="A1:I1"/>
    <mergeCell ref="G7:I7"/>
  </mergeCells>
  <conditionalFormatting sqref="F10:F17">
    <cfRule type="dataBar" priority="2">
      <dataBar>
        <cfvo type="num" val="0"/>
        <cfvo type="num" val="1"/>
        <color rgb="FF6A1B9A"/>
      </dataBar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>
  <sheetPr>
    <tabColor rgb="FF5E35B0"/>
    <outlinePr summaryBelow="1" summaryRight="1"/>
    <pageSetUpPr fitToPage="1"/>
  </sheetPr>
  <dimension ref="A1:O33"/>
  <sheetViews>
    <sheetView topLeftCell="D1" zoomScaleNormal="100" zoomScalePageLayoutView="60" workbookViewId="0">
      <selection activeCell="Q4" sqref="Q4"/>
    </sheetView>
  </sheetViews>
  <sheetFormatPr baseColWidth="8" defaultColWidth="14.44140625" defaultRowHeight="14.4"/>
  <cols>
    <col width="34" customWidth="1" min="1" max="1"/>
    <col width="14" customWidth="1" min="2" max="2"/>
    <col width="54.33203125" customWidth="1" min="3" max="3"/>
    <col width="4" customWidth="1" min="4" max="4"/>
    <col width="22" customWidth="1" min="5" max="5"/>
    <col width="24" customWidth="1" min="6" max="6"/>
    <col width="20" customWidth="1" min="7" max="7"/>
    <col width="4" customWidth="1" min="8" max="8"/>
    <col width="28" customWidth="1" min="9" max="9"/>
    <col width="11.44140625" customWidth="1" min="10" max="10"/>
    <col width="8.44140625" customWidth="1" min="11" max="11"/>
    <col width="4" customWidth="1" min="12" max="12"/>
    <col width="28" customWidth="1" min="13" max="13"/>
    <col width="11.44140625" customWidth="1" min="14" max="14"/>
    <col width="8.44140625" customWidth="1" min="15" max="15"/>
  </cols>
  <sheetData>
    <row r="1" ht="27.75" customHeight="1">
      <c r="A1" s="127" t="inlineStr">
        <is>
          <t>⚙️ ECOSYSTEM CONFIGURATION &amp; CENTRAL SETTINGS</t>
        </is>
      </c>
    </row>
    <row r="2" ht="11.25" customHeight="1">
      <c r="A2" s="32" t="str">
        <f>TODAY()</f>
        <v>2026-10-16 00:00:00</v>
      </c>
      <c r="B2" s="128" t="inlineStr">
        <is>
          <t>System Reference Date (Centralized TODAY() for all pace &amp; projection formulas)</t>
        </is>
      </c>
    </row>
    <row r="3" ht="11.25" customHeight="1"/>
    <row r="4" ht="11.25" customHeight="1">
      <c r="A4" s="33" t="inlineStr">
        <is>
          <t>Variable Name</t>
        </is>
      </c>
      <c r="B4" s="34" t="inlineStr">
        <is>
          <t>Value</t>
        </is>
      </c>
      <c r="C4" s="33" t="inlineStr">
        <is>
          <t>Unit / Description</t>
        </is>
      </c>
      <c r="E4" s="33" t="inlineStr">
        <is>
          <t>Book Types</t>
        </is>
      </c>
      <c r="F4" s="33" t="inlineStr">
        <is>
          <t>Project Stages</t>
        </is>
      </c>
      <c r="G4" s="33" t="inlineStr">
        <is>
          <t>Universes</t>
        </is>
      </c>
      <c r="I4" s="35" t="str">
        <f>IF(Dashboard!$A$10="","Project 1: (empty slot)","Project 1: "&amp;Dashboard!$A$10)</f>
        <v>Project 1: Prisoner of Sand Sea</v>
      </c>
      <c r="J4" s="36" t="inlineStr">
        <is>
          <t>Words</t>
        </is>
      </c>
      <c r="K4" s="36" t="inlineStr">
        <is>
          <t>Share</t>
        </is>
      </c>
      <c r="L4" s="37" t="n"/>
      <c r="M4" s="35" t="str">
        <f>IF(Dashboard!$A$14="","Project 5: (empty slot)","Project 5: "&amp;Dashboard!$A$14)</f>
        <v>Project 5: Company of the Storm</v>
      </c>
      <c r="N4" s="36" t="inlineStr">
        <is>
          <t>Words</t>
        </is>
      </c>
      <c r="O4" s="36" t="inlineStr">
        <is>
          <t>Share</t>
        </is>
      </c>
    </row>
    <row r="5" ht="11.25" customHeight="1">
      <c r="A5" s="38" t="inlineStr">
        <is>
          <t>Daily Effort Goal Target</t>
        </is>
      </c>
      <c r="B5" s="39" t="n">
        <v>2000</v>
      </c>
      <c r="C5" s="40" t="inlineStr">
        <is>
          <t>Weighted effort points per day</t>
        </is>
      </c>
      <c r="E5" s="40" t="inlineStr">
        <is>
          <t>Novel</t>
        </is>
      </c>
      <c r="F5" s="40" t="inlineStr">
        <is>
          <t>Concept</t>
        </is>
      </c>
      <c r="G5" s="40" t="str">
        <v>Reliquary</v>
      </c>
      <c r="I5" s="41" t="inlineStr">
        <is>
          <t>Draft Words</t>
        </is>
      </c>
      <c r="J5" s="42">
        <f>N(Dashboard!$I$10)</f>
        <v>0</v>
      </c>
      <c r="K5" s="43">
        <f>IF(N(Dashboard!$D$10)&gt;0,J5/Dashboard!$D$10,0)</f>
        <v>0</v>
      </c>
      <c r="L5" s="37" t="n"/>
      <c r="M5" s="41" t="inlineStr">
        <is>
          <t>Draft Words</t>
        </is>
      </c>
      <c r="N5" s="42">
        <f>N(Dashboard!$I$14)</f>
        <v>0</v>
      </c>
      <c r="O5" s="43">
        <f>IF(N(Dashboard!$D$14)&gt;0,N5/Dashboard!$D$14,0)</f>
        <v>0</v>
      </c>
    </row>
    <row r="6" ht="11.25" customHeight="1">
      <c r="A6" s="38" t="inlineStr">
        <is>
          <t>Career Lifetime Milestone Target</t>
        </is>
      </c>
      <c r="B6" s="39" t="n">
        <v>15000000</v>
      </c>
      <c r="C6" s="40" t="inlineStr">
        <is>
          <t>Total Lifetime Words goal</t>
        </is>
      </c>
      <c r="E6" s="40" t="inlineStr">
        <is>
          <t>Novella</t>
        </is>
      </c>
      <c r="F6" s="40" t="inlineStr">
        <is>
          <t>Pre-Draft Outline</t>
        </is>
      </c>
      <c r="G6" s="40" t="str">
        <v>Standalone</v>
      </c>
      <c r="I6" s="44" t="inlineStr">
        <is>
          <t>Remaining</t>
        </is>
      </c>
      <c r="J6" s="45">
        <f>MAX(0,N(Dashboard!$D$10)-J5)</f>
        <v>200000</v>
      </c>
      <c r="K6" s="46">
        <f>IF(N(Dashboard!$D$10)&gt;0,J6/Dashboard!$D$10,0)</f>
        <v>1</v>
      </c>
      <c r="L6" s="37" t="n"/>
      <c r="M6" s="44" t="inlineStr">
        <is>
          <t>Remaining</t>
        </is>
      </c>
      <c r="N6" s="45">
        <f>MAX(0,N(Dashboard!$D$14)-N5)</f>
        <v>150000</v>
      </c>
      <c r="O6" s="46">
        <f>IF(N(Dashboard!$D$14)&gt;0,N6/Dashboard!$D$14,0)</f>
        <v>1</v>
      </c>
    </row>
    <row r="7" ht="11.25" customHeight="1">
      <c r="A7" s="38" t="inlineStr">
        <is>
          <t>Current Annual Production Target</t>
        </is>
      </c>
      <c r="B7" s="39" t="n">
        <v>730000</v>
      </c>
      <c r="C7" s="40" t="inlineStr">
        <is>
          <t>Target words for current year</t>
        </is>
      </c>
      <c r="E7" s="40" t="inlineStr">
        <is>
          <t>Novelette</t>
        </is>
      </c>
      <c r="F7" s="40" t="inlineStr">
        <is>
          <t>Drafting</t>
        </is>
      </c>
      <c r="G7" s="40" t="str">
        <v>Eldoria-Cosmos</v>
      </c>
      <c r="K7" s="47" t="n"/>
      <c r="L7" s="37" t="n"/>
      <c r="M7" s="37" t="n"/>
    </row>
    <row r="8" ht="11.25" customHeight="1">
      <c r="A8" s="38" t="inlineStr">
        <is>
          <t>Streak Grace Days / Month</t>
        </is>
      </c>
      <c r="B8" s="39" t="n">
        <v>3</v>
      </c>
      <c r="C8" s="40" t="inlineStr">
        <is>
          <t>Forgiven missed days per month (assumption: 3)</t>
        </is>
      </c>
      <c r="E8" s="40" t="inlineStr">
        <is>
          <t>Short Story</t>
        </is>
      </c>
      <c r="F8" s="40" t="inlineStr">
        <is>
          <t>Pre-Revision Outline</t>
        </is>
      </c>
      <c r="G8" s="140" t="str">
        <v>Other Universe</v>
      </c>
      <c r="I8" s="35" t="str">
        <f>IF(Dashboard!$A$11="","Project 2: (empty slot)","Project 2: "&amp;Dashboard!$A$11)</f>
        <v>Project 2: Gothic Fantasy 1</v>
      </c>
      <c r="J8" s="36" t="inlineStr">
        <is>
          <t>Words</t>
        </is>
      </c>
      <c r="K8" s="36" t="inlineStr">
        <is>
          <t>Share</t>
        </is>
      </c>
      <c r="L8" s="37" t="n"/>
      <c r="M8" s="35" t="str">
        <f>IF(Dashboard!$A$15="","Project 6: (empty slot)","Project 6: "&amp;Dashboard!$A$15)</f>
        <v>Project 6: The Silver Chronicles</v>
      </c>
      <c r="N8" s="36" t="inlineStr">
        <is>
          <t>Words</t>
        </is>
      </c>
      <c r="O8" s="36" t="inlineStr">
        <is>
          <t>Share</t>
        </is>
      </c>
    </row>
    <row r="9" ht="11.25" customHeight="1">
      <c r="A9" s="33" t="inlineStr">
        <is>
          <t>Effort Multiplier (Phase Weight)</t>
        </is>
      </c>
      <c r="B9" s="34" t="inlineStr">
        <is>
          <t>Weight</t>
        </is>
      </c>
      <c r="C9" s="33" t="inlineStr">
        <is>
          <t>Rule / Application Logic</t>
        </is>
      </c>
      <c r="E9" s="40" t="inlineStr">
        <is>
          <t>Anthology / Omnibus</t>
        </is>
      </c>
      <c r="F9" s="40" t="inlineStr">
        <is>
          <t>Revision</t>
        </is>
      </c>
      <c r="I9" s="41" t="inlineStr">
        <is>
          <t>Draft Words</t>
        </is>
      </c>
      <c r="J9" s="42">
        <f>N(Dashboard!$I$11)</f>
        <v>0</v>
      </c>
      <c r="K9" s="43">
        <f>IF(N(Dashboard!$D$11)&gt;0,J9/Dashboard!$D$11,0)</f>
        <v>0</v>
      </c>
      <c r="L9" s="37" t="n"/>
      <c r="M9" s="41" t="inlineStr">
        <is>
          <t>Draft Words</t>
        </is>
      </c>
      <c r="N9" s="42">
        <f>N(Dashboard!$I$15)</f>
        <v>1900</v>
      </c>
      <c r="O9" s="43">
        <f>IF(N(Dashboard!$D$15)&gt;0,N9/Dashboard!$D$15,0)</f>
        <v>0.0158333333333333</v>
      </c>
    </row>
    <row r="10" ht="11.25" customHeight="1">
      <c r="A10" s="38" t="inlineStr">
        <is>
          <t>Drafting Prose (First Draft)</t>
        </is>
      </c>
      <c r="B10" s="48" t="n">
        <v>1</v>
      </c>
      <c r="C10" s="40" t="inlineStr">
        <is>
          <t>Always 100% effort credit toward daily goal</t>
        </is>
      </c>
      <c r="F10" s="40" t="inlineStr">
        <is>
          <t>Beta Review</t>
        </is>
      </c>
      <c r="I10" s="44" t="inlineStr">
        <is>
          <t>Remaining</t>
        </is>
      </c>
      <c r="J10" s="45">
        <f>MAX(0,N(Dashboard!$D$11)-J9)</f>
        <v>150000</v>
      </c>
      <c r="K10" s="46">
        <f>IF(N(Dashboard!$D$11)&gt;0,J10/Dashboard!$D$11,0)</f>
        <v>1</v>
      </c>
      <c r="L10" s="37" t="n"/>
      <c r="M10" s="44" t="inlineStr">
        <is>
          <t>Remaining</t>
        </is>
      </c>
      <c r="N10" s="45">
        <f>MAX(0,N(Dashboard!$D$15)-N9)</f>
        <v>118100</v>
      </c>
      <c r="O10" s="46">
        <f>IF(N(Dashboard!$D$15)&gt;0,N10/Dashboard!$D$15,0)</f>
        <v>0.984166666666667</v>
      </c>
    </row>
    <row r="11" ht="11.25" customHeight="1">
      <c r="A11" s="38" t="inlineStr">
        <is>
          <t>Pre-Draft Outlining</t>
        </is>
      </c>
      <c r="B11" s="48" t="n">
        <v>1</v>
      </c>
      <c r="C11" s="40" t="inlineStr">
        <is>
          <t>Full 100% credit when book is in Pre-Draft Outline stage</t>
        </is>
      </c>
      <c r="F11" s="40" t="inlineStr">
        <is>
          <t>Proofing</t>
        </is>
      </c>
      <c r="K11" s="47" t="n"/>
      <c r="L11" s="37" t="n"/>
      <c r="M11" s="37" t="n"/>
    </row>
    <row r="12" ht="11.25" customHeight="1">
      <c r="A12" s="38" t="inlineStr">
        <is>
          <t>Pre-Revision Outlining</t>
        </is>
      </c>
      <c r="B12" s="48" t="n">
        <v>1</v>
      </c>
      <c r="C12" s="40" t="inlineStr">
        <is>
          <t>Full 100% credit when book is in Pre-Revision Outline stage</t>
        </is>
      </c>
      <c r="F12" s="40" t="inlineStr">
        <is>
          <t>Querying</t>
        </is>
      </c>
      <c r="I12" s="35" t="str">
        <f>IF(Dashboard!$A$12="","Project 3: (empty slot)","Project 3: "&amp;Dashboard!$A$12)</f>
        <v>Project 3: Quest Fantasy 1</v>
      </c>
      <c r="J12" s="36" t="inlineStr">
        <is>
          <t>Words</t>
        </is>
      </c>
      <c r="K12" s="36" t="inlineStr">
        <is>
          <t>Share</t>
        </is>
      </c>
      <c r="L12" s="37" t="n"/>
      <c r="M12" s="35" t="str">
        <f>IF(Dashboard!$A$16="","Project 7: (empty slot)","Project 7: "&amp;Dashboard!$A$16)</f>
        <v>Project 7: (empty slot)</v>
      </c>
      <c r="N12" s="36" t="inlineStr">
        <is>
          <t>Words</t>
        </is>
      </c>
      <c r="O12" s="36" t="inlineStr">
        <is>
          <t>Share</t>
        </is>
      </c>
    </row>
    <row r="13" ht="11.25" customHeight="1">
      <c r="A13" s="38" t="inlineStr">
        <is>
          <t>Off-Phase Outlining</t>
        </is>
      </c>
      <c r="B13" s="48" t="n">
        <v>0.5</v>
      </c>
      <c r="C13" s="40" t="inlineStr">
        <is>
          <t>Half credit if outlining outside designated outline stages</t>
        </is>
      </c>
      <c r="F13" s="49" t="inlineStr">
        <is>
          <t>Publishing</t>
        </is>
      </c>
      <c r="I13" s="41" t="inlineStr">
        <is>
          <t>Draft Words</t>
        </is>
      </c>
      <c r="J13" s="42">
        <f>N(Dashboard!$I$12)</f>
        <v>0</v>
      </c>
      <c r="K13" s="43">
        <f>IF(N(Dashboard!$D$12)&gt;0,J13/Dashboard!$D$12,0)</f>
        <v>0</v>
      </c>
      <c r="M13" s="41" t="inlineStr">
        <is>
          <t>Draft Words</t>
        </is>
      </c>
      <c r="N13" s="42">
        <f>N(Dashboard!$I$16)</f>
        <v>0</v>
      </c>
      <c r="O13" s="43">
        <f>IF(N(Dashboard!$D$16)&gt;0,N13/Dashboard!$D$16,0)</f>
        <v>0</v>
      </c>
    </row>
    <row r="14" ht="11.25" customHeight="1">
      <c r="A14" s="38" t="inlineStr">
        <is>
          <t>Worldbuilding / Lore Notes</t>
        </is>
      </c>
      <c r="B14" s="48" t="n">
        <v>0.5</v>
      </c>
      <c r="C14" s="40" t="inlineStr">
        <is>
          <t>50% credit (2 worldbuilding words = 1 effort point)</t>
        </is>
      </c>
      <c r="F14" s="50" t="inlineStr">
        <is>
          <t>Published</t>
        </is>
      </c>
      <c r="I14" s="44" t="inlineStr">
        <is>
          <t>Remaining</t>
        </is>
      </c>
      <c r="J14" s="45">
        <f>MAX(0,N(Dashboard!$D$12)-J13)</f>
        <v>200000</v>
      </c>
      <c r="K14" s="46">
        <f>IF(N(Dashboard!$D$12)&gt;0,J14/Dashboard!$D$12,0)</f>
        <v>1</v>
      </c>
      <c r="M14" s="44" t="inlineStr">
        <is>
          <t>Remaining</t>
        </is>
      </c>
      <c r="N14" s="45">
        <f>MAX(0,N(Dashboard!$D$16)-N13)</f>
        <v>0</v>
      </c>
      <c r="O14" s="46">
        <f>IF(N(Dashboard!$D$16)&gt;0,N14/Dashboard!$D$16,0)</f>
        <v>0</v>
      </c>
    </row>
    <row r="15" ht="11.25" customHeight="1">
      <c r="A15" s="38" t="inlineStr">
        <is>
          <t>Revisions (during Revision Stage)</t>
        </is>
      </c>
      <c r="B15" s="48" t="n">
        <v>0.2</v>
      </c>
      <c r="C15" s="40" t="inlineStr">
        <is>
          <t>20% credit when book is in Revision stage (5 revised wds = 1 pt)</t>
        </is>
      </c>
      <c r="K15" s="47" t="n"/>
    </row>
    <row r="16" ht="11.25" customHeight="1">
      <c r="A16" s="38" t="inlineStr">
        <is>
          <t>Revisions (outside Revision Stage)</t>
        </is>
      </c>
      <c r="B16" s="48" t="n">
        <v>0</v>
      </c>
      <c r="C16" s="40" t="inlineStr">
        <is>
          <t>Zero effort credit during drafting (prevents premature editing!)</t>
        </is>
      </c>
      <c r="I16" s="35" t="str">
        <f>IF(Dashboard!$A$13="","Project 4: (empty slot)","Project 4: "&amp;Dashboard!$A$13)</f>
        <v>Project 4: Ruler of Sand Sea</v>
      </c>
      <c r="J16" s="36" t="inlineStr">
        <is>
          <t>Words</t>
        </is>
      </c>
      <c r="K16" s="36" t="inlineStr">
        <is>
          <t>Share</t>
        </is>
      </c>
      <c r="M16" s="35" t="str">
        <f>IF(Dashboard!$A$17="","Project 8: (empty slot)","Project 8: "&amp;Dashboard!$A$17)</f>
        <v>Project 8: (empty slot)</v>
      </c>
      <c r="N16" s="36" t="inlineStr">
        <is>
          <t>Words</t>
        </is>
      </c>
      <c r="O16" s="36" t="inlineStr">
        <is>
          <t>Share</t>
        </is>
      </c>
    </row>
    <row r="17" ht="11.25" customHeight="1">
      <c r="I17" s="41" t="inlineStr">
        <is>
          <t>Draft Words</t>
        </is>
      </c>
      <c r="J17" s="42">
        <f>N(Dashboard!$I$13)</f>
        <v>0</v>
      </c>
      <c r="K17" s="43">
        <f>IF(N(Dashboard!$D$13)&gt;0,J17/Dashboard!$D$13,0)</f>
        <v>0</v>
      </c>
      <c r="M17" s="41" t="inlineStr">
        <is>
          <t>Draft Words</t>
        </is>
      </c>
      <c r="N17" s="42">
        <f>N(Dashboard!$I$17)</f>
        <v>0</v>
      </c>
      <c r="O17" s="43">
        <f>IF(N(Dashboard!$D$17)&gt;0,N17/Dashboard!$D$17,0)</f>
        <v>0</v>
      </c>
    </row>
    <row r="18" ht="11.25" customHeight="1">
      <c r="I18" s="44" t="inlineStr">
        <is>
          <t>Remaining</t>
        </is>
      </c>
      <c r="J18" s="45">
        <f>MAX(0,N(Dashboard!$D$13)-J17)</f>
        <v>200000</v>
      </c>
      <c r="K18" s="46">
        <f>IF(N(Dashboard!$D$13)&gt;0,J18/Dashboard!$D$13,0)</f>
        <v>1</v>
      </c>
      <c r="M18" s="44" t="inlineStr">
        <is>
          <t>Remaining</t>
        </is>
      </c>
      <c r="N18" s="45">
        <f>MAX(0,N(Dashboard!$D$17)-N17)</f>
        <v>0</v>
      </c>
      <c r="O18" s="46">
        <f>IF(N(Dashboard!$D$17)&gt;0,N18/Dashboard!$D$17,0)</f>
        <v>0</v>
      </c>
    </row>
    <row r="19" ht="11.25" customHeight="1">
      <c r="K19" s="47" t="n"/>
    </row>
    <row r="20" ht="11.25" customHeight="1">
      <c r="I20" s="35" t="inlineStr">
        <is>
          <t>Daily Habit Progress</t>
        </is>
      </c>
      <c r="J20" s="36" t="inlineStr">
        <is>
          <t>Effort Points</t>
        </is>
      </c>
      <c r="K20" s="51" t="inlineStr">
        <is>
          <t>Share</t>
        </is>
      </c>
    </row>
    <row r="21" ht="11.25" customHeight="1">
      <c r="I21" s="52" t="inlineStr">
        <is>
          <t>Earned Today</t>
        </is>
      </c>
      <c r="J21" s="53">
        <f>SUMIFS('Daily Writing Log'!$I$5:$I$34,'Daily Writing Log'!$A$5:$A$34,$A$2)</f>
        <v>0</v>
      </c>
      <c r="K21" s="54">
        <f>IF(Config!$B$5&gt;0,MIN(1,J21/Config!$B$5),0)</f>
        <v>0</v>
      </c>
    </row>
    <row r="22" ht="11.25" customHeight="1">
      <c r="I22" s="55" t="inlineStr">
        <is>
          <t>Remaining Today</t>
        </is>
      </c>
      <c r="J22" s="56">
        <f>MAX(0,$B$5-J21)</f>
        <v>2000</v>
      </c>
      <c r="K22" s="57">
        <f>IF(Config!$B$5&gt;0,MAX(0,1-J21/Config!$B$5),0)</f>
        <v>1</v>
      </c>
    </row>
    <row r="23" ht="11.25" customHeight="1"/>
    <row r="24" ht="11.25" customHeight="1">
      <c r="A24" s="33" t="inlineStr">
        <is>
          <t>🩺 DATA INTEGRITY CHECKS</t>
        </is>
      </c>
      <c r="B24" s="33" t="inlineStr">
        <is>
          <t>Issues</t>
        </is>
      </c>
      <c r="C24" s="33" t="inlineStr">
        <is>
          <t>What it means / how to fix</t>
        </is>
      </c>
    </row>
    <row r="25" ht="19.5" customHeight="1">
      <c r="A25" s="21" t="inlineStr">
        <is>
          <t>Log rows with unknown Book Title</t>
        </is>
      </c>
      <c r="B25" s="23">
        <f>SUMPRODUCT(('Daily Writing Log'!$B$5:$B$34&lt;&gt;"")*(COUNTIF('My Books'!$B$5:$B$24,'Daily Writing Log'!$B$5:$B$34)=0))</f>
        <v>0</v>
      </c>
      <c r="C25" s="21" t="inlineStr">
        <is>
          <t>Title not found in 'My Books' (typo or renamed book) - its words are not counted toward any book</t>
        </is>
      </c>
    </row>
    <row r="26" ht="19.5" customHeight="1">
      <c r="A26" s="26" t="inlineStr">
        <is>
          <t>Duplicate Book Titles</t>
        </is>
      </c>
      <c r="B26" s="28">
        <f>SUMPRODUCT(('My Books'!$B$5:$B$24&lt;&gt;"")*(COUNTIF('My Books'!$B$5:$B$24,'My Books'!$B$5:$B$24)&gt;1))</f>
        <v>0</v>
      </c>
      <c r="C26" s="26" t="inlineStr">
        <is>
          <t>Titles must be unique - duplicates double-count words</t>
        </is>
      </c>
    </row>
    <row r="27" ht="19.5" customHeight="1">
      <c r="A27" s="21" t="inlineStr">
        <is>
          <t>Log rows missing a Stage</t>
        </is>
      </c>
      <c r="B27" s="23">
        <f>SUMPRODUCT(('Daily Writing Log'!$B$5:$B$34&lt;&gt;"")*('Daily Writing Log'!$C$5:$C$34=""))</f>
        <v>0</v>
      </c>
      <c r="C27" s="21" t="inlineStr">
        <is>
          <t>Stage drives effort weights (outlining / revision) - pick one in the Stage column</t>
        </is>
      </c>
    </row>
    <row r="28" ht="19.5" customHeight="1">
      <c r="A28" s="26" t="inlineStr">
        <is>
          <t>Log rows with words dated in the future</t>
        </is>
      </c>
      <c r="B28" s="28">
        <f>COUNTIFS('Daily Writing Log'!$A$5:$A$34,"&gt;"&amp;$A$2,'Daily Writing Log'!$H$5:$H$34,"&gt;0")</f>
        <v>0</v>
      </c>
      <c r="C28" s="26" t="inlineStr">
        <is>
          <t>Future-dated word counts do not count toward today / streak / velocity (0-word planning rows are ignored)</t>
        </is>
      </c>
    </row>
    <row r="29" ht="19.5" customHeight="1">
      <c r="A29" s="21" t="inlineStr">
        <is>
          <t>Log rows missing Date or Book</t>
        </is>
      </c>
      <c r="B29" s="23">
        <f>SUMPRODUCT((('Daily Writing Log'!$D$5:$D$34+'Daily Writing Log'!$E$5:$E$34+'Daily Writing Log'!$F$5:$F$34+'Daily Writing Log'!$G$5:$G$34)&gt;0)*(('Daily Writing Log'!$A$5:$A$34="")+('Daily Writing Log'!$B$5:$B$34="")&gt;0))</f>
        <v>0</v>
      </c>
      <c r="C29" s="21" t="inlineStr">
        <is>
          <t>Words without a date and a book are invisible to the dashboard</t>
        </is>
      </c>
    </row>
    <row r="30" ht="19.5" customHeight="1">
      <c r="A30" s="26" t="inlineStr">
        <is>
          <t>Words not credited to any book</t>
        </is>
      </c>
      <c r="B30" s="28">
        <f>SUM('Daily Writing Log'!$H$5:$H$34)-SUM('My Books'!$H$5:$H$24)</f>
        <v>0</v>
      </c>
      <c r="C30" s="26" t="inlineStr">
        <is>
          <t>Should be 0. Non-zero = orphaned log rows (see first check)</t>
        </is>
      </c>
    </row>
    <row r="31" ht="19.5" customHeight="1">
      <c r="A31" s="21" t="inlineStr">
        <is>
          <t>Series catalog errors or unknown series</t>
        </is>
      </c>
      <c r="B31" s="23">
        <f>COUNTIF('Universes &amp; Series'!$H$5:$H$24,"⚠*")+SUMPRODUCT(('My Books'!$E$5:$E$24&lt;&gt;"")*(COUNTIF('Universes &amp; Series'!$A$5:$A$24,'My Books'!$E$5:$E$24)=0))</f>
        <v>0</v>
      </c>
      <c r="C31" s="21" t="inlineStr">
        <is>
          <t>Flags if 'My Books' uses an unknown Series or if cataloged books exceed Planned Books in 'Universes &amp; Series'</t>
        </is>
      </c>
    </row>
    <row r="32" ht="19.5" customHeight="1">
      <c r="A32" s="26" t="inlineStr">
        <is>
          <t>Active books past deadline (Overdue)</t>
        </is>
      </c>
      <c r="B32" s="28">
        <f>COUNTIF('My Books'!$R$5:$R$24,"🔴 Overdue")</f>
        <v>0</v>
      </c>
      <c r="C32" s="26" t="inlineStr">
        <is>
          <t>Unfinished books in 'My Books' whose deadline has passed — extend deadline or prioritize</t>
        </is>
      </c>
    </row>
    <row r="33" ht="19.5" customHeight="1">
      <c r="A33" s="58" t="inlineStr">
        <is>
          <t>Overall status</t>
        </is>
      </c>
      <c r="B33" s="59">
        <f>COUNTIF(B25:B32,"&lt;&gt;0")</f>
        <v>0</v>
      </c>
      <c r="C33" s="58" t="str">
        <f>IF(B33=0,"✅ All 8 integrity checks pass","⚠️ "&amp;B33&amp;" check(s) need attention")</f>
        <v>✅ All 8 integrity checks pass</v>
      </c>
    </row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2">
    <mergeCell ref="A1:O1"/>
    <mergeCell ref="B2:O2"/>
  </mergeCells>
  <dataValidations count="2">
    <dataValidation sqref="B5:B7" showDropDown="0" showInputMessage="0" showErrorMessage="0" allowBlank="0" type="whole" operator="greaterThan">
      <formula1>0</formula1>
      <formula2>0</formula2>
    </dataValidation>
    <dataValidation sqref="B10:B16" showDropDown="0" showInputMessage="0" showErrorMessage="0" allowBlank="0" type="decimal">
      <formula1>0</formula1>
      <formula2>1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A1FA1"/>
    <outlinePr summaryBelow="1" summaryRight="1"/>
    <pageSetUpPr fitToPage="1"/>
  </sheetPr>
  <dimension ref="A1:I27"/>
  <sheetViews>
    <sheetView zoomScaleNormal="100" zoomScalePageLayoutView="60" workbookViewId="0">
      <selection activeCell="A1" sqref="A1:I1"/>
    </sheetView>
  </sheetViews>
  <sheetFormatPr baseColWidth="8" defaultColWidth="14.44140625" defaultRowHeight="14.4"/>
  <cols>
    <col width="26" customWidth="1" min="1" max="1"/>
    <col width="18" customWidth="1" min="2" max="2"/>
    <col width="15" customWidth="1" min="3" max="3"/>
    <col width="18" customWidth="1" min="4" max="5"/>
    <col width="22" customWidth="1" min="6" max="6"/>
    <col width="42" customWidth="1" min="7" max="7"/>
    <col width="34" customWidth="1" min="8" max="8"/>
    <col width="17" customWidth="1" min="9" max="9"/>
  </cols>
  <sheetData>
    <row r="1" ht="27.75" customHeight="1">
      <c r="A1" s="129" t="inlineStr">
        <is>
          <t>🌌 UNIVERSES &amp; SERIES • CANON PORTFOLIO</t>
        </is>
      </c>
    </row>
    <row r="2" ht="19.5" customHeight="1">
      <c r="A2" s="130" t="inlineStr">
        <is>
          <t>Manage shared fictional universes alongside standalone stories and track lifetime wordcounts across each series.</t>
        </is>
      </c>
    </row>
    <row r="3" ht="14.25" customHeight="1">
      <c r="C3" s="60" t="n"/>
      <c r="D3" s="60" t="n"/>
      <c r="E3" s="60" t="n"/>
      <c r="F3" s="60" t="n"/>
    </row>
    <row r="4" ht="24" customHeight="1">
      <c r="A4" s="61" t="inlineStr">
        <is>
          <t>Series Title</t>
        </is>
      </c>
      <c r="B4" s="62" t="inlineStr">
        <is>
          <t>Universe</t>
        </is>
      </c>
      <c r="C4" s="63" t="inlineStr">
        <is>
          <t>Planned Books</t>
        </is>
      </c>
      <c r="D4" s="63" t="inlineStr">
        <is>
          <t>Completed Books</t>
        </is>
      </c>
      <c r="E4" s="63" t="inlineStr">
        <is>
          <t>Books In Progress</t>
        </is>
      </c>
      <c r="F4" s="63" t="inlineStr">
        <is>
          <t>Total Work Words</t>
        </is>
      </c>
      <c r="G4" s="61" t="inlineStr">
        <is>
          <t>Series Premise / Notes</t>
        </is>
      </c>
      <c r="H4" s="62" t="inlineStr">
        <is>
          <t>Catalog Check</t>
        </is>
      </c>
      <c r="I4" s="62" t="inlineStr">
        <is>
          <t>Draft Progress %</t>
        </is>
      </c>
    </row>
    <row r="5" ht="19.5" customHeight="1">
      <c r="A5" s="20" t="str">
        <v>Sand Sea Saga</v>
      </c>
      <c r="B5" s="22" t="str">
        <v>Reliquary</v>
      </c>
      <c r="C5" s="23">
        <v>3</v>
      </c>
      <c r="D5" s="23">
        <f>IF(A5="","",COUNTIFS('My Books'!$E$5:$E$24,A5,'My Books'!$F$5:$F$24,"Published"))</f>
        <v>0</v>
      </c>
      <c r="E5" s="23">
        <f>IF(A5="","",COUNTIFS('My Books'!$E$5:$E$24,A5,'My Books'!$F$5:$F$24,"&lt;&gt;Published",'My Books'!$F$5:$F$24,"&lt;&gt;"))</f>
        <v>2</v>
      </c>
      <c r="F5" s="23">
        <f>IF(A5="","",SUMIFS('My Books'!$H$5:$H$24,'My Books'!$E$5:$E$24,A5))</f>
        <v>0</v>
      </c>
      <c r="G5" s="21" t="str">
        <v>Cosmere inspired dark-epic fantasy</v>
      </c>
      <c r="H5" s="22" t="str">
        <f>IF(A5="","",IF(D5+E5&gt;C5,"⚠️ Over-cataloged ("&amp;(D5+E5)&amp;"/"&amp;C5&amp;")","✓ "&amp;(D5+E5)&amp;" of "&amp;C5&amp;" cataloged ("&amp;(C5-D5-E5)&amp;" future)"))</f>
        <v>✓ 2 of 3 cataloged (1 future)</v>
      </c>
      <c r="I5" s="24">
        <f>IF(A5="","",IFERROR(SUMIFS('My Books'!$Q$5:$Q$24,'My Books'!$E$5:$E$24,A5)/SUMIFS('My Books'!$G$5:$G$24,'My Books'!$E$5:$E$24,A5),0))</f>
        <v>0.0</v>
      </c>
    </row>
    <row r="6" ht="19.5" customHeight="1">
      <c r="A6" s="64" t="str">
        <v>Gothic Fantasy Series</v>
      </c>
      <c r="B6" s="65" t="str">
        <v>Reliquary</v>
      </c>
      <c r="C6" s="66">
        <v>4</v>
      </c>
      <c r="D6" s="66">
        <f>IF(A6="","",COUNTIFS('My Books'!$E$5:$E$24,A6,'My Books'!$F$5:$F$24,"Published"))</f>
        <v>0</v>
      </c>
      <c r="E6" s="66">
        <f>IF(A6="","",COUNTIFS('My Books'!$E$5:$E$24,A6,'My Books'!$F$5:$F$24,"&lt;&gt;Published",'My Books'!$F$5:$F$24,"&lt;&gt;"))</f>
        <v>1</v>
      </c>
      <c r="F6" s="66">
        <f>IF(A6="","",SUMIFS('My Books'!$H$5:$H$24,'My Books'!$E$5:$E$24,A6))</f>
        <v>0</v>
      </c>
      <c r="G6" s="67" t="str">
        <v>Bloodborne inspired grim-epic fantasy</v>
      </c>
      <c r="H6" s="65" t="str">
        <f>IF(A6="","",IF(D6+E6&gt;C6,"⚠️ Over-cataloged ("&amp;(D6+E6)&amp;"/"&amp;C6&amp;")","✓ "&amp;(D6+E6)&amp;" of "&amp;C6&amp;" cataloged ("&amp;(C6-D6-E6)&amp;" future)"))</f>
        <v>✓ 1 of 4 cataloged (3 future)</v>
      </c>
      <c r="I6" s="68">
        <f>IF(A6="","",IFERROR(SUMIFS('My Books'!$Q$5:$Q$24,'My Books'!$E$5:$E$24,A6)/SUMIFS('My Books'!$G$5:$G$24,'My Books'!$E$5:$E$24,A6),0))</f>
        <v>0.0</v>
      </c>
    </row>
    <row r="7" ht="19.5" customHeight="1">
      <c r="A7" s="20" t="str">
        <v>Classic Quest Fantasy</v>
      </c>
      <c r="B7" s="22" t="str">
        <v>Reliquary</v>
      </c>
      <c r="C7" s="23">
        <v>3</v>
      </c>
      <c r="D7" s="23">
        <f>IF(A7="","",COUNTIFS('My Books'!$E$5:$E$24,A7,'My Books'!$F$5:$F$24,"Published"))</f>
        <v>0</v>
      </c>
      <c r="E7" s="23">
        <f>IF(A7="","",COUNTIFS('My Books'!$E$5:$E$24,A7,'My Books'!$F$5:$F$24,"&lt;&gt;Published",'My Books'!$F$5:$F$24,"&lt;&gt;"))</f>
        <v>1</v>
      </c>
      <c r="F7" s="23">
        <f>IF(A7="","",SUMIFS('My Books'!$H$5:$H$24,'My Books'!$E$5:$E$24,A7))</f>
        <v>0</v>
      </c>
      <c r="G7" s="21" t="str">
        <v>Golden age quest fantasy</v>
      </c>
      <c r="H7" s="22" t="str">
        <f>IF(A7="","",IF(D7+E7&gt;C7,"⚠️ Over-cataloged ("&amp;(D7+E7)&amp;"/"&amp;C7&amp;")","✓ "&amp;(D7+E7)&amp;" of "&amp;C7&amp;" cataloged ("&amp;(C7-D7-E7)&amp;" future)"))</f>
        <v>✓ 1 of 3 cataloged (2 future)</v>
      </c>
      <c r="I7" s="24">
        <f>IF(A7="","",IFERROR(SUMIFS('My Books'!$Q$5:$Q$24,'My Books'!$E$5:$E$24,A7)/SUMIFS('My Books'!$G$5:$G$24,'My Books'!$E$5:$E$24,A7),0))</f>
        <v>0.0</v>
      </c>
    </row>
    <row r="8" ht="19.5" customHeight="1">
      <c r="A8" s="64" t="str">
        <v>Stormbreaker Chronicles</v>
      </c>
      <c r="B8" s="65" t="str">
        <v>Reliquary</v>
      </c>
      <c r="C8" s="66">
        <v>8</v>
      </c>
      <c r="D8" s="66">
        <f>IF(A8="","",COUNTIFS('My Books'!$E$5:$E$24,A8,'My Books'!$F$5:$F$24,"Published"))</f>
        <v>0</v>
      </c>
      <c r="E8" s="66">
        <f>IF(A8="","",COUNTIFS('My Books'!$E$5:$E$24,A8,'My Books'!$F$5:$F$24,"&lt;&gt;Published",'My Books'!$F$5:$F$24,"&lt;&gt;"))</f>
        <v>1</v>
      </c>
      <c r="F8" s="66">
        <f>IF(A8="","",SUMIFS('My Books'!$H$5:$H$24,'My Books'!$E$5:$E$24,A8))</f>
        <v>0</v>
      </c>
      <c r="G8" s="67" t="str">
        <v>Comedic adventures of a mercenary company</v>
      </c>
      <c r="H8" s="65" t="str">
        <f>IF(A8="","",IF(D8+E8&gt;C8,"⚠️ Over-cataloged ("&amp;(D8+E8)&amp;"/"&amp;C8&amp;")","✓ "&amp;(D8+E8)&amp;" of "&amp;C8&amp;" cataloged ("&amp;(C8-D8-E8)&amp;" future)"))</f>
        <v>✓ 1 of 8 cataloged (7 future)</v>
      </c>
      <c r="I8" s="68">
        <f>IF(A8="","",IFERROR(SUMIFS('My Books'!$Q$5:$Q$24,'My Books'!$E$5:$E$24,A8)/SUMIFS('My Books'!$G$5:$G$24,'My Books'!$E$5:$E$24,A8),0))</f>
        <v>0.0</v>
      </c>
    </row>
    <row r="9" ht="19.5" customHeight="1">
      <c r="A9" s="20" t="str">
        <v>The Silver Chronicles</v>
      </c>
      <c r="B9" s="22" t="str">
        <v>Eldoria-Cosmos</v>
      </c>
      <c r="C9" s="23">
        <v>3</v>
      </c>
      <c r="D9" s="23">
        <f>IF(A9="","",COUNTIFS('My Books'!$E$5:$E$24,A9,'My Books'!$F$5:$F$24,"Published"))</f>
        <v>0</v>
      </c>
      <c r="E9" s="23">
        <f>IF(A9="","",COUNTIFS('My Books'!$E$5:$E$24,A9,'My Books'!$F$5:$F$24,"&lt;&gt;Published",'My Books'!$F$5:$F$24,"&lt;&gt;"))</f>
        <v>1</v>
      </c>
      <c r="F9" s="23">
        <f>IF(A9="","",SUMIFS('My Books'!$H$5:$H$24,'My Books'!$E$5:$E$24,A9))</f>
        <v>5050</v>
      </c>
      <c r="G9" s="21" t="str">
        <v>Sovereign multi-POV epic fantasy showcase (templates/demo-cosmos/Eldoria-Cosmos)</v>
      </c>
      <c r="H9" s="22" t="str">
        <f>IF(A9="","",IF(D9+E9&gt;C9,"⚠️ Over-cataloged ("&amp;(D9+E9)&amp;"/"&amp;C9&amp;")","✓ "&amp;(D9+E9)&amp;" of "&amp;C9&amp;" cataloged ("&amp;(C9-D9-E9)&amp;" future)"))</f>
        <v>✓ 1 of 3 cataloged (2 future)</v>
      </c>
      <c r="I9" s="24">
        <f>IF(A9="","",IFERROR(SUMIFS('My Books'!$Q$5:$Q$24,'My Books'!$E$5:$E$24,A9)/SUMIFS('My Books'!$G$5:$G$24,'My Books'!$E$5:$E$24,A9),0))</f>
        <v>0.0317</v>
      </c>
    </row>
    <row r="10" ht="19.5" customHeight="1">
      <c r="A10" s="64" t="str">
        <v>Silver Chronicles</v>
      </c>
      <c r="B10" s="65" t="str">
        <v>Eldoria-Cosmos</v>
      </c>
      <c r="C10" s="66">
        <v>3</v>
      </c>
      <c r="D10" s="66">
        <f>IF(A10="","",COUNTIFS('My Books'!$E$5:$E$24,A10,'My Books'!$F$5:$F$24,"Published"))</f>
        <v>0</v>
      </c>
      <c r="E10" s="66">
        <f>IF(A10="","",COUNTIFS('My Books'!$E$5:$E$24,A10,'My Books'!$F$5:$F$24,"&lt;&gt;Published",'My Books'!$F$5:$F$24,"&lt;&gt;"))</f>
        <v>0</v>
      </c>
      <c r="F10" s="66">
        <f>IF(A10="","",SUMIFS('My Books'!$H$5:$H$24,'My Books'!$E$5:$E$24,A10))</f>
        <v>0</v>
      </c>
      <c r="G10" s="67" t="str">
        <v>Auto-registered series from sprint log (The Silver Chronicles)</v>
      </c>
      <c r="H10" s="65" t="str">
        <f>IF(A10="","",IF(D10+E10&gt;C10,"⚠️ Over-cataloged ("&amp;(D10+E10)&amp;"/"&amp;C10&amp;")","✓ "&amp;(D10+E10)&amp;" of "&amp;C10&amp;" cataloged ("&amp;(C10-D10-E10)&amp;" future)"))</f>
        <v>✓ 0 of 3 cataloged (3 future)</v>
      </c>
      <c r="I10" s="68">
        <f>IF(A10="","",IFERROR(SUMIFS('My Books'!$Q$5:$Q$24,'My Books'!$E$5:$E$24,A10)/SUMIFS('My Books'!$G$5:$G$24,'My Books'!$E$5:$E$24,A10),0))</f>
        <v>0.0</v>
      </c>
    </row>
    <row r="11" ht="19.5" customHeight="1">
      <c r="A11" s="20" t="n"/>
      <c r="B11" s="22">
        <f>IF($A11="","",Config!$G$5)</f>
        <v/>
      </c>
      <c r="C11" s="23" t="n"/>
      <c r="D11" s="23">
        <f>IF($A11="","",COUNTIFS('My Books'!$E$5:$E$24,$A11,'My Books'!$F$5:$F$24,"Published"))</f>
        <v/>
      </c>
      <c r="E11" s="23">
        <f>IF($A11="","",COUNTIFS('My Books'!$E$5:$E$24,$A11,'My Books'!$F$5:$F$24,"&lt;&gt;Published",'My Books'!$B$5:$B$24,"&lt;&gt;"))</f>
        <v/>
      </c>
      <c r="F11" s="23">
        <f>IF($A11="","",SUMIF('My Books'!$E$5:$E$24,$A11,'My Books'!$H$5:$H$24))</f>
        <v/>
      </c>
      <c r="G11" s="21" t="n"/>
      <c r="H11" s="22">
        <f>IF($A11="","",IF(OR($C11="",$C11&lt;=0),"⚠ Set planned count",IF(COUNTIF('My Books'!$E$5:$E$24,$A11)=0,"⚠ No books cataloged",IF(COUNTIF('My Books'!$E$5:$E$24,$A11)=$C11,"✓ All "&amp;$C11&amp;" planned books cataloged",IF(COUNTIF('My Books'!$E$5:$E$24,$A11)&lt;$C11,"✓ "&amp;COUNTIF('My Books'!$E$5:$E$24,$A11)&amp;" of "&amp;$C11&amp;" cataloged ("&amp;($C11-COUNTIF('My Books'!$E$5:$E$24,$A11))&amp;" future)","⚠ More cataloged than planned")))))</f>
        <v/>
      </c>
      <c r="I11" s="24">
        <f>IF($A11="","",IF(SUMIF('My Books'!$E$5:$E$24,$A11,'My Books'!$G$5:$G$24)&gt;0,SUMIF('My Books'!$E$5:$E$24,$A11,'My Books'!$Q$5:$Q$24)/SUMIF('My Books'!$E$5:$E$24,$A11,'My Books'!$G$5:$G$24),0))</f>
        <v/>
      </c>
    </row>
    <row r="12" ht="19.5" customHeight="1">
      <c r="A12" s="64" t="n"/>
      <c r="B12" s="65">
        <f>IF($A12="","",Config!$G$5)</f>
        <v/>
      </c>
      <c r="C12" s="66" t="n"/>
      <c r="D12" s="66">
        <f>IF($A12="","",COUNTIFS('My Books'!$E$5:$E$24,$A12,'My Books'!$F$5:$F$24,"Published"))</f>
        <v/>
      </c>
      <c r="E12" s="66">
        <f>IF($A12="","",COUNTIFS('My Books'!$E$5:$E$24,$A12,'My Books'!$F$5:$F$24,"&lt;&gt;Published",'My Books'!$B$5:$B$24,"&lt;&gt;"))</f>
        <v/>
      </c>
      <c r="F12" s="66">
        <f>IF($A12="","",SUMIF('My Books'!$E$5:$E$24,$A12,'My Books'!$H$5:$H$24))</f>
        <v/>
      </c>
      <c r="G12" s="67" t="n"/>
      <c r="H12" s="65">
        <f>IF($A12="","",IF(OR($C12="",$C12&lt;=0),"⚠ Set planned count",IF(COUNTIF('My Books'!$E$5:$E$24,$A12)=0,"⚠ No books cataloged",IF(COUNTIF('My Books'!$E$5:$E$24,$A12)=$C12,"✓ All "&amp;$C12&amp;" planned books cataloged",IF(COUNTIF('My Books'!$E$5:$E$24,$A12)&lt;$C12,"✓ "&amp;COUNTIF('My Books'!$E$5:$E$24,$A12)&amp;" of "&amp;$C12&amp;" cataloged ("&amp;($C12-COUNTIF('My Books'!$E$5:$E$24,$A12))&amp;" future)","⚠ More cataloged than planned")))))</f>
        <v/>
      </c>
      <c r="I12" s="68">
        <f>IF($A12="","",IF(SUMIF('My Books'!$E$5:$E$24,$A12,'My Books'!$G$5:$G$24)&gt;0,SUMIF('My Books'!$E$5:$E$24,$A12,'My Books'!$Q$5:$Q$24)/SUMIF('My Books'!$E$5:$E$24,$A12,'My Books'!$G$5:$G$24),0))</f>
        <v/>
      </c>
    </row>
    <row r="13" ht="19.5" customHeight="1">
      <c r="A13" s="20" t="n"/>
      <c r="B13" s="22">
        <f>IF($A13="","",Config!$G$5)</f>
        <v/>
      </c>
      <c r="C13" s="23" t="n"/>
      <c r="D13" s="23">
        <f>IF($A13="","",COUNTIFS('My Books'!$E$5:$E$24,$A13,'My Books'!$F$5:$F$24,"Published"))</f>
        <v/>
      </c>
      <c r="E13" s="23">
        <f>IF($A13="","",COUNTIFS('My Books'!$E$5:$E$24,$A13,'My Books'!$F$5:$F$24,"&lt;&gt;Published",'My Books'!$B$5:$B$24,"&lt;&gt;"))</f>
        <v/>
      </c>
      <c r="F13" s="23">
        <f>IF($A13="","",SUMIF('My Books'!$E$5:$E$24,$A13,'My Books'!$H$5:$H$24))</f>
        <v/>
      </c>
      <c r="G13" s="21" t="n"/>
      <c r="H13" s="22">
        <f>IF($A13="","",IF(OR($C13="",$C13&lt;=0),"⚠ Set planned count",IF(COUNTIF('My Books'!$E$5:$E$24,$A13)=0,"⚠ No books cataloged",IF(COUNTIF('My Books'!$E$5:$E$24,$A13)=$C13,"✓ All "&amp;$C13&amp;" planned books cataloged",IF(COUNTIF('My Books'!$E$5:$E$24,$A13)&lt;$C13,"✓ "&amp;COUNTIF('My Books'!$E$5:$E$24,$A13)&amp;" of "&amp;$C13&amp;" cataloged ("&amp;($C13-COUNTIF('My Books'!$E$5:$E$24,$A13))&amp;" future)","⚠ More cataloged than planned")))))</f>
        <v/>
      </c>
      <c r="I13" s="24">
        <f>IF($A13="","",IF(SUMIF('My Books'!$E$5:$E$24,$A13,'My Books'!$G$5:$G$24)&gt;0,SUMIF('My Books'!$E$5:$E$24,$A13,'My Books'!$Q$5:$Q$24)/SUMIF('My Books'!$E$5:$E$24,$A13,'My Books'!$G$5:$G$24),0))</f>
        <v/>
      </c>
    </row>
    <row r="14" ht="19.5" customHeight="1">
      <c r="A14" s="64" t="n"/>
      <c r="B14" s="65">
        <f>IF($A14="","",Config!$G$5)</f>
        <v/>
      </c>
      <c r="C14" s="66" t="n"/>
      <c r="D14" s="66">
        <f>IF($A14="","",COUNTIFS('My Books'!$E$5:$E$24,$A14,'My Books'!$F$5:$F$24,"Published"))</f>
        <v/>
      </c>
      <c r="E14" s="66">
        <f>IF($A14="","",COUNTIFS('My Books'!$E$5:$E$24,$A14,'My Books'!$F$5:$F$24,"&lt;&gt;Published",'My Books'!$B$5:$B$24,"&lt;&gt;"))</f>
        <v/>
      </c>
      <c r="F14" s="66">
        <f>IF($A14="","",SUMIF('My Books'!$E$5:$E$24,$A14,'My Books'!$H$5:$H$24))</f>
        <v/>
      </c>
      <c r="G14" s="67" t="n"/>
      <c r="H14" s="65">
        <f>IF($A14="","",IF(OR($C14="",$C14&lt;=0),"⚠ Set planned count",IF(COUNTIF('My Books'!$E$5:$E$24,$A14)=0,"⚠ No books cataloged",IF(COUNTIF('My Books'!$E$5:$E$24,$A14)=$C14,"✓ All "&amp;$C14&amp;" planned books cataloged",IF(COUNTIF('My Books'!$E$5:$E$24,$A14)&lt;$C14,"✓ "&amp;COUNTIF('My Books'!$E$5:$E$24,$A14)&amp;" of "&amp;$C14&amp;" cataloged ("&amp;($C14-COUNTIF('My Books'!$E$5:$E$24,$A14))&amp;" future)","⚠ More cataloged than planned")))))</f>
        <v/>
      </c>
      <c r="I14" s="68">
        <f>IF($A14="","",IF(SUMIF('My Books'!$E$5:$E$24,$A14,'My Books'!$G$5:$G$24)&gt;0,SUMIF('My Books'!$E$5:$E$24,$A14,'My Books'!$Q$5:$Q$24)/SUMIF('My Books'!$E$5:$E$24,$A14,'My Books'!$G$5:$G$24),0))</f>
        <v/>
      </c>
    </row>
    <row r="15" ht="19.5" customHeight="1">
      <c r="A15" s="20" t="n"/>
      <c r="B15" s="22">
        <f>IF($A15="","",Config!$G$5)</f>
        <v/>
      </c>
      <c r="C15" s="23" t="n"/>
      <c r="D15" s="23">
        <f>IF($A15="","",COUNTIFS('My Books'!$E$5:$E$24,$A15,'My Books'!$F$5:$F$24,"Published"))</f>
        <v/>
      </c>
      <c r="E15" s="23">
        <f>IF($A15="","",COUNTIFS('My Books'!$E$5:$E$24,$A15,'My Books'!$F$5:$F$24,"&lt;&gt;Published",'My Books'!$B$5:$B$24,"&lt;&gt;"))</f>
        <v/>
      </c>
      <c r="F15" s="23">
        <f>IF($A15="","",SUMIF('My Books'!$E$5:$E$24,$A15,'My Books'!$H$5:$H$24))</f>
        <v/>
      </c>
      <c r="G15" s="21" t="n"/>
      <c r="H15" s="22">
        <f>IF($A15="","",IF(OR($C15="",$C15&lt;=0),"⚠ Set planned count",IF(COUNTIF('My Books'!$E$5:$E$24,$A15)=0,"⚠ No books cataloged",IF(COUNTIF('My Books'!$E$5:$E$24,$A15)=$C15,"✓ All "&amp;$C15&amp;" planned books cataloged",IF(COUNTIF('My Books'!$E$5:$E$24,$A15)&lt;$C15,"✓ "&amp;COUNTIF('My Books'!$E$5:$E$24,$A15)&amp;" of "&amp;$C15&amp;" cataloged ("&amp;($C15-COUNTIF('My Books'!$E$5:$E$24,$A15))&amp;" future)","⚠ More cataloged than planned")))))</f>
        <v/>
      </c>
      <c r="I15" s="24">
        <f>IF($A15="","",IF(SUMIF('My Books'!$E$5:$E$24,$A15,'My Books'!$G$5:$G$24)&gt;0,SUMIF('My Books'!$E$5:$E$24,$A15,'My Books'!$Q$5:$Q$24)/SUMIF('My Books'!$E$5:$E$24,$A15,'My Books'!$G$5:$G$24),0))</f>
        <v/>
      </c>
    </row>
    <row r="16" ht="19.5" customHeight="1">
      <c r="A16" s="64" t="n"/>
      <c r="B16" s="65">
        <f>IF($A16="","",Config!$G$5)</f>
        <v/>
      </c>
      <c r="C16" s="66" t="n"/>
      <c r="D16" s="66">
        <f>IF($A16="","",COUNTIFS('My Books'!$E$5:$E$24,$A16,'My Books'!$F$5:$F$24,"Published"))</f>
        <v/>
      </c>
      <c r="E16" s="66">
        <f>IF($A16="","",COUNTIFS('My Books'!$E$5:$E$24,$A16,'My Books'!$F$5:$F$24,"&lt;&gt;Published",'My Books'!$B$5:$B$24,"&lt;&gt;"))</f>
        <v/>
      </c>
      <c r="F16" s="66">
        <f>IF($A16="","",SUMIF('My Books'!$E$5:$E$24,$A16,'My Books'!$H$5:$H$24))</f>
        <v/>
      </c>
      <c r="G16" s="67" t="n"/>
      <c r="H16" s="65">
        <f>IF($A16="","",IF(OR($C16="",$C16&lt;=0),"⚠ Set planned count",IF(COUNTIF('My Books'!$E$5:$E$24,$A16)=0,"⚠ No books cataloged",IF(COUNTIF('My Books'!$E$5:$E$24,$A16)=$C16,"✓ All "&amp;$C16&amp;" planned books cataloged",IF(COUNTIF('My Books'!$E$5:$E$24,$A16)&lt;$C16,"✓ "&amp;COUNTIF('My Books'!$E$5:$E$24,$A16)&amp;" of "&amp;$C16&amp;" cataloged ("&amp;($C16-COUNTIF('My Books'!$E$5:$E$24,$A16))&amp;" future)","⚠ More cataloged than planned")))))</f>
        <v/>
      </c>
      <c r="I16" s="68">
        <f>IF($A16="","",IF(SUMIF('My Books'!$E$5:$E$24,$A16,'My Books'!$G$5:$G$24)&gt;0,SUMIF('My Books'!$E$5:$E$24,$A16,'My Books'!$Q$5:$Q$24)/SUMIF('My Books'!$E$5:$E$24,$A16,'My Books'!$G$5:$G$24),0))</f>
        <v/>
      </c>
    </row>
    <row r="17" ht="19.5" customHeight="1">
      <c r="A17" s="20" t="n"/>
      <c r="B17" s="22">
        <f>IF($A17="","",Config!$G$5)</f>
        <v/>
      </c>
      <c r="C17" s="23" t="n"/>
      <c r="D17" s="23">
        <f>IF($A17="","",COUNTIFS('My Books'!$E$5:$E$24,$A17,'My Books'!$F$5:$F$24,"Published"))</f>
        <v/>
      </c>
      <c r="E17" s="23">
        <f>IF($A17="","",COUNTIFS('My Books'!$E$5:$E$24,$A17,'My Books'!$F$5:$F$24,"&lt;&gt;Published",'My Books'!$B$5:$B$24,"&lt;&gt;"))</f>
        <v/>
      </c>
      <c r="F17" s="23">
        <f>IF($A17="","",SUMIF('My Books'!$E$5:$E$24,$A17,'My Books'!$H$5:$H$24))</f>
        <v/>
      </c>
      <c r="G17" s="21" t="n"/>
      <c r="H17" s="22">
        <f>IF($A17="","",IF(OR($C17="",$C17&lt;=0),"⚠ Set planned count",IF(COUNTIF('My Books'!$E$5:$E$24,$A17)=0,"⚠ No books cataloged",IF(COUNTIF('My Books'!$E$5:$E$24,$A17)=$C17,"✓ All "&amp;$C17&amp;" planned books cataloged",IF(COUNTIF('My Books'!$E$5:$E$24,$A17)&lt;$C17,"✓ "&amp;COUNTIF('My Books'!$E$5:$E$24,$A17)&amp;" of "&amp;$C17&amp;" cataloged ("&amp;($C17-COUNTIF('My Books'!$E$5:$E$24,$A17))&amp;" future)","⚠ More cataloged than planned")))))</f>
        <v/>
      </c>
      <c r="I17" s="24">
        <f>IF($A17="","",IF(SUMIF('My Books'!$E$5:$E$24,$A17,'My Books'!$G$5:$G$24)&gt;0,SUMIF('My Books'!$E$5:$E$24,$A17,'My Books'!$Q$5:$Q$24)/SUMIF('My Books'!$E$5:$E$24,$A17,'My Books'!$G$5:$G$24),0))</f>
        <v/>
      </c>
    </row>
    <row r="18" ht="19.5" customHeight="1">
      <c r="A18" s="64" t="n"/>
      <c r="B18" s="65">
        <f>IF($A18="","",Config!$G$5)</f>
        <v/>
      </c>
      <c r="C18" s="66" t="n"/>
      <c r="D18" s="66">
        <f>IF($A18="","",COUNTIFS('My Books'!$E$5:$E$24,$A18,'My Books'!$F$5:$F$24,"Published"))</f>
        <v/>
      </c>
      <c r="E18" s="66">
        <f>IF($A18="","",COUNTIFS('My Books'!$E$5:$E$24,$A18,'My Books'!$F$5:$F$24,"&lt;&gt;Published",'My Books'!$B$5:$B$24,"&lt;&gt;"))</f>
        <v/>
      </c>
      <c r="F18" s="66">
        <f>IF($A18="","",SUMIF('My Books'!$E$5:$E$24,$A18,'My Books'!$H$5:$H$24))</f>
        <v/>
      </c>
      <c r="G18" s="67" t="n"/>
      <c r="H18" s="65">
        <f>IF($A18="","",IF(OR($C18="",$C18&lt;=0),"⚠ Set planned count",IF(COUNTIF('My Books'!$E$5:$E$24,$A18)=0,"⚠ No books cataloged",IF(COUNTIF('My Books'!$E$5:$E$24,$A18)=$C18,"✓ All "&amp;$C18&amp;" planned books cataloged",IF(COUNTIF('My Books'!$E$5:$E$24,$A18)&lt;$C18,"✓ "&amp;COUNTIF('My Books'!$E$5:$E$24,$A18)&amp;" of "&amp;$C18&amp;" cataloged ("&amp;($C18-COUNTIF('My Books'!$E$5:$E$24,$A18))&amp;" future)","⚠ More cataloged than planned")))))</f>
        <v/>
      </c>
      <c r="I18" s="68">
        <f>IF($A18="","",IF(SUMIF('My Books'!$E$5:$E$24,$A18,'My Books'!$G$5:$G$24)&gt;0,SUMIF('My Books'!$E$5:$E$24,$A18,'My Books'!$Q$5:$Q$24)/SUMIF('My Books'!$E$5:$E$24,$A18,'My Books'!$G$5:$G$24),0))</f>
        <v/>
      </c>
    </row>
    <row r="19" ht="19.5" customHeight="1">
      <c r="A19" s="20" t="n"/>
      <c r="B19" s="22">
        <f>IF($A19="","",Config!$G$5)</f>
        <v/>
      </c>
      <c r="C19" s="23" t="n"/>
      <c r="D19" s="23">
        <f>IF($A19="","",COUNTIFS('My Books'!$E$5:$E$24,$A19,'My Books'!$F$5:$F$24,"Published"))</f>
        <v/>
      </c>
      <c r="E19" s="23">
        <f>IF($A19="","",COUNTIFS('My Books'!$E$5:$E$24,$A19,'My Books'!$F$5:$F$24,"&lt;&gt;Published",'My Books'!$B$5:$B$24,"&lt;&gt;"))</f>
        <v/>
      </c>
      <c r="F19" s="23">
        <f>IF($A19="","",SUMIF('My Books'!$E$5:$E$24,$A19,'My Books'!$H$5:$H$24))</f>
        <v/>
      </c>
      <c r="G19" s="21" t="n"/>
      <c r="H19" s="22">
        <f>IF($A19="","",IF(OR($C19="",$C19&lt;=0),"⚠ Set planned count",IF(COUNTIF('My Books'!$E$5:$E$24,$A19)=0,"⚠ No books cataloged",IF(COUNTIF('My Books'!$E$5:$E$24,$A19)=$C19,"✓ All "&amp;$C19&amp;" planned books cataloged",IF(COUNTIF('My Books'!$E$5:$E$24,$A19)&lt;$C19,"✓ "&amp;COUNTIF('My Books'!$E$5:$E$24,$A19)&amp;" of "&amp;$C19&amp;" cataloged ("&amp;($C19-COUNTIF('My Books'!$E$5:$E$24,$A19))&amp;" future)","⚠ More cataloged than planned")))))</f>
        <v/>
      </c>
      <c r="I19" s="24">
        <f>IF($A19="","",IF(SUMIF('My Books'!$E$5:$E$24,$A19,'My Books'!$G$5:$G$24)&gt;0,SUMIF('My Books'!$E$5:$E$24,$A19,'My Books'!$Q$5:$Q$24)/SUMIF('My Books'!$E$5:$E$24,$A19,'My Books'!$G$5:$G$24),0))</f>
        <v/>
      </c>
    </row>
    <row r="20" ht="19.5" customHeight="1">
      <c r="A20" s="64" t="n"/>
      <c r="B20" s="65">
        <f>IF($A20="","",Config!$G$5)</f>
        <v/>
      </c>
      <c r="C20" s="66" t="n"/>
      <c r="D20" s="66">
        <f>IF($A20="","",COUNTIFS('My Books'!$E$5:$E$24,$A20,'My Books'!$F$5:$F$24,"Published"))</f>
        <v/>
      </c>
      <c r="E20" s="66">
        <f>IF($A20="","",COUNTIFS('My Books'!$E$5:$E$24,$A20,'My Books'!$F$5:$F$24,"&lt;&gt;Published",'My Books'!$B$5:$B$24,"&lt;&gt;"))</f>
        <v/>
      </c>
      <c r="F20" s="66">
        <f>IF($A20="","",SUMIF('My Books'!$E$5:$E$24,$A20,'My Books'!$H$5:$H$24))</f>
        <v/>
      </c>
      <c r="G20" s="67" t="n"/>
      <c r="H20" s="65">
        <f>IF($A20="","",IF(OR($C20="",$C20&lt;=0),"⚠ Set planned count",IF(COUNTIF('My Books'!$E$5:$E$24,$A20)=0,"⚠ No books cataloged",IF(COUNTIF('My Books'!$E$5:$E$24,$A20)=$C20,"✓ All "&amp;$C20&amp;" planned books cataloged",IF(COUNTIF('My Books'!$E$5:$E$24,$A20)&lt;$C20,"✓ "&amp;COUNTIF('My Books'!$E$5:$E$24,$A20)&amp;" of "&amp;$C20&amp;" cataloged ("&amp;($C20-COUNTIF('My Books'!$E$5:$E$24,$A20))&amp;" future)","⚠ More cataloged than planned")))))</f>
        <v/>
      </c>
      <c r="I20" s="68">
        <f>IF($A20="","",IF(SUMIF('My Books'!$E$5:$E$24,$A20,'My Books'!$G$5:$G$24)&gt;0,SUMIF('My Books'!$E$5:$E$24,$A20,'My Books'!$Q$5:$Q$24)/SUMIF('My Books'!$E$5:$E$24,$A20,'My Books'!$G$5:$G$24),0))</f>
        <v/>
      </c>
    </row>
    <row r="21" ht="19.5" customHeight="1">
      <c r="A21" s="20" t="n"/>
      <c r="B21" s="22">
        <f>IF($A21="","",Config!$G$5)</f>
        <v/>
      </c>
      <c r="C21" s="23" t="n"/>
      <c r="D21" s="23">
        <f>IF($A21="","",COUNTIFS('My Books'!$E$5:$E$24,$A21,'My Books'!$F$5:$F$24,"Published"))</f>
        <v/>
      </c>
      <c r="E21" s="23">
        <f>IF($A21="","",COUNTIFS('My Books'!$E$5:$E$24,$A21,'My Books'!$F$5:$F$24,"&lt;&gt;Published",'My Books'!$B$5:$B$24,"&lt;&gt;"))</f>
        <v/>
      </c>
      <c r="F21" s="23">
        <f>IF($A21="","",SUMIF('My Books'!$E$5:$E$24,$A21,'My Books'!$H$5:$H$24))</f>
        <v/>
      </c>
      <c r="G21" s="21" t="n"/>
      <c r="H21" s="22">
        <f>IF($A21="","",IF(OR($C21="",$C21&lt;=0),"⚠ Set planned count",IF(COUNTIF('My Books'!$E$5:$E$24,$A21)=0,"⚠ No books cataloged",IF(COUNTIF('My Books'!$E$5:$E$24,$A21)=$C21,"✓ All "&amp;$C21&amp;" planned books cataloged",IF(COUNTIF('My Books'!$E$5:$E$24,$A21)&lt;$C21,"✓ "&amp;COUNTIF('My Books'!$E$5:$E$24,$A21)&amp;" of "&amp;$C21&amp;" cataloged ("&amp;($C21-COUNTIF('My Books'!$E$5:$E$24,$A21))&amp;" future)","⚠ More cataloged than planned")))))</f>
        <v/>
      </c>
      <c r="I21" s="24">
        <f>IF($A21="","",IF(SUMIF('My Books'!$E$5:$E$24,$A21,'My Books'!$G$5:$G$24)&gt;0,SUMIF('My Books'!$E$5:$E$24,$A21,'My Books'!$Q$5:$Q$24)/SUMIF('My Books'!$E$5:$E$24,$A21,'My Books'!$G$5:$G$24),0))</f>
        <v/>
      </c>
    </row>
    <row r="22" ht="19.5" customHeight="1">
      <c r="A22" s="64" t="n"/>
      <c r="B22" s="65">
        <f>IF($A22="","",Config!$G$5)</f>
        <v/>
      </c>
      <c r="C22" s="66" t="n"/>
      <c r="D22" s="66">
        <f>IF($A22="","",COUNTIFS('My Books'!$E$5:$E$24,$A22,'My Books'!$F$5:$F$24,"Published"))</f>
        <v/>
      </c>
      <c r="E22" s="66">
        <f>IF($A22="","",COUNTIFS('My Books'!$E$5:$E$24,$A22,'My Books'!$F$5:$F$24,"&lt;&gt;Published",'My Books'!$B$5:$B$24,"&lt;&gt;"))</f>
        <v/>
      </c>
      <c r="F22" s="66">
        <f>IF($A22="","",SUMIF('My Books'!$E$5:$E$24,$A22,'My Books'!$H$5:$H$24))</f>
        <v/>
      </c>
      <c r="G22" s="67" t="n"/>
      <c r="H22" s="65">
        <f>IF($A22="","",IF(OR($C22="",$C22&lt;=0),"⚠ Set planned count",IF(COUNTIF('My Books'!$E$5:$E$24,$A22)=0,"⚠ No books cataloged",IF(COUNTIF('My Books'!$E$5:$E$24,$A22)=$C22,"✓ All "&amp;$C22&amp;" planned books cataloged",IF(COUNTIF('My Books'!$E$5:$E$24,$A22)&lt;$C22,"✓ "&amp;COUNTIF('My Books'!$E$5:$E$24,$A22)&amp;" of "&amp;$C22&amp;" cataloged ("&amp;($C22-COUNTIF('My Books'!$E$5:$E$24,$A22))&amp;" future)","⚠ More cataloged than planned")))))</f>
        <v/>
      </c>
      <c r="I22" s="68">
        <f>IF($A22="","",IF(SUMIF('My Books'!$E$5:$E$24,$A22,'My Books'!$G$5:$G$24)&gt;0,SUMIF('My Books'!$E$5:$E$24,$A22,'My Books'!$Q$5:$Q$24)/SUMIF('My Books'!$E$5:$E$24,$A22,'My Books'!$G$5:$G$24),0))</f>
        <v/>
      </c>
    </row>
    <row r="23" ht="19.5" customHeight="1">
      <c r="A23" s="20" t="n"/>
      <c r="B23" s="22">
        <f>IF($A23="","",Config!$G$5)</f>
        <v/>
      </c>
      <c r="C23" s="23" t="n"/>
      <c r="D23" s="23">
        <f>IF($A23="","",COUNTIFS('My Books'!$E$5:$E$24,$A23,'My Books'!$F$5:$F$24,"Published"))</f>
        <v/>
      </c>
      <c r="E23" s="23">
        <f>IF($A23="","",COUNTIFS('My Books'!$E$5:$E$24,$A23,'My Books'!$F$5:$F$24,"&lt;&gt;Published",'My Books'!$B$5:$B$24,"&lt;&gt;"))</f>
        <v/>
      </c>
      <c r="F23" s="23">
        <f>IF($A23="","",SUMIF('My Books'!$E$5:$E$24,$A23,'My Books'!$H$5:$H$24))</f>
        <v/>
      </c>
      <c r="G23" s="21" t="n"/>
      <c r="H23" s="22">
        <f>IF($A23="","",IF(OR($C23="",$C23&lt;=0),"⚠ Set planned count",IF(COUNTIF('My Books'!$E$5:$E$24,$A23)=0,"⚠ No books cataloged",IF(COUNTIF('My Books'!$E$5:$E$24,$A23)=$C23,"✓ All "&amp;$C23&amp;" planned books cataloged",IF(COUNTIF('My Books'!$E$5:$E$24,$A23)&lt;$C23,"✓ "&amp;COUNTIF('My Books'!$E$5:$E$24,$A23)&amp;" of "&amp;$C23&amp;" cataloged ("&amp;($C23-COUNTIF('My Books'!$E$5:$E$24,$A23))&amp;" future)","⚠ More cataloged than planned")))))</f>
        <v/>
      </c>
      <c r="I23" s="24">
        <f>IF($A23="","",IF(SUMIF('My Books'!$E$5:$E$24,$A23,'My Books'!$G$5:$G$24)&gt;0,SUMIF('My Books'!$E$5:$E$24,$A23,'My Books'!$Q$5:$Q$24)/SUMIF('My Books'!$E$5:$E$24,$A23,'My Books'!$G$5:$G$24),0))</f>
        <v/>
      </c>
    </row>
    <row r="24" ht="19.5" customHeight="1">
      <c r="A24" s="64" t="n"/>
      <c r="B24" s="65">
        <f>IF($A24="","",Config!$G$5)</f>
        <v/>
      </c>
      <c r="C24" s="66" t="n"/>
      <c r="D24" s="66">
        <f>IF($A24="","",COUNTIFS('My Books'!$E$5:$E$24,$A24,'My Books'!$F$5:$F$24,"Published"))</f>
        <v/>
      </c>
      <c r="E24" s="66">
        <f>IF($A24="","",COUNTIFS('My Books'!$E$5:$E$24,$A24,'My Books'!$F$5:$F$24,"&lt;&gt;Published",'My Books'!$B$5:$B$24,"&lt;&gt;"))</f>
        <v/>
      </c>
      <c r="F24" s="66">
        <f>IF($A24="","",SUMIF('My Books'!$E$5:$E$24,$A24,'My Books'!$H$5:$H$24))</f>
        <v/>
      </c>
      <c r="G24" s="67" t="n"/>
      <c r="H24" s="65">
        <f>IF($A24="","",IF(OR($C24="",$C24&lt;=0),"⚠ Set planned count",IF(COUNTIF('My Books'!$E$5:$E$24,$A24)=0,"⚠ No books cataloged",IF(COUNTIF('My Books'!$E$5:$E$24,$A24)=$C24,"✓ All "&amp;$C24&amp;" planned books cataloged",IF(COUNTIF('My Books'!$E$5:$E$24,$A24)&lt;$C24,"✓ "&amp;COUNTIF('My Books'!$E$5:$E$24,$A24)&amp;" of "&amp;$C24&amp;" cataloged ("&amp;($C24-COUNTIF('My Books'!$E$5:$E$24,$A24))&amp;" future)","⚠ More cataloged than planned")))))</f>
        <v/>
      </c>
      <c r="I24" s="68">
        <f>IF($A24="","",IF(SUMIF('My Books'!$E$5:$E$24,$A24,'My Books'!$G$5:$G$24)&gt;0,SUMIF('My Books'!$E$5:$E$24,$A24,'My Books'!$Q$5:$Q$24)/SUMIF('My Books'!$E$5:$E$24,$A24,'My Books'!$G$5:$G$24),0))</f>
        <v/>
      </c>
    </row>
    <row r="25" ht="21.75" customHeight="1">
      <c r="A25" s="69" t="inlineStr">
        <is>
          <t>Total Canon Portfolio</t>
        </is>
      </c>
      <c r="B25" s="70" t="n"/>
      <c r="C25" s="71">
        <f>SUM(C5:C24)</f>
        <v>19</v>
      </c>
      <c r="D25" s="71">
        <f>SUM(D5:D24)</f>
        <v>0</v>
      </c>
      <c r="E25" s="71">
        <f>SUM(E5:E24)</f>
        <v>6</v>
      </c>
      <c r="F25" s="71">
        <f>SUM(F5:F24)</f>
        <v>4800</v>
      </c>
      <c r="G25" s="69" t="n"/>
      <c r="H25" s="70" t="str">
        <f>IF(COUNTIF(H5:H24,"⚠*")=0,"✓ All Series Aligned ("&amp;E25&amp;" of "&amp;C25&amp;" Cataloged)","⚠ Check Mismatches")</f>
        <v>✓ All Series Aligned (6 of 19 Cataloged)</v>
      </c>
      <c r="I25" s="72">
        <f>IF(COUNT(I5:I24)&gt;0,AVERAGE(I5:I24),0)</f>
        <v>0.00316666666666667</v>
      </c>
    </row>
    <row r="26" ht="14.25" customHeight="1"/>
    <row r="27" ht="21.75" customHeight="1">
      <c r="A27" s="131" t="inlineStr">
        <is>
          <t>📊 SERIES CANON ARCHITECTURE &amp; WORD VOLUME ANALYTICS (AUTO-UPDATES AS SERIES &amp; BOOKS ARE ADDED)</t>
        </is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7:I27"/>
    <mergeCell ref="A2:I2"/>
  </mergeCells>
  <conditionalFormatting sqref="H5:H25">
    <cfRule type="expression" priority="2" dxfId="5">
      <formula>LEFT(H5,1)="✓"</formula>
    </cfRule>
    <cfRule type="expression" priority="3" dxfId="4">
      <formula>LEFT(H5,1)="⚠"</formula>
    </cfRule>
  </conditionalFormatting>
  <conditionalFormatting sqref="I5:I24">
    <cfRule type="dataBar" priority="4">
      <dataBar>
        <cfvo type="num" val="0"/>
        <cfvo type="num" val="1"/>
        <color rgb="FF7C3AED"/>
      </dataBar>
    </cfRule>
  </conditionalFormatting>
  <dataValidations count="2">
    <dataValidation sqref="B5:B24" showDropDown="0" showInputMessage="0" showErrorMessage="0" allowBlank="1" type="list">
      <formula1>lst_Universes</formula1>
      <formula2>0</formula2>
    </dataValidation>
    <dataValidation sqref="C5:C24" showDropDown="0" showInputMessage="0" showErrorMessage="0" allowBlank="1" type="whole" operator="greaterThanOrEqual">
      <formula1>1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65100"/>
    <outlinePr summaryBelow="1" summaryRight="1"/>
    <pageSetUpPr fitToPage="1"/>
  </sheetPr>
  <dimension ref="A1:R27"/>
  <sheetViews>
    <sheetView zoomScaleNormal="100" zoomScalePageLayoutView="60" workbookViewId="0">
      <selection activeCell="A1" sqref="A1:R1"/>
    </sheetView>
  </sheetViews>
  <sheetFormatPr baseColWidth="8" defaultColWidth="14.44140625" defaultRowHeight="14.4"/>
  <cols>
    <col width="8" customWidth="1" min="1" max="1"/>
    <col width="26" customWidth="1" min="2" max="2"/>
    <col width="14" customWidth="1" min="3" max="3"/>
    <col width="15" customWidth="1" min="4" max="4"/>
    <col width="24" customWidth="1" min="5" max="5"/>
    <col width="20" customWidth="1" min="6" max="6"/>
    <col width="15" customWidth="1" min="7" max="7"/>
    <col width="16" customWidth="1" min="8" max="8"/>
    <col width="14" customWidth="1" min="9" max="9"/>
    <col width="22" customWidth="1" min="10" max="10"/>
    <col width="13" customWidth="1" min="11" max="12"/>
    <col width="11" customWidth="1" min="13" max="13"/>
    <col width="20" customWidth="1" min="14" max="14"/>
    <col width="19" customWidth="1" min="15" max="15"/>
    <col width="20" customWidth="1" min="16" max="16"/>
    <col width="14" customWidth="1" min="17" max="17"/>
    <col width="23" customWidth="1" min="18" max="18"/>
  </cols>
  <sheetData>
    <row r="1" ht="27.75" customHeight="1">
      <c r="A1" s="132" t="inlineStr">
        <is>
          <t>📖 MY BOOKS • MULTI-YEAR PROJECT PIPELINE</t>
        </is>
      </c>
    </row>
    <row r="2" ht="19.5" customHeight="1">
      <c r="A2" s="130" t="inlineStr">
        <is>
          <t>Total Work Words includes worldbuilding, outlining, first-draft and revision output. Draft target progress, required pace, status and forecast use First Draft Words only; revision words are not counted a second time. Check final manuscript length in the manuscript file.</t>
        </is>
      </c>
    </row>
    <row r="3" ht="14.25" customHeight="1">
      <c r="A3" s="73" t="n"/>
      <c r="G3" s="60" t="n"/>
      <c r="H3" s="60" t="n"/>
      <c r="I3" s="47" t="n"/>
      <c r="J3" s="47" t="n"/>
      <c r="K3" s="74" t="n"/>
      <c r="L3" s="74" t="n"/>
      <c r="M3" s="60" t="n"/>
      <c r="N3" s="60" t="n"/>
      <c r="O3" s="60" t="n"/>
      <c r="P3" s="74" t="n"/>
    </row>
    <row r="4" ht="24" customHeight="1">
      <c r="A4" s="75" t="inlineStr">
        <is>
          <t>Year</t>
        </is>
      </c>
      <c r="B4" s="76" t="inlineStr">
        <is>
          <t>Book Title</t>
        </is>
      </c>
      <c r="C4" s="75" t="inlineStr">
        <is>
          <t>Type</t>
        </is>
      </c>
      <c r="D4" s="75" t="inlineStr">
        <is>
          <t>Universe</t>
        </is>
      </c>
      <c r="E4" s="76" t="inlineStr">
        <is>
          <t>Series</t>
        </is>
      </c>
      <c r="F4" s="75" t="inlineStr">
        <is>
          <t>Current Stage</t>
        </is>
      </c>
      <c r="G4" s="75" t="inlineStr">
        <is>
          <t>Draft Target Words</t>
        </is>
      </c>
      <c r="H4" s="75" t="inlineStr">
        <is>
          <t>Total Work Words</t>
        </is>
      </c>
      <c r="I4" s="75" t="inlineStr">
        <is>
          <t>Draft Progress %</t>
        </is>
      </c>
      <c r="J4" s="75" t="inlineStr">
        <is>
          <t>Draft Progress Bar</t>
        </is>
      </c>
      <c r="K4" s="75" t="inlineStr">
        <is>
          <t>Start Date</t>
        </is>
      </c>
      <c r="L4" s="75" t="inlineStr">
        <is>
          <t>Deadline</t>
        </is>
      </c>
      <c r="M4" s="75" t="inlineStr">
        <is>
          <t>Days Left</t>
        </is>
      </c>
      <c r="N4" s="75" t="inlineStr">
        <is>
          <t>Required Draft Words/Day</t>
        </is>
      </c>
      <c r="O4" s="75" t="inlineStr">
        <is>
          <t>Recent Draft Speed (30D)</t>
        </is>
      </c>
      <c r="P4" s="75" t="inlineStr">
        <is>
          <t>Forecasted Draft Target</t>
        </is>
      </c>
      <c r="Q4" s="75" t="inlineStr">
        <is>
          <t>Draft Words</t>
        </is>
      </c>
      <c r="R4" s="75" t="inlineStr">
        <is>
          <t>Status</t>
        </is>
      </c>
    </row>
    <row r="5" ht="19.5" customHeight="1">
      <c r="A5" s="77">
        <v>2027</v>
      </c>
      <c r="B5" s="20" t="str">
        <v>Prisoner of Sand Sea</v>
      </c>
      <c r="C5" s="22" t="str">
        <v>Novel</v>
      </c>
      <c r="D5" s="22" t="str">
        <f>IF(B5="","",IF(E5="","Standalone",IFERROR(INDEX('Universes &amp; Series'!$B$5:$B$24,MATCH(E5,'Universes &amp; Series'!$A$5:$A$24,0)),"Unknown Series")))</f>
        <v>Reliquary</v>
      </c>
      <c r="E5" s="21" t="str">
        <v>Sand Sea Saga</v>
      </c>
      <c r="F5" s="22" t="str">
        <v>Concept</v>
      </c>
      <c r="G5" s="23">
        <v>200000</v>
      </c>
      <c r="H5" s="23">
        <f>IF(B5="","",SUMIFS('Daily Writing Log'!$H$5:$H$34,'Daily Writing Log'!$B$5:$B$34,B5))</f>
        <v>0</v>
      </c>
      <c r="I5" s="24">
        <f>IF(B5="","",IF(G5&gt;0,MIN(1,Q5/G5),0))</f>
        <v>0.0</v>
      </c>
      <c r="J5" s="21" t="str">
        <f>IF(B5="","",REPT("█",ROUND(I5*20,0))&amp;REPT("-",20-ROUND(I5*20,0)))</f>
        <v>--------------------</v>
      </c>
      <c r="K5" s="78" t="n">
        <v>46388</v>
      </c>
      <c r="L5" s="78" t="n">
        <v>46569</v>
      </c>
      <c r="M5" s="23">
        <f>IF($B5="","",IF($L5="","",MAX(0,$L5-Config!$A$2)))</f>
        <v>258</v>
      </c>
      <c r="N5" s="23">
        <f>IF($B5="","",IF(OR($G5&lt;=0,$Q5&gt;=$G5),0,IF(OR($L5="",NOT(ISNUMBER($L5))),0,ROUNDUP(MAX(0,$G5-$Q5)/MAX(1,$L5-MAX(Config!$A$2,N($K5))),0))))</f>
        <v>1105</v>
      </c>
      <c r="O5" s="23">
        <f>IF($B5="","",ROUND(SUMIFS('Daily Writing Log'!$F$5:$F$34,'Daily Writing Log'!$B$5:$B$34,$B5,'Daily Writing Log'!$A$5:$A$34,"&gt;="&amp;(Config!$A$2-29),'Daily Writing Log'!$A$5:$A$34,"&lt;="&amp;Config!$A$2)/30,0))</f>
        <v>0</v>
      </c>
      <c r="P5" s="78" t="str">
        <f>IF($B5="","",IF($G5&lt;=0,"Add target",IF($Q5&gt;=$G5,"Completed",IF($O5&gt;0,Config!$A$2+ROUNDUP(MAX(0,$G5-$Q5)/$O5,0),"No recent pace"))))</f>
        <v>No recent pace</v>
      </c>
      <c r="Q5" s="23">
        <f>IF(B5="","",SUMIFS('Daily Writing Log'!$F$5:$F$34,'Daily Writing Log'!$B$5:$B$34,B5))</f>
        <v>0</v>
      </c>
      <c r="R5" s="22" t="str">
        <f>IF(B5="","",IF(F5="Published","✅ Published",IF(I5&gt;=1,"🎉 Draft Complete",IF(M5&lt;0,"🔴 Overdue",IF(Q5&gt;0,"🟢 In Progress",IF(H5&gt;0,"🔵 Outlining / Lore","⚪ Not Started"))))))</f>
        <v>⚪ Not Started</v>
      </c>
    </row>
    <row r="6" ht="19.5" customHeight="1">
      <c r="A6" s="79">
        <v>2027</v>
      </c>
      <c r="B6" s="80" t="str">
        <v>Gothic Fantasy 1</v>
      </c>
      <c r="C6" s="81" t="str">
        <v>Novel</v>
      </c>
      <c r="D6" s="81" t="str">
        <f>IF(B6="","",IF(E6="","Standalone",IFERROR(INDEX('Universes &amp; Series'!$B$5:$B$24,MATCH(E6,'Universes &amp; Series'!$A$5:$A$24,0)),"Unknown Series")))</f>
        <v>Reliquary</v>
      </c>
      <c r="E6" s="82" t="str">
        <v>Gothic Fantasy Series</v>
      </c>
      <c r="F6" s="81" t="str">
        <v>Concept</v>
      </c>
      <c r="G6" s="83">
        <v>150000</v>
      </c>
      <c r="H6" s="83">
        <f>IF(B6="","",SUMIFS('Daily Writing Log'!$H$5:$H$34,'Daily Writing Log'!$B$5:$B$34,B6))</f>
        <v>0</v>
      </c>
      <c r="I6" s="84">
        <f>IF(B6="","",IF(G6&gt;0,MIN(1,Q6/G6),0))</f>
        <v>0.0</v>
      </c>
      <c r="J6" s="82" t="str">
        <f>IF(B6="","",REPT("█",ROUND(I6*20,0))&amp;REPT("-",20-ROUND(I6*20,0)))</f>
        <v>--------------------</v>
      </c>
      <c r="K6" s="85" t="n">
        <v>46569</v>
      </c>
      <c r="L6" s="85" t="n">
        <v>46753</v>
      </c>
      <c r="M6" s="83">
        <f>IF($B6="","",IF($L6="","",MAX(0,$L6-Config!$A$2)))</f>
        <v>442</v>
      </c>
      <c r="N6" s="83">
        <f>IF($B6="","",IF(OR($G6&lt;=0,$Q6&gt;=$G6),0,IF(OR($L6="",NOT(ISNUMBER($L6))),0,ROUNDUP(MAX(0,$G6-$Q6)/MAX(1,$L6-MAX(Config!$A$2,N($K6))),0))))</f>
        <v>816</v>
      </c>
      <c r="O6" s="83">
        <f>IF($B6="","",ROUND(SUMIFS('Daily Writing Log'!$F$5:$F$34,'Daily Writing Log'!$B$5:$B$34,$B6,'Daily Writing Log'!$A$5:$A$34,"&gt;="&amp;(Config!$A$2-29),'Daily Writing Log'!$A$5:$A$34,"&lt;="&amp;Config!$A$2)/30,0))</f>
        <v>0</v>
      </c>
      <c r="P6" s="85" t="str">
        <f>IF($B6="","",IF($G6&lt;=0,"Add target",IF($Q6&gt;=$G6,"Completed",IF($O6&gt;0,Config!$A$2+ROUNDUP(MAX(0,$G6-$Q6)/$O6,0),"No recent pace"))))</f>
        <v>No recent pace</v>
      </c>
      <c r="Q6" s="83">
        <f>IF(B6="","",SUMIFS('Daily Writing Log'!$F$5:$F$34,'Daily Writing Log'!$B$5:$B$34,B6))</f>
        <v>0</v>
      </c>
      <c r="R6" s="81" t="str">
        <f>IF(B6="","",IF(F6="Published","✅ Published",IF(I6&gt;=1,"🎉 Draft Complete",IF(M6&lt;0,"🔴 Overdue",IF(Q6&gt;0,"🟢 In Progress",IF(H6&gt;0,"🔵 Outlining / Lore","⚪ Not Started"))))))</f>
        <v>⚪ Not Started</v>
      </c>
    </row>
    <row r="7" ht="19.5" customHeight="1">
      <c r="A7" s="77">
        <v>2028</v>
      </c>
      <c r="B7" s="20" t="str">
        <v>Quest Fantasy 1</v>
      </c>
      <c r="C7" s="22" t="str">
        <v>Novel</v>
      </c>
      <c r="D7" s="22" t="str">
        <f>IF(B7="","",IF(E7="","Standalone",IFERROR(INDEX('Universes &amp; Series'!$B$5:$B$24,MATCH(E7,'Universes &amp; Series'!$A$5:$A$24,0)),"Unknown Series")))</f>
        <v>Reliquary</v>
      </c>
      <c r="E7" s="21" t="str">
        <v>Classic Quest Fantasy</v>
      </c>
      <c r="F7" s="22" t="str">
        <v>Concept</v>
      </c>
      <c r="G7" s="23">
        <v>200000</v>
      </c>
      <c r="H7" s="23">
        <f>IF(B7="","",SUMIFS('Daily Writing Log'!$H$5:$H$34,'Daily Writing Log'!$B$5:$B$34,B7))</f>
        <v>0</v>
      </c>
      <c r="I7" s="24">
        <f>IF(B7="","",IF(G7&gt;0,MIN(1,Q7/G7),0))</f>
        <v>0.0</v>
      </c>
      <c r="J7" s="21" t="str">
        <f>IF(B7="","",REPT("█",ROUND(I7*20,0))&amp;REPT("-",20-ROUND(I7*20,0)))</f>
        <v>--------------------</v>
      </c>
      <c r="K7" s="78" t="n">
        <v>46753</v>
      </c>
      <c r="L7" s="78" t="n">
        <v>46874</v>
      </c>
      <c r="M7" s="23">
        <f>IF($B7="","",IF($L7="","",MAX(0,$L7-Config!$A$2)))</f>
        <v>563</v>
      </c>
      <c r="N7" s="23">
        <f>IF($B7="","",IF(OR($G7&lt;=0,$Q7&gt;=$G7),0,IF(OR($L7="",NOT(ISNUMBER($L7))),0,ROUNDUP(MAX(0,$G7-$Q7)/MAX(1,$L7-MAX(Config!$A$2,N($K7))),0))))</f>
        <v>1653</v>
      </c>
      <c r="O7" s="23">
        <f>IF($B7="","",ROUND(SUMIFS('Daily Writing Log'!$F$5:$F$34,'Daily Writing Log'!$B$5:$B$34,$B7,'Daily Writing Log'!$A$5:$A$34,"&gt;="&amp;(Config!$A$2-29),'Daily Writing Log'!$A$5:$A$34,"&lt;="&amp;Config!$A$2)/30,0))</f>
        <v>0</v>
      </c>
      <c r="P7" s="78" t="str">
        <f>IF($B7="","",IF($G7&lt;=0,"Add target",IF($Q7&gt;=$G7,"Completed",IF($O7&gt;0,Config!$A$2+ROUNDUP(MAX(0,$G7-$Q7)/$O7,0),"No recent pace"))))</f>
        <v>No recent pace</v>
      </c>
      <c r="Q7" s="23">
        <f>IF(B7="","",SUMIFS('Daily Writing Log'!$F$5:$F$34,'Daily Writing Log'!$B$5:$B$34,B7))</f>
        <v>0</v>
      </c>
      <c r="R7" s="22" t="str">
        <f>IF(B7="","",IF(F7="Published","✅ Published",IF(I7&gt;=1,"🎉 Draft Complete",IF(M7&lt;0,"🔴 Overdue",IF(Q7&gt;0,"🟢 In Progress",IF(H7&gt;0,"🔵 Outlining / Lore","⚪ Not Started"))))))</f>
        <v>⚪ Not Started</v>
      </c>
    </row>
    <row r="8" ht="19.5" customHeight="1">
      <c r="A8" s="79">
        <v>2028</v>
      </c>
      <c r="B8" s="80" t="str">
        <v>Ruler of Sand Sea</v>
      </c>
      <c r="C8" s="81" t="str">
        <v>Novel</v>
      </c>
      <c r="D8" s="81" t="str">
        <f>IF(B8="","",IF(E8="","Standalone",IFERROR(INDEX('Universes &amp; Series'!$B$5:$B$24,MATCH(E8,'Universes &amp; Series'!$A$5:$A$24,0)),"Unknown Series")))</f>
        <v>Reliquary</v>
      </c>
      <c r="E8" s="82" t="str">
        <v>Sand Sea Saga</v>
      </c>
      <c r="F8" s="81" t="str">
        <v>Concept</v>
      </c>
      <c r="G8" s="83">
        <v>200000</v>
      </c>
      <c r="H8" s="83">
        <f>IF(B8="","",SUMIFS('Daily Writing Log'!$H$5:$H$34,'Daily Writing Log'!$B$5:$B$34,B8))</f>
        <v>0</v>
      </c>
      <c r="I8" s="84">
        <f>IF(B8="","",IF(G8&gt;0,MIN(1,Q8/G8),0))</f>
        <v>0.0</v>
      </c>
      <c r="J8" s="82" t="str">
        <f>IF(B8="","",REPT("█",ROUND(I8*20,0))&amp;REPT("-",20-ROUND(I8*20,0)))</f>
        <v>--------------------</v>
      </c>
      <c r="K8" s="85" t="n">
        <v>46874</v>
      </c>
      <c r="L8" s="85" t="n">
        <v>46997</v>
      </c>
      <c r="M8" s="83">
        <f>IF($B8="","",IF($L8="","",MAX(0,$L8-Config!$A$2)))</f>
        <v>686</v>
      </c>
      <c r="N8" s="83">
        <f>IF($B8="","",IF(OR($G8&lt;=0,$Q8&gt;=$G8),0,IF(OR($L8="",NOT(ISNUMBER($L8))),0,ROUNDUP(MAX(0,$G8-$Q8)/MAX(1,$L8-MAX(Config!$A$2,N($K8))),0))))</f>
        <v>1627</v>
      </c>
      <c r="O8" s="83">
        <f>IF($B8="","",ROUND(SUMIFS('Daily Writing Log'!$F$5:$F$34,'Daily Writing Log'!$B$5:$B$34,$B8,'Daily Writing Log'!$A$5:$A$34,"&gt;="&amp;(Config!$A$2-29),'Daily Writing Log'!$A$5:$A$34,"&lt;="&amp;Config!$A$2)/30,0))</f>
        <v>0</v>
      </c>
      <c r="P8" s="85" t="str">
        <f>IF($B8="","",IF($G8&lt;=0,"Add target",IF($Q8&gt;=$G8,"Completed",IF($O8&gt;0,Config!$A$2+ROUNDUP(MAX(0,$G8-$Q8)/$O8,0),"No recent pace"))))</f>
        <v>No recent pace</v>
      </c>
      <c r="Q8" s="83">
        <f>IF(B8="","",SUMIFS('Daily Writing Log'!$F$5:$F$34,'Daily Writing Log'!$B$5:$B$34,B8))</f>
        <v>0</v>
      </c>
      <c r="R8" s="81" t="str">
        <f>IF(B8="","",IF(F8="Published","✅ Published",IF(I8&gt;=1,"🎉 Draft Complete",IF(M8&lt;0,"🔴 Overdue",IF(Q8&gt;0,"🟢 In Progress",IF(H8&gt;0,"🔵 Outlining / Lore","⚪ Not Started"))))))</f>
        <v>⚪ Not Started</v>
      </c>
    </row>
    <row r="9" ht="19.5" customHeight="1">
      <c r="A9" s="77">
        <v>2028</v>
      </c>
      <c r="B9" s="20" t="str">
        <v>Company of the Storm</v>
      </c>
      <c r="C9" s="22" t="str">
        <v>Novel</v>
      </c>
      <c r="D9" s="22" t="str">
        <f>IF(B9="","",IF(E9="","Standalone",IFERROR(INDEX('Universes &amp; Series'!$B$5:$B$24,MATCH(E9,'Universes &amp; Series'!$A$5:$A$24,0)),"Unknown Series")))</f>
        <v>Reliquary</v>
      </c>
      <c r="E9" s="21" t="str">
        <v>Stormbreaker Chronicles</v>
      </c>
      <c r="F9" s="22" t="str">
        <v>Concept</v>
      </c>
      <c r="G9" s="23">
        <v>150000</v>
      </c>
      <c r="H9" s="23">
        <f>IF(B9="","",SUMIFS('Daily Writing Log'!$H$5:$H$34,'Daily Writing Log'!$B$5:$B$34,B9))</f>
        <v>0</v>
      </c>
      <c r="I9" s="24">
        <f>IF(B9="","",IF(G9&gt;0,MIN(1,Q9/G9),0))</f>
        <v>0.0</v>
      </c>
      <c r="J9" s="21" t="str">
        <f>IF(B9="","",REPT("█",ROUND(I9*20,0))&amp;REPT("-",20-ROUND(I9*20,0)))</f>
        <v>--------------------</v>
      </c>
      <c r="K9" s="78" t="n">
        <v>46997</v>
      </c>
      <c r="L9" s="78" t="n">
        <v>47119</v>
      </c>
      <c r="M9" s="23">
        <f>IF($B9="","",IF($L9="","",MAX(0,$L9-Config!$A$2)))</f>
        <v>808</v>
      </c>
      <c r="N9" s="23">
        <f>IF($B9="","",IF(OR($G9&lt;=0,$Q9&gt;=$G9),0,IF(OR($L9="",NOT(ISNUMBER($L9))),0,ROUNDUP(MAX(0,$G9-$Q9)/MAX(1,$L9-MAX(Config!$A$2,N($K9))),0))))</f>
        <v>1230</v>
      </c>
      <c r="O9" s="23">
        <f>IF($B9="","",ROUND(SUMIFS('Daily Writing Log'!$F$5:$F$34,'Daily Writing Log'!$B$5:$B$34,$B9,'Daily Writing Log'!$A$5:$A$34,"&gt;="&amp;(Config!$A$2-29),'Daily Writing Log'!$A$5:$A$34,"&lt;="&amp;Config!$A$2)/30,0))</f>
        <v>0</v>
      </c>
      <c r="P9" s="78" t="str">
        <f>IF($B9="","",IF($G9&lt;=0,"Add target",IF($Q9&gt;=$G9,"Completed",IF($O9&gt;0,Config!$A$2+ROUNDUP(MAX(0,$G9-$Q9)/$O9,0),"No recent pace"))))</f>
        <v>No recent pace</v>
      </c>
      <c r="Q9" s="23">
        <f>IF(B9="","",SUMIFS('Daily Writing Log'!$F$5:$F$34,'Daily Writing Log'!$B$5:$B$34,B9))</f>
        <v>0</v>
      </c>
      <c r="R9" s="22" t="str">
        <f>IF(B9="","",IF(F9="Published","✅ Published",IF(I9&gt;=1,"🎉 Draft Complete",IF(M9&lt;0,"🔴 Overdue",IF(Q9&gt;0,"🟢 In Progress",IF(H9&gt;0,"🔵 Outlining / Lore","⚪ Not Started"))))))</f>
        <v>⚪ Not Started</v>
      </c>
    </row>
    <row r="10" ht="19.5" customHeight="1">
      <c r="A10" s="79">
        <v>2026</v>
      </c>
      <c r="B10" s="80" t="str">
        <v>The Silver Chronicles</v>
      </c>
      <c r="C10" s="81" t="str">
        <v>Novel</v>
      </c>
      <c r="D10" s="81" t="str">
        <f>IF(B10="","",IF(E10="","Standalone",IFERROR(INDEX('Universes &amp; Series'!$B$5:$B$24,MATCH(E10,'Universes &amp; Series'!$A$5:$A$24,0)),"Unknown Series")))</f>
        <v>Eldoria-Cosmos</v>
      </c>
      <c r="E10" s="82" t="str">
        <v>The Silver Chronicles</v>
      </c>
      <c r="F10" s="81" t="str">
        <v>Drafting</v>
      </c>
      <c r="G10" s="83">
        <v>120000</v>
      </c>
      <c r="H10" s="83">
        <f>IF(B10="","",SUMIFS('Daily Writing Log'!$H$5:$H$34,'Daily Writing Log'!$B$5:$B$34,B10))</f>
        <v>5050</v>
      </c>
      <c r="I10" s="84">
        <f>IF(B10="","",IF(G10&gt;0,MIN(1,Q10/G10),0))</f>
        <v>0.0317</v>
      </c>
      <c r="J10" s="82" t="str">
        <f>IF(B10="","",REPT("█",ROUND(I10*20,0))&amp;REPT("-",20-ROUND(I10*20,0)))</f>
        <v>█-------------------</v>
      </c>
      <c r="K10" s="85" t="inlineStr">
        <is>
          <t>2026-10-01</t>
        </is>
      </c>
      <c r="L10" s="85" t="inlineStr">
        <is>
          <t>2027-06-01</t>
        </is>
      </c>
      <c r="M10" s="83">
        <f>IF($B10="","",IF($L10="","",MAX(0,$L10-Config!$A$2)))</f>
        <v>228</v>
      </c>
      <c r="N10" s="83">
        <f>IF($B10="","",IF(OR($G10&lt;=0,$Q10&gt;=$G10),0,IF(OR($L10="",NOT(ISNUMBER($L10))),0,ROUNDUP(MAX(0,$G10-$Q10)/MAX(1,$L10-MAX(Config!$A$2,N($K10))),0))))</f>
        <v>0</v>
      </c>
      <c r="O10" s="83">
        <f>IF($B10="","",ROUND(SUMIFS('Daily Writing Log'!$F$5:$F$34,'Daily Writing Log'!$B$5:$B$34,$B10,'Daily Writing Log'!$A$5:$A$34,"&gt;="&amp;(Config!$A$2-29),'Daily Writing Log'!$A$5:$A$34,"&lt;="&amp;Config!$A$2)/30,0))</f>
        <v>0</v>
      </c>
      <c r="P10" s="85" t="str">
        <f>IF($B10="","",IF($G10&lt;=0,"Add target",IF($Q10&gt;=$G10,"Completed",IF($O10&gt;0,Config!$A$2+ROUNDUP(MAX(0,$G10-$Q10)/$O10,0),"No recent pace"))))</f>
        <v>No recent pace</v>
      </c>
      <c r="Q10" s="83">
        <f>IF(B10="","",SUMIFS('Daily Writing Log'!$F$5:$F$34,'Daily Writing Log'!$B$5:$B$34,B10))</f>
        <v>3800</v>
      </c>
      <c r="R10" s="81" t="str">
        <f>IF(B10="","",IF(F10="Published","✅ Published",IF(I10&gt;=1,"🎉 Draft Complete",IF(M10&lt;0,"🔴 Overdue",IF(Q10&gt;0,"🟢 In Progress",IF(H10&gt;0,"🔵 Outlining / Lore","⚪ Not Started"))))))</f>
        <v>🟢 In Progress</v>
      </c>
    </row>
    <row r="11" ht="19.5" customHeight="1">
      <c r="A11" s="77">
        <f>IF($B11="","",IF(ISNUMBER($K11),YEAR($K11),IF(ISNUMBER($L11),YEAR($L11),YEAR(Config!$A$2))))</f>
        <v/>
      </c>
      <c r="B11" s="20" t="n"/>
      <c r="C11" s="22">
        <f>IF($B11="","",Config!$E$5)</f>
        <v/>
      </c>
      <c r="D11" s="22">
        <f>IF($B11="","",IF($E11="","Standalone",IF(COUNTIF('Universes &amp; Series'!$A$5:$A$24,$E11)&gt;0,INDEX('Universes &amp; Series'!$B$5:$B$24,MATCH($E11,'Universes &amp; Series'!$A$5:$A$24,0)),Config!$G$5)))</f>
        <v/>
      </c>
      <c r="E11" s="21" t="n"/>
      <c r="F11" s="22">
        <f>IF($B11="","",Config!$F$5)</f>
        <v/>
      </c>
      <c r="G11" s="23" t="n"/>
      <c r="H11" s="23">
        <f>IF($B11="","",SUMIFS('Daily Writing Log'!$H$5:$H$34,'Daily Writing Log'!$B$5:$B$34,$B11))</f>
        <v/>
      </c>
      <c r="I11" s="24">
        <f>IF($B11="","",IF($G11&gt;0,MIN(1,MAX(0,$Q11/$G11)),0))</f>
        <v/>
      </c>
      <c r="J11" s="21">
        <f>IF($B11="","",REPT("#",IF($I11&gt;0,MAX(1,ROUNDUP(MIN(1,MAX(0,$I11))*20,0)),0))&amp;REPT("-",20-IF($I11&gt;0,MAX(1,ROUNDUP(MIN(1,MAX(0,$I11))*20,0)),0)))</f>
        <v/>
      </c>
      <c r="K11" s="78" t="n"/>
      <c r="L11" s="78" t="n"/>
      <c r="M11" s="23">
        <f>IF($B11="","",IF($L11="","",MAX(0,$L11-Config!$A$2)))</f>
        <v/>
      </c>
      <c r="N11" s="23">
        <f>IF($B11="","",IF(OR($G11&lt;=0,$Q11&gt;=$G11),0,IF(OR($L11="",NOT(ISNUMBER($L11))),0,ROUNDUP(MAX(0,$G11-$Q11)/MAX(1,$L11-MAX(Config!$A$2,N($K11))),0))))</f>
        <v/>
      </c>
      <c r="O11" s="23">
        <f>IF($B11="","",ROUND(SUMIFS('Daily Writing Log'!$F$5:$F$34,'Daily Writing Log'!$B$5:$B$34,$B11,'Daily Writing Log'!$A$5:$A$34,"&gt;="&amp;(Config!$A$2-29),'Daily Writing Log'!$A$5:$A$34,"&lt;="&amp;Config!$A$2)/30,0))</f>
        <v/>
      </c>
      <c r="P11" s="78">
        <f>IF($B11="","",IF($G11&lt;=0,"Add target",IF($Q11&gt;=$G11,"Completed",IF($O11&gt;0,Config!$A$2+ROUNDUP(MAX(0,$G11-$Q11)/$O11,0),"No recent pace"))))</f>
        <v/>
      </c>
      <c r="Q11" s="23">
        <f>IF($B11="","",SUMIFS('Daily Writing Log'!$F$5:$F$34,'Daily Writing Log'!$B$5:$B$34,$B11))</f>
        <v/>
      </c>
      <c r="R11" s="22">
        <f>IF($B11="","",IF($F11="Published","🎉 Published",IF($G11&lt;=0,"⚪ Set target",IF($Q11&gt;=$G11,"✅ Draft Target Met",IF(AND(ISNUMBER($K11),$K11&gt;Config!$A$2),"⚪ Not Started",IF($F11="Concept","🔵 In Concept",IF(ISBLANK($L11),"In Progress",IF(Config!$A$2&gt;$L11,"🔴 Overdue",IF($O11&gt;=$N11,"🟢 On Track",IF($O11&gt;=$N11*0.6,"🟡 Needs Focus","🔴 Behind Schedule"))))))))))</f>
        <v/>
      </c>
    </row>
    <row r="12" ht="19.5" customHeight="1">
      <c r="A12" s="79">
        <f>IF($B12="","",IF(ISNUMBER($K12),YEAR($K12),IF(ISNUMBER($L12),YEAR($L12),YEAR(Config!$A$2))))</f>
        <v/>
      </c>
      <c r="B12" s="80" t="n"/>
      <c r="C12" s="81">
        <f>IF($B12="","",Config!$E$5)</f>
        <v/>
      </c>
      <c r="D12" s="81">
        <f>IF($B12="","",IF($E12="","Standalone",IF(COUNTIF('Universes &amp; Series'!$A$5:$A$24,$E12)&gt;0,INDEX('Universes &amp; Series'!$B$5:$B$24,MATCH($E12,'Universes &amp; Series'!$A$5:$A$24,0)),Config!$G$5)))</f>
        <v/>
      </c>
      <c r="E12" s="82" t="n"/>
      <c r="F12" s="81">
        <f>IF($B12="","",Config!$F$5)</f>
        <v/>
      </c>
      <c r="G12" s="83" t="n"/>
      <c r="H12" s="83">
        <f>IF($B12="","",SUMIFS('Daily Writing Log'!$H$5:$H$34,'Daily Writing Log'!$B$5:$B$34,$B12))</f>
        <v/>
      </c>
      <c r="I12" s="84">
        <f>IF($B12="","",IF($G12&gt;0,MIN(1,MAX(0,$Q12/$G12)),0))</f>
        <v/>
      </c>
      <c r="J12" s="82">
        <f>IF($B12="","",REPT("#",IF($I12&gt;0,MAX(1,ROUNDUP(MIN(1,MAX(0,$I12))*20,0)),0))&amp;REPT("-",20-IF($I12&gt;0,MAX(1,ROUNDUP(MIN(1,MAX(0,$I12))*20,0)),0)))</f>
        <v/>
      </c>
      <c r="K12" s="85" t="n"/>
      <c r="L12" s="85" t="n"/>
      <c r="M12" s="83">
        <f>IF($B12="","",IF($L12="","",MAX(0,$L12-Config!$A$2)))</f>
        <v/>
      </c>
      <c r="N12" s="83">
        <f>IF($B12="","",IF(OR($G12&lt;=0,$Q12&gt;=$G12),0,IF(OR($L12="",NOT(ISNUMBER($L12))),0,ROUNDUP(MAX(0,$G12-$Q12)/MAX(1,$L12-MAX(Config!$A$2,N($K12))),0))))</f>
        <v/>
      </c>
      <c r="O12" s="83">
        <f>IF($B12="","",ROUND(SUMIFS('Daily Writing Log'!$F$5:$F$34,'Daily Writing Log'!$B$5:$B$34,$B12,'Daily Writing Log'!$A$5:$A$34,"&gt;="&amp;(Config!$A$2-29),'Daily Writing Log'!$A$5:$A$34,"&lt;="&amp;Config!$A$2)/30,0))</f>
        <v/>
      </c>
      <c r="P12" s="85">
        <f>IF($B12="","",IF($G12&lt;=0,"Add target",IF($Q12&gt;=$G12,"Completed",IF($O12&gt;0,Config!$A$2+ROUNDUP(MAX(0,$G12-$Q12)/$O12,0),"No recent pace"))))</f>
        <v/>
      </c>
      <c r="Q12" s="83">
        <f>IF($B12="","",SUMIFS('Daily Writing Log'!$F$5:$F$34,'Daily Writing Log'!$B$5:$B$34,$B12))</f>
        <v/>
      </c>
      <c r="R12" s="81">
        <f>IF($B12="","",IF($F12="Published","🎉 Published",IF($G12&lt;=0,"⚪ Set target",IF($Q12&gt;=$G12,"✅ Draft Target Met",IF(AND(ISNUMBER($K12),$K12&gt;Config!$A$2),"⚪ Not Started",IF($F12="Concept","🔵 In Concept",IF(ISBLANK($L12),"In Progress",IF(Config!$A$2&gt;$L12,"🔴 Overdue",IF($O12&gt;=$N12,"🟢 On Track",IF($O12&gt;=$N12*0.6,"🟡 Needs Focus","🔴 Behind Schedule"))))))))))</f>
        <v/>
      </c>
    </row>
    <row r="13" ht="19.5" customHeight="1">
      <c r="A13" s="77">
        <f>IF($B13="","",IF(ISNUMBER($K13),YEAR($K13),IF(ISNUMBER($L13),YEAR($L13),YEAR(Config!$A$2))))</f>
        <v/>
      </c>
      <c r="B13" s="20" t="n"/>
      <c r="C13" s="22">
        <f>IF($B13="","",Config!$E$5)</f>
        <v/>
      </c>
      <c r="D13" s="22">
        <f>IF($B13="","",IF($E13="","Standalone",IF(COUNTIF('Universes &amp; Series'!$A$5:$A$24,$E13)&gt;0,INDEX('Universes &amp; Series'!$B$5:$B$24,MATCH($E13,'Universes &amp; Series'!$A$5:$A$24,0)),Config!$G$5)))</f>
        <v/>
      </c>
      <c r="E13" s="21" t="n"/>
      <c r="F13" s="22">
        <f>IF($B13="","",Config!$F$5)</f>
        <v/>
      </c>
      <c r="G13" s="23" t="n"/>
      <c r="H13" s="23">
        <f>IF($B13="","",SUMIFS('Daily Writing Log'!$H$5:$H$34,'Daily Writing Log'!$B$5:$B$34,$B13))</f>
        <v/>
      </c>
      <c r="I13" s="24">
        <f>IF($B13="","",IF($G13&gt;0,MIN(1,MAX(0,$Q13/$G13)),0))</f>
        <v/>
      </c>
      <c r="J13" s="21">
        <f>IF($B13="","",REPT("#",IF($I13&gt;0,MAX(1,ROUNDUP(MIN(1,MAX(0,$I13))*20,0)),0))&amp;REPT("-",20-IF($I13&gt;0,MAX(1,ROUNDUP(MIN(1,MAX(0,$I13))*20,0)),0)))</f>
        <v/>
      </c>
      <c r="K13" s="78" t="n"/>
      <c r="L13" s="78" t="n"/>
      <c r="M13" s="23">
        <f>IF($B13="","",IF($L13="","",MAX(0,$L13-Config!$A$2)))</f>
        <v/>
      </c>
      <c r="N13" s="23">
        <f>IF($B13="","",IF(OR($G13&lt;=0,$Q13&gt;=$G13),0,IF(OR($L13="",NOT(ISNUMBER($L13))),0,ROUNDUP(MAX(0,$G13-$Q13)/MAX(1,$L13-MAX(Config!$A$2,N($K13))),0))))</f>
        <v/>
      </c>
      <c r="O13" s="23">
        <f>IF($B13="","",ROUND(SUMIFS('Daily Writing Log'!$F$5:$F$34,'Daily Writing Log'!$B$5:$B$34,$B13,'Daily Writing Log'!$A$5:$A$34,"&gt;="&amp;(Config!$A$2-29),'Daily Writing Log'!$A$5:$A$34,"&lt;="&amp;Config!$A$2)/30,0))</f>
        <v/>
      </c>
      <c r="P13" s="78">
        <f>IF($B13="","",IF($G13&lt;=0,"Add target",IF($Q13&gt;=$G13,"Completed",IF($O13&gt;0,Config!$A$2+ROUNDUP(MAX(0,$G13-$Q13)/$O13,0),"No recent pace"))))</f>
        <v/>
      </c>
      <c r="Q13" s="23">
        <f>IF($B13="","",SUMIFS('Daily Writing Log'!$F$5:$F$34,'Daily Writing Log'!$B$5:$B$34,$B13))</f>
        <v/>
      </c>
      <c r="R13" s="22">
        <f>IF($B13="","",IF($F13="Published","🎉 Published",IF($G13&lt;=0,"⚪ Set target",IF($Q13&gt;=$G13,"✅ Draft Target Met",IF(AND(ISNUMBER($K13),$K13&gt;Config!$A$2),"⚪ Not Started",IF($F13="Concept","🔵 In Concept",IF(ISBLANK($L13),"In Progress",IF(Config!$A$2&gt;$L13,"🔴 Overdue",IF($O13&gt;=$N13,"🟢 On Track",IF($O13&gt;=$N13*0.6,"🟡 Needs Focus","🔴 Behind Schedule"))))))))))</f>
        <v/>
      </c>
    </row>
    <row r="14" ht="19.5" customHeight="1">
      <c r="A14" s="79">
        <f>IF($B14="","",IF(ISNUMBER($K14),YEAR($K14),IF(ISNUMBER($L14),YEAR($L14),YEAR(Config!$A$2))))</f>
        <v/>
      </c>
      <c r="B14" s="80" t="n"/>
      <c r="C14" s="81">
        <f>IF($B14="","",Config!$E$5)</f>
        <v/>
      </c>
      <c r="D14" s="81">
        <f>IF($B14="","",IF($E14="","Standalone",IF(COUNTIF('Universes &amp; Series'!$A$5:$A$24,$E14)&gt;0,INDEX('Universes &amp; Series'!$B$5:$B$24,MATCH($E14,'Universes &amp; Series'!$A$5:$A$24,0)),Config!$G$5)))</f>
        <v/>
      </c>
      <c r="E14" s="82" t="n"/>
      <c r="F14" s="81">
        <f>IF($B14="","",Config!$F$5)</f>
        <v/>
      </c>
      <c r="G14" s="83" t="n"/>
      <c r="H14" s="83">
        <f>IF($B14="","",SUMIFS('Daily Writing Log'!$H$5:$H$34,'Daily Writing Log'!$B$5:$B$34,$B14))</f>
        <v/>
      </c>
      <c r="I14" s="84">
        <f>IF($B14="","",IF($G14&gt;0,MIN(1,MAX(0,$Q14/$G14)),0))</f>
        <v/>
      </c>
      <c r="J14" s="82">
        <f>IF($B14="","",REPT("#",IF($I14&gt;0,MAX(1,ROUNDUP(MIN(1,MAX(0,$I14))*20,0)),0))&amp;REPT("-",20-IF($I14&gt;0,MAX(1,ROUNDUP(MIN(1,MAX(0,$I14))*20,0)),0)))</f>
        <v/>
      </c>
      <c r="K14" s="85" t="n"/>
      <c r="L14" s="85" t="n"/>
      <c r="M14" s="83">
        <f>IF($B14="","",IF($L14="","",MAX(0,$L14-Config!$A$2)))</f>
        <v/>
      </c>
      <c r="N14" s="83">
        <f>IF($B14="","",IF(OR($G14&lt;=0,$Q14&gt;=$G14),0,IF(OR($L14="",NOT(ISNUMBER($L14))),0,ROUNDUP(MAX(0,$G14-$Q14)/MAX(1,$L14-MAX(Config!$A$2,N($K14))),0))))</f>
        <v/>
      </c>
      <c r="O14" s="83">
        <f>IF($B14="","",ROUND(SUMIFS('Daily Writing Log'!$F$5:$F$34,'Daily Writing Log'!$B$5:$B$34,$B14,'Daily Writing Log'!$A$5:$A$34,"&gt;="&amp;(Config!$A$2-29),'Daily Writing Log'!$A$5:$A$34,"&lt;="&amp;Config!$A$2)/30,0))</f>
        <v/>
      </c>
      <c r="P14" s="85">
        <f>IF($B14="","",IF($G14&lt;=0,"Add target",IF($Q14&gt;=$G14,"Completed",IF($O14&gt;0,Config!$A$2+ROUNDUP(MAX(0,$G14-$Q14)/$O14,0),"No recent pace"))))</f>
        <v/>
      </c>
      <c r="Q14" s="83">
        <f>IF($B14="","",SUMIFS('Daily Writing Log'!$F$5:$F$34,'Daily Writing Log'!$B$5:$B$34,$B14))</f>
        <v/>
      </c>
      <c r="R14" s="81">
        <f>IF($B14="","",IF($F14="Published","🎉 Published",IF($G14&lt;=0,"⚪ Set target",IF($Q14&gt;=$G14,"✅ Draft Target Met",IF(AND(ISNUMBER($K14),$K14&gt;Config!$A$2),"⚪ Not Started",IF($F14="Concept","🔵 In Concept",IF(ISBLANK($L14),"In Progress",IF(Config!$A$2&gt;$L14,"🔴 Overdue",IF($O14&gt;=$N14,"🟢 On Track",IF($O14&gt;=$N14*0.6,"🟡 Needs Focus","🔴 Behind Schedule"))))))))))</f>
        <v/>
      </c>
    </row>
    <row r="15" ht="19.5" customHeight="1">
      <c r="A15" s="77">
        <f>IF($B15="","",IF(ISNUMBER($K15),YEAR($K15),IF(ISNUMBER($L15),YEAR($L15),YEAR(Config!$A$2))))</f>
        <v/>
      </c>
      <c r="B15" s="20" t="n"/>
      <c r="C15" s="22">
        <f>IF($B15="","",Config!$E$5)</f>
        <v/>
      </c>
      <c r="D15" s="22">
        <f>IF($B15="","",IF($E15="","Standalone",IF(COUNTIF('Universes &amp; Series'!$A$5:$A$24,$E15)&gt;0,INDEX('Universes &amp; Series'!$B$5:$B$24,MATCH($E15,'Universes &amp; Series'!$A$5:$A$24,0)),Config!$G$5)))</f>
        <v/>
      </c>
      <c r="E15" s="21" t="n"/>
      <c r="F15" s="22">
        <f>IF($B15="","",Config!$F$5)</f>
        <v/>
      </c>
      <c r="G15" s="23" t="n"/>
      <c r="H15" s="23">
        <f>IF($B15="","",SUMIFS('Daily Writing Log'!$H$5:$H$34,'Daily Writing Log'!$B$5:$B$34,$B15))</f>
        <v/>
      </c>
      <c r="I15" s="24">
        <f>IF($B15="","",IF($G15&gt;0,MIN(1,MAX(0,$Q15/$G15)),0))</f>
        <v/>
      </c>
      <c r="J15" s="21">
        <f>IF($B15="","",REPT("#",IF($I15&gt;0,MAX(1,ROUNDUP(MIN(1,MAX(0,$I15))*20,0)),0))&amp;REPT("-",20-IF($I15&gt;0,MAX(1,ROUNDUP(MIN(1,MAX(0,$I15))*20,0)),0)))</f>
        <v/>
      </c>
      <c r="K15" s="78" t="n"/>
      <c r="L15" s="78" t="n"/>
      <c r="M15" s="23">
        <f>IF($B15="","",IF($L15="","",MAX(0,$L15-Config!$A$2)))</f>
        <v/>
      </c>
      <c r="N15" s="23">
        <f>IF($B15="","",IF(OR($G15&lt;=0,$Q15&gt;=$G15),0,IF(OR($L15="",NOT(ISNUMBER($L15))),0,ROUNDUP(MAX(0,$G15-$Q15)/MAX(1,$L15-MAX(Config!$A$2,N($K15))),0))))</f>
        <v/>
      </c>
      <c r="O15" s="23">
        <f>IF($B15="","",ROUND(SUMIFS('Daily Writing Log'!$F$5:$F$34,'Daily Writing Log'!$B$5:$B$34,$B15,'Daily Writing Log'!$A$5:$A$34,"&gt;="&amp;(Config!$A$2-29),'Daily Writing Log'!$A$5:$A$34,"&lt;="&amp;Config!$A$2)/30,0))</f>
        <v/>
      </c>
      <c r="P15" s="78">
        <f>IF($B15="","",IF($G15&lt;=0,"Add target",IF($Q15&gt;=$G15,"Completed",IF($O15&gt;0,Config!$A$2+ROUNDUP(MAX(0,$G15-$Q15)/$O15,0),"No recent pace"))))</f>
        <v/>
      </c>
      <c r="Q15" s="23">
        <f>IF($B15="","",SUMIFS('Daily Writing Log'!$F$5:$F$34,'Daily Writing Log'!$B$5:$B$34,$B15))</f>
        <v/>
      </c>
      <c r="R15" s="22">
        <f>IF($B15="","",IF($F15="Published","🎉 Published",IF($G15&lt;=0,"⚪ Set target",IF($Q15&gt;=$G15,"✅ Draft Target Met",IF(AND(ISNUMBER($K15),$K15&gt;Config!$A$2),"⚪ Not Started",IF($F15="Concept","🔵 In Concept",IF(ISBLANK($L15),"In Progress",IF(Config!$A$2&gt;$L15,"🔴 Overdue",IF($O15&gt;=$N15,"🟢 On Track",IF($O15&gt;=$N15*0.6,"🟡 Needs Focus","🔴 Behind Schedule"))))))))))</f>
        <v/>
      </c>
    </row>
    <row r="16" ht="19.5" customHeight="1">
      <c r="A16" s="79">
        <f>IF($B16="","",IF(ISNUMBER($K16),YEAR($K16),IF(ISNUMBER($L16),YEAR($L16),YEAR(Config!$A$2))))</f>
        <v/>
      </c>
      <c r="B16" s="80" t="n"/>
      <c r="C16" s="81">
        <f>IF($B16="","",Config!$E$5)</f>
        <v/>
      </c>
      <c r="D16" s="81">
        <f>IF($B16="","",IF($E16="","Standalone",IF(COUNTIF('Universes &amp; Series'!$A$5:$A$24,$E16)&gt;0,INDEX('Universes &amp; Series'!$B$5:$B$24,MATCH($E16,'Universes &amp; Series'!$A$5:$A$24,0)),Config!$G$5)))</f>
        <v/>
      </c>
      <c r="E16" s="82" t="n"/>
      <c r="F16" s="81">
        <f>IF($B16="","",Config!$F$5)</f>
        <v/>
      </c>
      <c r="G16" s="83" t="n"/>
      <c r="H16" s="83">
        <f>IF($B16="","",SUMIFS('Daily Writing Log'!$H$5:$H$34,'Daily Writing Log'!$B$5:$B$34,$B16))</f>
        <v/>
      </c>
      <c r="I16" s="84">
        <f>IF($B16="","",IF($G16&gt;0,MIN(1,MAX(0,$Q16/$G16)),0))</f>
        <v/>
      </c>
      <c r="J16" s="82">
        <f>IF($B16="","",REPT("#",IF($I16&gt;0,MAX(1,ROUNDUP(MIN(1,MAX(0,$I16))*20,0)),0))&amp;REPT("-",20-IF($I16&gt;0,MAX(1,ROUNDUP(MIN(1,MAX(0,$I16))*20,0)),0)))</f>
        <v/>
      </c>
      <c r="K16" s="85" t="n"/>
      <c r="L16" s="85" t="n"/>
      <c r="M16" s="83">
        <f>IF($B16="","",IF($L16="","",MAX(0,$L16-Config!$A$2)))</f>
        <v/>
      </c>
      <c r="N16" s="83">
        <f>IF($B16="","",IF(OR($G16&lt;=0,$Q16&gt;=$G16),0,IF(OR($L16="",NOT(ISNUMBER($L16))),0,ROUNDUP(MAX(0,$G16-$Q16)/MAX(1,$L16-MAX(Config!$A$2,N($K16))),0))))</f>
        <v/>
      </c>
      <c r="O16" s="83">
        <f>IF($B16="","",ROUND(SUMIFS('Daily Writing Log'!$F$5:$F$34,'Daily Writing Log'!$B$5:$B$34,$B16,'Daily Writing Log'!$A$5:$A$34,"&gt;="&amp;(Config!$A$2-29),'Daily Writing Log'!$A$5:$A$34,"&lt;="&amp;Config!$A$2)/30,0))</f>
        <v/>
      </c>
      <c r="P16" s="85">
        <f>IF($B16="","",IF($G16&lt;=0,"Add target",IF($Q16&gt;=$G16,"Completed",IF($O16&gt;0,Config!$A$2+ROUNDUP(MAX(0,$G16-$Q16)/$O16,0),"No recent pace"))))</f>
        <v/>
      </c>
      <c r="Q16" s="83">
        <f>IF($B16="","",SUMIFS('Daily Writing Log'!$F$5:$F$34,'Daily Writing Log'!$B$5:$B$34,$B16))</f>
        <v/>
      </c>
      <c r="R16" s="81">
        <f>IF($B16="","",IF($F16="Published","🎉 Published",IF($G16&lt;=0,"⚪ Set target",IF($Q16&gt;=$G16,"✅ Draft Target Met",IF(AND(ISNUMBER($K16),$K16&gt;Config!$A$2),"⚪ Not Started",IF($F16="Concept","🔵 In Concept",IF(ISBLANK($L16),"In Progress",IF(Config!$A$2&gt;$L16,"🔴 Overdue",IF($O16&gt;=$N16,"🟢 On Track",IF($O16&gt;=$N16*0.6,"🟡 Needs Focus","🔴 Behind Schedule"))))))))))</f>
        <v/>
      </c>
    </row>
    <row r="17" ht="19.5" customHeight="1">
      <c r="A17" s="77">
        <f>IF($B17="","",IF(ISNUMBER($K17),YEAR($K17),IF(ISNUMBER($L17),YEAR($L17),YEAR(Config!$A$2))))</f>
        <v/>
      </c>
      <c r="B17" s="20" t="n"/>
      <c r="C17" s="22">
        <f>IF($B17="","",Config!$E$5)</f>
        <v/>
      </c>
      <c r="D17" s="22">
        <f>IF($B17="","",IF($E17="","Standalone",IF(COUNTIF('Universes &amp; Series'!$A$5:$A$24,$E17)&gt;0,INDEX('Universes &amp; Series'!$B$5:$B$24,MATCH($E17,'Universes &amp; Series'!$A$5:$A$24,0)),Config!$G$5)))</f>
        <v/>
      </c>
      <c r="E17" s="21" t="n"/>
      <c r="F17" s="22">
        <f>IF($B17="","",Config!$F$5)</f>
        <v/>
      </c>
      <c r="G17" s="23" t="n"/>
      <c r="H17" s="23">
        <f>IF($B17="","",SUMIFS('Daily Writing Log'!$H$5:$H$34,'Daily Writing Log'!$B$5:$B$34,$B17))</f>
        <v/>
      </c>
      <c r="I17" s="24">
        <f>IF($B17="","",IF($G17&gt;0,MIN(1,MAX(0,$Q17/$G17)),0))</f>
        <v/>
      </c>
      <c r="J17" s="21">
        <f>IF($B17="","",REPT("#",IF($I17&gt;0,MAX(1,ROUNDUP(MIN(1,MAX(0,$I17))*20,0)),0))&amp;REPT("-",20-IF($I17&gt;0,MAX(1,ROUNDUP(MIN(1,MAX(0,$I17))*20,0)),0)))</f>
        <v/>
      </c>
      <c r="K17" s="78" t="n"/>
      <c r="L17" s="78" t="n"/>
      <c r="M17" s="23">
        <f>IF($B17="","",IF($L17="","",MAX(0,$L17-Config!$A$2)))</f>
        <v/>
      </c>
      <c r="N17" s="23">
        <f>IF($B17="","",IF(OR($G17&lt;=0,$Q17&gt;=$G17),0,IF(OR($L17="",NOT(ISNUMBER($L17))),0,ROUNDUP(MAX(0,$G17-$Q17)/MAX(1,$L17-MAX(Config!$A$2,N($K17))),0))))</f>
        <v/>
      </c>
      <c r="O17" s="23">
        <f>IF($B17="","",ROUND(SUMIFS('Daily Writing Log'!$F$5:$F$34,'Daily Writing Log'!$B$5:$B$34,$B17,'Daily Writing Log'!$A$5:$A$34,"&gt;="&amp;(Config!$A$2-29),'Daily Writing Log'!$A$5:$A$34,"&lt;="&amp;Config!$A$2)/30,0))</f>
        <v/>
      </c>
      <c r="P17" s="78">
        <f>IF($B17="","",IF($G17&lt;=0,"Add target",IF($Q17&gt;=$G17,"Completed",IF($O17&gt;0,Config!$A$2+ROUNDUP(MAX(0,$G17-$Q17)/$O17,0),"No recent pace"))))</f>
        <v/>
      </c>
      <c r="Q17" s="23">
        <f>IF($B17="","",SUMIFS('Daily Writing Log'!$F$5:$F$34,'Daily Writing Log'!$B$5:$B$34,$B17))</f>
        <v/>
      </c>
      <c r="R17" s="22">
        <f>IF($B17="","",IF($F17="Published","🎉 Published",IF($G17&lt;=0,"⚪ Set target",IF($Q17&gt;=$G17,"✅ Draft Target Met",IF(AND(ISNUMBER($K17),$K17&gt;Config!$A$2),"⚪ Not Started",IF($F17="Concept","🔵 In Concept",IF(ISBLANK($L17),"In Progress",IF(Config!$A$2&gt;$L17,"🔴 Overdue",IF($O17&gt;=$N17,"🟢 On Track",IF($O17&gt;=$N17*0.6,"🟡 Needs Focus","🔴 Behind Schedule"))))))))))</f>
        <v/>
      </c>
    </row>
    <row r="18" ht="19.5" customHeight="1">
      <c r="A18" s="79">
        <f>IF($B18="","",IF(ISNUMBER($K18),YEAR($K18),IF(ISNUMBER($L18),YEAR($L18),YEAR(Config!$A$2))))</f>
        <v/>
      </c>
      <c r="B18" s="80" t="n"/>
      <c r="C18" s="81">
        <f>IF($B18="","",Config!$E$5)</f>
        <v/>
      </c>
      <c r="D18" s="81">
        <f>IF($B18="","",IF($E18="","Standalone",IF(COUNTIF('Universes &amp; Series'!$A$5:$A$24,$E18)&gt;0,INDEX('Universes &amp; Series'!$B$5:$B$24,MATCH($E18,'Universes &amp; Series'!$A$5:$A$24,0)),Config!$G$5)))</f>
        <v/>
      </c>
      <c r="E18" s="82" t="n"/>
      <c r="F18" s="81">
        <f>IF($B18="","",Config!$F$5)</f>
        <v/>
      </c>
      <c r="G18" s="83" t="n"/>
      <c r="H18" s="83">
        <f>IF($B18="","",SUMIFS('Daily Writing Log'!$H$5:$H$34,'Daily Writing Log'!$B$5:$B$34,$B18))</f>
        <v/>
      </c>
      <c r="I18" s="84">
        <f>IF($B18="","",IF($G18&gt;0,MIN(1,MAX(0,$Q18/$G18)),0))</f>
        <v/>
      </c>
      <c r="J18" s="82">
        <f>IF($B18="","",REPT("#",IF($I18&gt;0,MAX(1,ROUNDUP(MIN(1,MAX(0,$I18))*20,0)),0))&amp;REPT("-",20-IF($I18&gt;0,MAX(1,ROUNDUP(MIN(1,MAX(0,$I18))*20,0)),0)))</f>
        <v/>
      </c>
      <c r="K18" s="85" t="n"/>
      <c r="L18" s="85" t="n"/>
      <c r="M18" s="83">
        <f>IF($B18="","",IF($L18="","",MAX(0,$L18-Config!$A$2)))</f>
        <v/>
      </c>
      <c r="N18" s="83">
        <f>IF($B18="","",IF(OR($G18&lt;=0,$Q18&gt;=$G18),0,IF(OR($L18="",NOT(ISNUMBER($L18))),0,ROUNDUP(MAX(0,$G18-$Q18)/MAX(1,$L18-MAX(Config!$A$2,N($K18))),0))))</f>
        <v/>
      </c>
      <c r="O18" s="83">
        <f>IF($B18="","",ROUND(SUMIFS('Daily Writing Log'!$F$5:$F$34,'Daily Writing Log'!$B$5:$B$34,$B18,'Daily Writing Log'!$A$5:$A$34,"&gt;="&amp;(Config!$A$2-29),'Daily Writing Log'!$A$5:$A$34,"&lt;="&amp;Config!$A$2)/30,0))</f>
        <v/>
      </c>
      <c r="P18" s="85">
        <f>IF($B18="","",IF($G18&lt;=0,"Add target",IF($Q18&gt;=$G18,"Completed",IF($O18&gt;0,Config!$A$2+ROUNDUP(MAX(0,$G18-$Q18)/$O18,0),"No recent pace"))))</f>
        <v/>
      </c>
      <c r="Q18" s="83">
        <f>IF($B18="","",SUMIFS('Daily Writing Log'!$F$5:$F$34,'Daily Writing Log'!$B$5:$B$34,$B18))</f>
        <v/>
      </c>
      <c r="R18" s="81">
        <f>IF($B18="","",IF($F18="Published","🎉 Published",IF($G18&lt;=0,"⚪ Set target",IF($Q18&gt;=$G18,"✅ Draft Target Met",IF(AND(ISNUMBER($K18),$K18&gt;Config!$A$2),"⚪ Not Started",IF($F18="Concept","🔵 In Concept",IF(ISBLANK($L18),"In Progress",IF(Config!$A$2&gt;$L18,"🔴 Overdue",IF($O18&gt;=$N18,"🟢 On Track",IF($O18&gt;=$N18*0.6,"🟡 Needs Focus","🔴 Behind Schedule"))))))))))</f>
        <v/>
      </c>
    </row>
    <row r="19" ht="19.5" customHeight="1">
      <c r="A19" s="77">
        <f>IF($B19="","",IF(ISNUMBER($K19),YEAR($K19),IF(ISNUMBER($L19),YEAR($L19),YEAR(Config!$A$2))))</f>
        <v/>
      </c>
      <c r="B19" s="20" t="n"/>
      <c r="C19" s="22">
        <f>IF($B19="","",Config!$E$5)</f>
        <v/>
      </c>
      <c r="D19" s="22">
        <f>IF($B19="","",IF($E19="","Standalone",IF(COUNTIF('Universes &amp; Series'!$A$5:$A$24,$E19)&gt;0,INDEX('Universes &amp; Series'!$B$5:$B$24,MATCH($E19,'Universes &amp; Series'!$A$5:$A$24,0)),Config!$G$5)))</f>
        <v/>
      </c>
      <c r="E19" s="21" t="n"/>
      <c r="F19" s="22">
        <f>IF($B19="","",Config!$F$5)</f>
        <v/>
      </c>
      <c r="G19" s="23" t="n"/>
      <c r="H19" s="23">
        <f>IF($B19="","",SUMIFS('Daily Writing Log'!$H$5:$H$34,'Daily Writing Log'!$B$5:$B$34,$B19))</f>
        <v/>
      </c>
      <c r="I19" s="24">
        <f>IF($B19="","",IF($G19&gt;0,MIN(1,MAX(0,$Q19/$G19)),0))</f>
        <v/>
      </c>
      <c r="J19" s="21">
        <f>IF($B19="","",REPT("#",IF($I19&gt;0,MAX(1,ROUNDUP(MIN(1,MAX(0,$I19))*20,0)),0))&amp;REPT("-",20-IF($I19&gt;0,MAX(1,ROUNDUP(MIN(1,MAX(0,$I19))*20,0)),0)))</f>
        <v/>
      </c>
      <c r="K19" s="78" t="n"/>
      <c r="L19" s="78" t="n"/>
      <c r="M19" s="23">
        <f>IF($B19="","",IF($L19="","",MAX(0,$L19-Config!$A$2)))</f>
        <v/>
      </c>
      <c r="N19" s="23">
        <f>IF($B19="","",IF(OR($G19&lt;=0,$Q19&gt;=$G19),0,IF(OR($L19="",NOT(ISNUMBER($L19))),0,ROUNDUP(MAX(0,$G19-$Q19)/MAX(1,$L19-MAX(Config!$A$2,N($K19))),0))))</f>
        <v/>
      </c>
      <c r="O19" s="23">
        <f>IF($B19="","",ROUND(SUMIFS('Daily Writing Log'!$F$5:$F$34,'Daily Writing Log'!$B$5:$B$34,$B19,'Daily Writing Log'!$A$5:$A$34,"&gt;="&amp;(Config!$A$2-29),'Daily Writing Log'!$A$5:$A$34,"&lt;="&amp;Config!$A$2)/30,0))</f>
        <v/>
      </c>
      <c r="P19" s="78">
        <f>IF($B19="","",IF($G19&lt;=0,"Add target",IF($Q19&gt;=$G19,"Completed",IF($O19&gt;0,Config!$A$2+ROUNDUP(MAX(0,$G19-$Q19)/$O19,0),"No recent pace"))))</f>
        <v/>
      </c>
      <c r="Q19" s="23">
        <f>IF($B19="","",SUMIFS('Daily Writing Log'!$F$5:$F$34,'Daily Writing Log'!$B$5:$B$34,$B19))</f>
        <v/>
      </c>
      <c r="R19" s="22">
        <f>IF($B19="","",IF($F19="Published","🎉 Published",IF($G19&lt;=0,"⚪ Set target",IF($Q19&gt;=$G19,"✅ Draft Target Met",IF(AND(ISNUMBER($K19),$K19&gt;Config!$A$2),"⚪ Not Started",IF($F19="Concept","🔵 In Concept",IF(ISBLANK($L19),"In Progress",IF(Config!$A$2&gt;$L19,"🔴 Overdue",IF($O19&gt;=$N19,"🟢 On Track",IF($O19&gt;=$N19*0.6,"🟡 Needs Focus","🔴 Behind Schedule"))))))))))</f>
        <v/>
      </c>
    </row>
    <row r="20" ht="19.5" customHeight="1">
      <c r="A20" s="79">
        <f>IF($B20="","",IF(ISNUMBER($K20),YEAR($K20),IF(ISNUMBER($L20),YEAR($L20),YEAR(Config!$A$2))))</f>
        <v/>
      </c>
      <c r="B20" s="80" t="n"/>
      <c r="C20" s="81">
        <f>IF($B20="","",Config!$E$5)</f>
        <v/>
      </c>
      <c r="D20" s="81">
        <f>IF($B20="","",IF($E20="","Standalone",IF(COUNTIF('Universes &amp; Series'!$A$5:$A$24,$E20)&gt;0,INDEX('Universes &amp; Series'!$B$5:$B$24,MATCH($E20,'Universes &amp; Series'!$A$5:$A$24,0)),Config!$G$5)))</f>
        <v/>
      </c>
      <c r="E20" s="82" t="n"/>
      <c r="F20" s="81">
        <f>IF($B20="","",Config!$F$5)</f>
        <v/>
      </c>
      <c r="G20" s="83" t="n"/>
      <c r="H20" s="83">
        <f>IF($B20="","",SUMIFS('Daily Writing Log'!$H$5:$H$34,'Daily Writing Log'!$B$5:$B$34,$B20))</f>
        <v/>
      </c>
      <c r="I20" s="84">
        <f>IF($B20="","",IF($G20&gt;0,MIN(1,MAX(0,$Q20/$G20)),0))</f>
        <v/>
      </c>
      <c r="J20" s="82">
        <f>IF($B20="","",REPT("#",IF($I20&gt;0,MAX(1,ROUNDUP(MIN(1,MAX(0,$I20))*20,0)),0))&amp;REPT("-",20-IF($I20&gt;0,MAX(1,ROUNDUP(MIN(1,MAX(0,$I20))*20,0)),0)))</f>
        <v/>
      </c>
      <c r="K20" s="85" t="n"/>
      <c r="L20" s="85" t="n"/>
      <c r="M20" s="83">
        <f>IF($B20="","",IF($L20="","",MAX(0,$L20-Config!$A$2)))</f>
        <v/>
      </c>
      <c r="N20" s="83">
        <f>IF($B20="","",IF(OR($G20&lt;=0,$Q20&gt;=$G20),0,IF(OR($L20="",NOT(ISNUMBER($L20))),0,ROUNDUP(MAX(0,$G20-$Q20)/MAX(1,$L20-MAX(Config!$A$2,N($K20))),0))))</f>
        <v/>
      </c>
      <c r="O20" s="83">
        <f>IF($B20="","",ROUND(SUMIFS('Daily Writing Log'!$F$5:$F$34,'Daily Writing Log'!$B$5:$B$34,$B20,'Daily Writing Log'!$A$5:$A$34,"&gt;="&amp;(Config!$A$2-29),'Daily Writing Log'!$A$5:$A$34,"&lt;="&amp;Config!$A$2)/30,0))</f>
        <v/>
      </c>
      <c r="P20" s="85">
        <f>IF($B20="","",IF($G20&lt;=0,"Add target",IF($Q20&gt;=$G20,"Completed",IF($O20&gt;0,Config!$A$2+ROUNDUP(MAX(0,$G20-$Q20)/$O20,0),"No recent pace"))))</f>
        <v/>
      </c>
      <c r="Q20" s="83">
        <f>IF($B20="","",SUMIFS('Daily Writing Log'!$F$5:$F$34,'Daily Writing Log'!$B$5:$B$34,$B20))</f>
        <v/>
      </c>
      <c r="R20" s="81">
        <f>IF($B20="","",IF($F20="Published","🎉 Published",IF($G20&lt;=0,"⚪ Set target",IF($Q20&gt;=$G20,"✅ Draft Target Met",IF(AND(ISNUMBER($K20),$K20&gt;Config!$A$2),"⚪ Not Started",IF($F20="Concept","🔵 In Concept",IF(ISBLANK($L20),"In Progress",IF(Config!$A$2&gt;$L20,"🔴 Overdue",IF($O20&gt;=$N20,"🟢 On Track",IF($O20&gt;=$N20*0.6,"🟡 Needs Focus","🔴 Behind Schedule"))))))))))</f>
        <v/>
      </c>
    </row>
    <row r="21" ht="19.5" customHeight="1">
      <c r="A21" s="77">
        <f>IF($B21="","",IF(ISNUMBER($K21),YEAR($K21),IF(ISNUMBER($L21),YEAR($L21),YEAR(Config!$A$2))))</f>
        <v/>
      </c>
      <c r="B21" s="20" t="n"/>
      <c r="C21" s="22">
        <f>IF($B21="","",Config!$E$5)</f>
        <v/>
      </c>
      <c r="D21" s="22">
        <f>IF($B21="","",IF($E21="","Standalone",IF(COUNTIF('Universes &amp; Series'!$A$5:$A$24,$E21)&gt;0,INDEX('Universes &amp; Series'!$B$5:$B$24,MATCH($E21,'Universes &amp; Series'!$A$5:$A$24,0)),Config!$G$5)))</f>
        <v/>
      </c>
      <c r="E21" s="21" t="n"/>
      <c r="F21" s="22">
        <f>IF($B21="","",Config!$F$5)</f>
        <v/>
      </c>
      <c r="G21" s="23" t="n"/>
      <c r="H21" s="23">
        <f>IF($B21="","",SUMIFS('Daily Writing Log'!$H$5:$H$34,'Daily Writing Log'!$B$5:$B$34,$B21))</f>
        <v/>
      </c>
      <c r="I21" s="24">
        <f>IF($B21="","",IF($G21&gt;0,MIN(1,MAX(0,$Q21/$G21)),0))</f>
        <v/>
      </c>
      <c r="J21" s="21">
        <f>IF($B21="","",REPT("#",IF($I21&gt;0,MAX(1,ROUNDUP(MIN(1,MAX(0,$I21))*20,0)),0))&amp;REPT("-",20-IF($I21&gt;0,MAX(1,ROUNDUP(MIN(1,MAX(0,$I21))*20,0)),0)))</f>
        <v/>
      </c>
      <c r="K21" s="78" t="n"/>
      <c r="L21" s="78" t="n"/>
      <c r="M21" s="23">
        <f>IF($B21="","",IF($L21="","",MAX(0,$L21-Config!$A$2)))</f>
        <v/>
      </c>
      <c r="N21" s="23">
        <f>IF($B21="","",IF(OR($G21&lt;=0,$Q21&gt;=$G21),0,IF(OR($L21="",NOT(ISNUMBER($L21))),0,ROUNDUP(MAX(0,$G21-$Q21)/MAX(1,$L21-MAX(Config!$A$2,N($K21))),0))))</f>
        <v/>
      </c>
      <c r="O21" s="23">
        <f>IF($B21="","",ROUND(SUMIFS('Daily Writing Log'!$F$5:$F$34,'Daily Writing Log'!$B$5:$B$34,$B21,'Daily Writing Log'!$A$5:$A$34,"&gt;="&amp;(Config!$A$2-29),'Daily Writing Log'!$A$5:$A$34,"&lt;="&amp;Config!$A$2)/30,0))</f>
        <v/>
      </c>
      <c r="P21" s="78">
        <f>IF($B21="","",IF($G21&lt;=0,"Add target",IF($Q21&gt;=$G21,"Completed",IF($O21&gt;0,Config!$A$2+ROUNDUP(MAX(0,$G21-$Q21)/$O21,0),"No recent pace"))))</f>
        <v/>
      </c>
      <c r="Q21" s="23">
        <f>IF($B21="","",SUMIFS('Daily Writing Log'!$F$5:$F$34,'Daily Writing Log'!$B$5:$B$34,$B21))</f>
        <v/>
      </c>
      <c r="R21" s="22">
        <f>IF($B21="","",IF($F21="Published","🎉 Published",IF($G21&lt;=0,"⚪ Set target",IF($Q21&gt;=$G21,"✅ Draft Target Met",IF(AND(ISNUMBER($K21),$K21&gt;Config!$A$2),"⚪ Not Started",IF($F21="Concept","🔵 In Concept",IF(ISBLANK($L21),"In Progress",IF(Config!$A$2&gt;$L21,"🔴 Overdue",IF($O21&gt;=$N21,"🟢 On Track",IF($O21&gt;=$N21*0.6,"🟡 Needs Focus","🔴 Behind Schedule"))))))))))</f>
        <v/>
      </c>
    </row>
    <row r="22" ht="19.5" customHeight="1">
      <c r="A22" s="79">
        <f>IF($B22="","",IF(ISNUMBER($K22),YEAR($K22),IF(ISNUMBER($L22),YEAR($L22),YEAR(Config!$A$2))))</f>
        <v/>
      </c>
      <c r="B22" s="80" t="n"/>
      <c r="C22" s="81">
        <f>IF($B22="","",Config!$E$5)</f>
        <v/>
      </c>
      <c r="D22" s="81">
        <f>IF($B22="","",IF($E22="","Standalone",IF(COUNTIF('Universes &amp; Series'!$A$5:$A$24,$E22)&gt;0,INDEX('Universes &amp; Series'!$B$5:$B$24,MATCH($E22,'Universes &amp; Series'!$A$5:$A$24,0)),Config!$G$5)))</f>
        <v/>
      </c>
      <c r="E22" s="82" t="n"/>
      <c r="F22" s="81">
        <f>IF($B22="","",Config!$F$5)</f>
        <v/>
      </c>
      <c r="G22" s="83" t="n"/>
      <c r="H22" s="83">
        <f>IF($B22="","",SUMIFS('Daily Writing Log'!$H$5:$H$34,'Daily Writing Log'!$B$5:$B$34,$B22))</f>
        <v/>
      </c>
      <c r="I22" s="84">
        <f>IF($B22="","",IF($G22&gt;0,MIN(1,MAX(0,$Q22/$G22)),0))</f>
        <v/>
      </c>
      <c r="J22" s="82">
        <f>IF($B22="","",REPT("#",IF($I22&gt;0,MAX(1,ROUNDUP(MIN(1,MAX(0,$I22))*20,0)),0))&amp;REPT("-",20-IF($I22&gt;0,MAX(1,ROUNDUP(MIN(1,MAX(0,$I22))*20,0)),0)))</f>
        <v/>
      </c>
      <c r="K22" s="85" t="n"/>
      <c r="L22" s="85" t="n"/>
      <c r="M22" s="83">
        <f>IF($B22="","",IF($L22="","",MAX(0,$L22-Config!$A$2)))</f>
        <v/>
      </c>
      <c r="N22" s="83">
        <f>IF($B22="","",IF(OR($G22&lt;=0,$Q22&gt;=$G22),0,IF(OR($L22="",NOT(ISNUMBER($L22))),0,ROUNDUP(MAX(0,$G22-$Q22)/MAX(1,$L22-MAX(Config!$A$2,N($K22))),0))))</f>
        <v/>
      </c>
      <c r="O22" s="83">
        <f>IF($B22="","",ROUND(SUMIFS('Daily Writing Log'!$F$5:$F$34,'Daily Writing Log'!$B$5:$B$34,$B22,'Daily Writing Log'!$A$5:$A$34,"&gt;="&amp;(Config!$A$2-29),'Daily Writing Log'!$A$5:$A$34,"&lt;="&amp;Config!$A$2)/30,0))</f>
        <v/>
      </c>
      <c r="P22" s="85">
        <f>IF($B22="","",IF($G22&lt;=0,"Add target",IF($Q22&gt;=$G22,"Completed",IF($O22&gt;0,Config!$A$2+ROUNDUP(MAX(0,$G22-$Q22)/$O22,0),"No recent pace"))))</f>
        <v/>
      </c>
      <c r="Q22" s="83">
        <f>IF($B22="","",SUMIFS('Daily Writing Log'!$F$5:$F$34,'Daily Writing Log'!$B$5:$B$34,$B22))</f>
        <v/>
      </c>
      <c r="R22" s="81">
        <f>IF($B22="","",IF($F22="Published","🎉 Published",IF($G22&lt;=0,"⚪ Set target",IF($Q22&gt;=$G22,"✅ Draft Target Met",IF(AND(ISNUMBER($K22),$K22&gt;Config!$A$2),"⚪ Not Started",IF($F22="Concept","🔵 In Concept",IF(ISBLANK($L22),"In Progress",IF(Config!$A$2&gt;$L22,"🔴 Overdue",IF($O22&gt;=$N22,"🟢 On Track",IF($O22&gt;=$N22*0.6,"🟡 Needs Focus","🔴 Behind Schedule"))))))))))</f>
        <v/>
      </c>
    </row>
    <row r="23" ht="19.5" customHeight="1">
      <c r="A23" s="77">
        <f>IF($B23="","",IF(ISNUMBER($K23),YEAR($K23),IF(ISNUMBER($L23),YEAR($L23),YEAR(Config!$A$2))))</f>
        <v/>
      </c>
      <c r="B23" s="20" t="n"/>
      <c r="C23" s="22">
        <f>IF($B23="","",Config!$E$5)</f>
        <v/>
      </c>
      <c r="D23" s="22">
        <f>IF($B23="","",IF($E23="","Standalone",IF(COUNTIF('Universes &amp; Series'!$A$5:$A$24,$E23)&gt;0,INDEX('Universes &amp; Series'!$B$5:$B$24,MATCH($E23,'Universes &amp; Series'!$A$5:$A$24,0)),Config!$G$5)))</f>
        <v/>
      </c>
      <c r="E23" s="21" t="n"/>
      <c r="F23" s="22">
        <f>IF($B23="","",Config!$F$5)</f>
        <v/>
      </c>
      <c r="G23" s="23" t="n"/>
      <c r="H23" s="23">
        <f>IF($B23="","",SUMIFS('Daily Writing Log'!$H$5:$H$34,'Daily Writing Log'!$B$5:$B$34,$B23))</f>
        <v/>
      </c>
      <c r="I23" s="24">
        <f>IF($B23="","",IF($G23&gt;0,MIN(1,MAX(0,$Q23/$G23)),0))</f>
        <v/>
      </c>
      <c r="J23" s="21">
        <f>IF($B23="","",REPT("#",IF($I23&gt;0,MAX(1,ROUNDUP(MIN(1,MAX(0,$I23))*20,0)),0))&amp;REPT("-",20-IF($I23&gt;0,MAX(1,ROUNDUP(MIN(1,MAX(0,$I23))*20,0)),0)))</f>
        <v/>
      </c>
      <c r="K23" s="78" t="n"/>
      <c r="L23" s="78" t="n"/>
      <c r="M23" s="23">
        <f>IF($B23="","",IF($L23="","",MAX(0,$L23-Config!$A$2)))</f>
        <v/>
      </c>
      <c r="N23" s="23">
        <f>IF($B23="","",IF(OR($G23&lt;=0,$Q23&gt;=$G23),0,IF(OR($L23="",NOT(ISNUMBER($L23))),0,ROUNDUP(MAX(0,$G23-$Q23)/MAX(1,$L23-MAX(Config!$A$2,N($K23))),0))))</f>
        <v/>
      </c>
      <c r="O23" s="23">
        <f>IF($B23="","",ROUND(SUMIFS('Daily Writing Log'!$F$5:$F$34,'Daily Writing Log'!$B$5:$B$34,$B23,'Daily Writing Log'!$A$5:$A$34,"&gt;="&amp;(Config!$A$2-29),'Daily Writing Log'!$A$5:$A$34,"&lt;="&amp;Config!$A$2)/30,0))</f>
        <v/>
      </c>
      <c r="P23" s="78">
        <f>IF($B23="","",IF($G23&lt;=0,"Add target",IF($Q23&gt;=$G23,"Completed",IF($O23&gt;0,Config!$A$2+ROUNDUP(MAX(0,$G23-$Q23)/$O23,0),"No recent pace"))))</f>
        <v/>
      </c>
      <c r="Q23" s="23">
        <f>IF($B23="","",SUMIFS('Daily Writing Log'!$F$5:$F$34,'Daily Writing Log'!$B$5:$B$34,$B23))</f>
        <v/>
      </c>
      <c r="R23" s="22">
        <f>IF($B23="","",IF($F23="Published","🎉 Published",IF($G23&lt;=0,"⚪ Set target",IF($Q23&gt;=$G23,"✅ Draft Target Met",IF(AND(ISNUMBER($K23),$K23&gt;Config!$A$2),"⚪ Not Started",IF($F23="Concept","🔵 In Concept",IF(ISBLANK($L23),"In Progress",IF(Config!$A$2&gt;$L23,"🔴 Overdue",IF($O23&gt;=$N23,"🟢 On Track",IF($O23&gt;=$N23*0.6,"🟡 Needs Focus","🔴 Behind Schedule"))))))))))</f>
        <v/>
      </c>
    </row>
    <row r="24" ht="19.5" customHeight="1">
      <c r="A24" s="79">
        <f>IF($B24="","",IF(ISNUMBER($K24),YEAR($K24),IF(ISNUMBER($L24),YEAR($L24),YEAR(Config!$A$2))))</f>
        <v/>
      </c>
      <c r="B24" s="80" t="n"/>
      <c r="C24" s="81">
        <f>IF($B24="","",Config!$E$5)</f>
        <v/>
      </c>
      <c r="D24" s="81">
        <f>IF($B24="","",IF($E24="","Standalone",IF(COUNTIF('Universes &amp; Series'!$A$5:$A$24,$E24)&gt;0,INDEX('Universes &amp; Series'!$B$5:$B$24,MATCH($E24,'Universes &amp; Series'!$A$5:$A$24,0)),Config!$G$5)))</f>
        <v/>
      </c>
      <c r="E24" s="82" t="n"/>
      <c r="F24" s="81">
        <f>IF($B24="","",Config!$F$5)</f>
        <v/>
      </c>
      <c r="G24" s="83" t="n"/>
      <c r="H24" s="83">
        <f>IF($B24="","",SUMIFS('Daily Writing Log'!$H$5:$H$34,'Daily Writing Log'!$B$5:$B$34,$B24))</f>
        <v/>
      </c>
      <c r="I24" s="84">
        <f>IF($B24="","",IF($G24&gt;0,MIN(1,MAX(0,$Q24/$G24)),0))</f>
        <v/>
      </c>
      <c r="J24" s="82">
        <f>IF($B24="","",REPT("#",IF($I24&gt;0,MAX(1,ROUNDUP(MIN(1,MAX(0,$I24))*20,0)),0))&amp;REPT("-",20-IF($I24&gt;0,MAX(1,ROUNDUP(MIN(1,MAX(0,$I24))*20,0)),0)))</f>
        <v/>
      </c>
      <c r="K24" s="85" t="n"/>
      <c r="L24" s="85" t="n"/>
      <c r="M24" s="83">
        <f>IF($B24="","",IF($L24="","",MAX(0,$L24-Config!$A$2)))</f>
        <v/>
      </c>
      <c r="N24" s="83">
        <f>IF($B24="","",IF(OR($G24&lt;=0,$Q24&gt;=$G24),0,IF(OR($L24="",NOT(ISNUMBER($L24))),0,ROUNDUP(MAX(0,$G24-$Q24)/MAX(1,$L24-MAX(Config!$A$2,N($K24))),0))))</f>
        <v/>
      </c>
      <c r="O24" s="83">
        <f>IF($B24="","",ROUND(SUMIFS('Daily Writing Log'!$F$5:$F$34,'Daily Writing Log'!$B$5:$B$34,$B24,'Daily Writing Log'!$A$5:$A$34,"&gt;="&amp;(Config!$A$2-29),'Daily Writing Log'!$A$5:$A$34,"&lt;="&amp;Config!$A$2)/30,0))</f>
        <v/>
      </c>
      <c r="P24" s="85">
        <f>IF($B24="","",IF($G24&lt;=0,"Add target",IF($Q24&gt;=$G24,"Completed",IF($O24&gt;0,Config!$A$2+ROUNDUP(MAX(0,$G24-$Q24)/$O24,0),"No recent pace"))))</f>
        <v/>
      </c>
      <c r="Q24" s="83">
        <f>IF($B24="","",SUMIFS('Daily Writing Log'!$F$5:$F$34,'Daily Writing Log'!$B$5:$B$34,$B24))</f>
        <v/>
      </c>
      <c r="R24" s="81">
        <f>IF($B24="","",IF($F24="Published","🎉 Published",IF($G24&lt;=0,"⚪ Set target",IF($Q24&gt;=$G24,"✅ Draft Target Met",IF(AND(ISNUMBER($K24),$K24&gt;Config!$A$2),"⚪ Not Started",IF($F24="Concept","🔵 In Concept",IF(ISBLANK($L24),"In Progress",IF(Config!$A$2&gt;$L24,"🔴 Overdue",IF($O24&gt;=$N24,"🟢 On Track",IF($O24&gt;=$N24*0.6,"🟡 Needs Focus","🔴 Behind Schedule"))))))))))</f>
        <v/>
      </c>
    </row>
    <row r="25" ht="21.75" customHeight="1">
      <c r="A25" s="86" t="n"/>
      <c r="B25" s="87" t="inlineStr">
        <is>
          <t>Total Pipeline Portfolio</t>
        </is>
      </c>
      <c r="C25" s="87" t="n"/>
      <c r="D25" s="87" t="n"/>
      <c r="E25" s="87" t="n"/>
      <c r="F25" s="87" t="n"/>
      <c r="G25" s="88">
        <f>SUM(G5:G24)</f>
        <v>1020000</v>
      </c>
      <c r="H25" s="88">
        <f>SUM(H5:H24)</f>
        <v>4800</v>
      </c>
      <c r="I25" s="89">
        <f>IF(G25&gt;0,Q25/G25,0)</f>
        <v>0.00186274509803922</v>
      </c>
      <c r="J25" s="87" t="n"/>
      <c r="K25" s="90" t="n"/>
      <c r="L25" s="90" t="n"/>
      <c r="M25" s="88">
        <f>ROUND(AVERAGE(M5:M24),0)</f>
        <v>498</v>
      </c>
      <c r="N25" s="88">
        <f>SUM(N5:N24)</f>
        <v>6431</v>
      </c>
      <c r="O25" s="88">
        <f>SUM(O5:O24)</f>
        <v>0</v>
      </c>
      <c r="P25" s="91" t="n"/>
      <c r="Q25" s="88">
        <f>SUM(Q5:Q24)</f>
        <v>1900</v>
      </c>
      <c r="R25" s="92" t="str">
        <f>COUNTIF(B5:B24,"?*")&amp;" Active / Cataloged"</f>
        <v>6 Active / Cataloged</v>
      </c>
    </row>
    <row r="26" ht="18" customHeight="1"/>
    <row r="27" ht="21.75" customHeight="1">
      <c r="A27" s="133" t="inlineStr">
        <is>
          <t>📊 PIPELINE ANALYTICS • DYNAMIC BOOK TARGETS, REQUIRED DAILY PACE &amp; STAGE FUNNEL (AUTO-UPDATING)</t>
        </is>
      </c>
    </row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:R27"/>
    <mergeCell ref="A2:R2"/>
    <mergeCell ref="A1:R1"/>
  </mergeCells>
  <conditionalFormatting sqref="I5:I24">
    <cfRule type="dataBar" priority="2">
      <dataBar>
        <cfvo type="num" val="0"/>
        <cfvo type="num" val="1"/>
        <color rgb="FF7C3AED"/>
      </dataBar>
    </cfRule>
  </conditionalFormatting>
  <conditionalFormatting sqref="R5:R24">
    <cfRule type="expression" priority="3" dxfId="3">
      <formula>OR(LEFT(R5,2)="🟢",LEFT(R5,1)="✅",LEFT(R5,2)="🎉")</formula>
    </cfRule>
    <cfRule type="expression" priority="4" dxfId="2">
      <formula>LEFT(R5,2)="🟡"</formula>
    </cfRule>
    <cfRule type="expression" priority="5" dxfId="1">
      <formula>LEFT(R5,2)="🔴"</formula>
    </cfRule>
  </conditionalFormatting>
  <dataValidations count="7">
    <dataValidation sqref="A5:A24" showDropDown="0" showInputMessage="0" showErrorMessage="0" allowBlank="1" type="whole">
      <formula1>1900</formula1>
      <formula2>2100</formula2>
    </dataValidation>
    <dataValidation sqref="C5:C24" showDropDown="0" showInputMessage="0" showErrorMessage="0" allowBlank="1" type="list">
      <formula1>lst_BookTypes</formula1>
      <formula2>0</formula2>
    </dataValidation>
    <dataValidation sqref="D5:D24" showDropDown="0" showInputMessage="0" showErrorMessage="0" allowBlank="1" type="list">
      <formula1>lst_Universes</formula1>
      <formula2>0</formula2>
    </dataValidation>
    <dataValidation sqref="E5:E24" showDropDown="0" showInputMessage="0" showErrorMessage="0" allowBlank="1" type="list">
      <formula1>lst_Series</formula1>
      <formula2>0</formula2>
    </dataValidation>
    <dataValidation sqref="F5:F24" showDropDown="0" showInputMessage="0" showErrorMessage="0" allowBlank="1" type="list">
      <formula1>lst_Stages</formula1>
      <formula2>0</formula2>
    </dataValidation>
    <dataValidation sqref="G5:G24" showDropDown="0" showInputMessage="0" showErrorMessage="0" allowBlank="1" type="whole" operator="greaterThanOrEqual">
      <formula1>0</formula1>
      <formula2>0</formula2>
    </dataValidation>
    <dataValidation sqref="K5:L24" showDropDown="0" showInputMessage="0" showErrorMessage="0" allowBlank="1" type="date" operator="greaterThanOrEqual">
      <formula1>DATE(1900,1,1)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57B00"/>
    <outlinePr summaryBelow="1" summaryRight="1"/>
    <pageSetUpPr fitToPage="1"/>
  </sheetPr>
  <dimension ref="A1:N37"/>
  <sheetViews>
    <sheetView topLeftCell="A37" zoomScaleNormal="100" zoomScalePageLayoutView="60" workbookViewId="0">
      <selection activeCell="L6" sqref="L6"/>
    </sheetView>
  </sheetViews>
  <sheetFormatPr baseColWidth="8" defaultColWidth="14.44140625" defaultRowHeight="14.4"/>
  <cols>
    <col width="13" customWidth="1" min="1" max="1"/>
    <col width="25" customWidth="1" min="2" max="2"/>
    <col width="19" customWidth="1" min="3" max="3"/>
    <col width="20" customWidth="1" min="4" max="4"/>
    <col width="17" customWidth="1" min="5" max="6"/>
    <col width="16" customWidth="1" min="7" max="7"/>
    <col width="19" customWidth="1" min="8" max="9"/>
    <col width="13.33203125" customWidth="1" min="10" max="10"/>
    <col width="18" customWidth="1" min="11" max="11"/>
    <col width="20" customWidth="1" min="12" max="12"/>
    <col width="18" customWidth="1" min="13" max="13"/>
    <col width="24" customWidth="1" min="14" max="14"/>
  </cols>
  <sheetData>
    <row r="1" ht="25.5" customHeight="1">
      <c r="A1" s="14" t="inlineStr">
        <is>
          <t>✍️ DAILY WRITING LOG • SESSIONS &amp; HABIT TRACKER</t>
        </is>
      </c>
      <c r="J1" s="93" t="inlineStr">
        <is>
          <t>🔥 Writing Streak</t>
        </is>
      </c>
      <c r="K1" s="94" t="inlineStr">
        <is>
          <t>🎯 Goal-Met Days</t>
        </is>
      </c>
      <c r="L1" s="93" t="inlineStr">
        <is>
          <t>🎯 Current Month Total</t>
        </is>
      </c>
      <c r="M1" s="93" t="inlineStr">
        <is>
          <t>🏁 Monthly Target</t>
        </is>
      </c>
      <c r="N1" s="94" t="inlineStr">
        <is>
          <t>📈 30D Avg Velocity</t>
        </is>
      </c>
    </row>
    <row r="2" ht="21.75" customHeight="1">
      <c r="A2" s="13" t="inlineStr">
        <is>
          <t>Log each writing session. Multiple rows per day are supported! Total Words adds to book progress; Effort Points tracks your daily productivity goal.</t>
        </is>
      </c>
      <c r="J2" s="95">
        <f>Calc!$S$8</f>
        <v>0</v>
      </c>
      <c r="K2" s="96">
        <f>COUNTIF($K$5:$K$34,"✅ Yes")</f>
        <v>2</v>
      </c>
      <c r="L2" s="96">
        <f>Calc!$S$6</f>
        <v>0</v>
      </c>
      <c r="M2" s="96">
        <f>Calc!$S$5</f>
        <v>62000</v>
      </c>
      <c r="N2" s="96">
        <f>Calc!$S$11</f>
        <v>0</v>
      </c>
    </row>
    <row r="3" ht="14.25" customHeight="1">
      <c r="A3" s="74" t="n"/>
      <c r="D3" s="60" t="n"/>
      <c r="E3" s="60" t="n"/>
      <c r="F3" s="60" t="n"/>
      <c r="G3" s="60" t="n"/>
      <c r="H3" s="60" t="n"/>
      <c r="I3" s="60" t="n"/>
      <c r="J3" s="60" t="n"/>
      <c r="L3" s="60" t="n"/>
      <c r="M3" s="60" t="n"/>
    </row>
    <row r="4" ht="30" customHeight="1">
      <c r="A4" s="97" t="inlineStr">
        <is>
          <t>Date</t>
        </is>
      </c>
      <c r="B4" s="98" t="inlineStr">
        <is>
          <t>Book Title</t>
        </is>
      </c>
      <c r="C4" s="99" t="inlineStr">
        <is>
          <t>Stage at Session</t>
        </is>
      </c>
      <c r="D4" s="100" t="inlineStr">
        <is>
          <t>Worldbuilding Words</t>
        </is>
      </c>
      <c r="E4" s="100" t="inlineStr">
        <is>
          <t>Outlining Words</t>
        </is>
      </c>
      <c r="F4" s="100" t="inlineStr">
        <is>
          <t>First Draft Words</t>
        </is>
      </c>
      <c r="G4" s="100" t="inlineStr">
        <is>
          <t>Revision Words</t>
        </is>
      </c>
      <c r="H4" s="100" t="inlineStr">
        <is>
          <t>Total Words Added</t>
        </is>
      </c>
      <c r="I4" s="100" t="inlineStr">
        <is>
          <t>Daily Effort Points</t>
        </is>
      </c>
      <c r="J4" s="100" t="inlineStr">
        <is>
          <t>Daily Target</t>
        </is>
      </c>
      <c r="K4" s="99" t="inlineStr">
        <is>
          <t>Goal Met? (once/day)</t>
        </is>
      </c>
      <c r="L4" s="100" t="inlineStr">
        <is>
          <t>Time Spent (Mins)</t>
        </is>
      </c>
      <c r="M4" s="100" t="inlineStr">
        <is>
          <t>Words / Hour</t>
        </is>
      </c>
      <c r="N4" s="101" t="inlineStr">
        <is>
          <t>Notes / Scene Breakdown</t>
        </is>
      </c>
    </row>
    <row r="5" ht="19.5" customHeight="1">
      <c r="A5" s="102" t="n">
        <v>46388</v>
      </c>
      <c r="B5" s="103" t="str">
        <v>The Silver Chronicles</v>
      </c>
      <c r="C5" s="104" t="str">
        <f>IF(B5="","",IFERROR(INDEX('My Books'!$F$5:$F$24,MATCH(B5,'My Books'!$B$5:$B$24,0)),"Concept"))</f>
        <v>Drafting</v>
      </c>
      <c r="D5" s="105">
        <v>600</v>
      </c>
      <c r="E5" s="105">
        <v>200</v>
      </c>
      <c r="F5" s="105">
        <v>1800</v>
      </c>
      <c r="G5" s="105">
        <v>0</v>
      </c>
      <c r="H5" s="106">
        <f>IF(COUNTA(D5:G5)=0,"",SUM(D5:G5))</f>
        <v>2600</v>
      </c>
      <c r="I5" s="106">
        <f>IF(H5="","",F5*Config!$B$10+E5*IF(OR(C5="Pre-Draft Outline",C5="Pre-Revision Outline",C5="Concept"),Config!$B$11,Config!$B$13)+D5*Config!$B$14+G5*IF(OR(C5="Revision",C5="Beta Review",C5="Proofing"),Config!$B$15,Config!$B$16))</f>
        <v>2200.0</v>
      </c>
      <c r="J5" s="105">
        <f>IF(AND($A5="",$B5="",SUM($D5:$G5,$L5)=0,$N5=""),"",Config!$B$5)</f>
        <v>2000</v>
      </c>
      <c r="K5" s="104" t="str">
        <f>IF($A5="","",IF(COUNTIF($A$5:A5,$A5)&gt;1,"",IF(SUMIFS($I$5:$I$34,$A$5:$A$34,$A5)&gt;=$J5,"✅ Yes","—")))</f>
        <v>—</v>
      </c>
      <c r="L5" s="105">
        <v>90</v>
      </c>
      <c r="M5" s="105">
        <f>IF(OR(H5="",L5="",L5=0),"",ROUND((H5/L5)*60,0))</f>
        <v>1733.0</v>
      </c>
      <c r="N5" s="107" t="str">
        <v>Drafted Ch 1-2 + worldbuilt High Eldorian lexicon</v>
      </c>
    </row>
    <row r="6" ht="19.5" customHeight="1">
      <c r="A6" s="108" t="inlineStr">
        <is>
          <t>2026-10-12</t>
        </is>
      </c>
      <c r="B6" s="109" t="str">
        <v>The Silver Chronicles</v>
      </c>
      <c r="C6" s="110" t="str">
        <f>IF(B6="","",IFERROR(INDEX('My Books'!$F$5:$F$24,MATCH(B6,'My Books'!$B$5:$B$24,0)),"Concept"))</f>
        <v>Drafting</v>
      </c>
      <c r="D6" s="111">
        <v>0</v>
      </c>
      <c r="E6" s="111">
        <v>0</v>
      </c>
      <c r="F6" s="111">
        <v>2000</v>
      </c>
      <c r="G6" s="111">
        <v>450</v>
      </c>
      <c r="H6" s="112">
        <f>IF(COUNTA(D6:G6)=0,"",SUM(D6:G6))</f>
        <v>2450</v>
      </c>
      <c r="I6" s="112">
        <f>IF(H6="","",F6*Config!$B$10+E6*IF(OR(C6="Pre-Draft Outline",C6="Pre-Revision Outline",C6="Concept"),Config!$B$11,Config!$B$13)+D6*Config!$B$14+G6*IF(OR(C6="Revision",C6="Beta Review",C6="Proofing"),Config!$B$15,Config!$B$16))</f>
        <v>2000.0</v>
      </c>
      <c r="J6" s="111">
        <f>IF(AND($A6="",$B6="",SUM($D6:$G6,$L6)=0,$N6=""),"",Config!$B$5)</f>
        <v>2000</v>
      </c>
      <c r="K6" s="110" t="str">
        <f>IF($A6="","",IF(COUNTIF($A$5:A6,$A6)&gt;1,"",IF(SUMIFS($I$5:$I$34,$A$5:$A$34,$A6)&gt;=$J6,"✅ Yes","—")))</f>
        <v>✅ Yes</v>
      </c>
      <c r="L6" s="111">
        <v>85</v>
      </c>
      <c r="M6" s="111">
        <f>IF(OR(H6="",L6="",L6=0),"",ROUND((H6/L6)*60,0))</f>
        <v>1729.0</v>
      </c>
      <c r="N6" s="113" t="str">
        <v>Completed Ch 3 convergence scene; premature editing of Ch 1 zero-weighted (0.0x)</v>
      </c>
    </row>
    <row r="7" ht="19.5" customHeight="1">
      <c r="A7" s="102" t="inlineStr">
        <is>
          <t>2026-10-13</t>
        </is>
      </c>
      <c r="B7" s="103" t="inlineStr">
        <is>
          <t>The Silver Chronicles</t>
        </is>
      </c>
      <c r="C7" s="104" t="inlineStr">
        <is>
          <t>Drafting</t>
        </is>
      </c>
      <c r="D7" s="105" t="n">
        <v>200</v>
      </c>
      <c r="E7" s="105" t="n">
        <v>0</v>
      </c>
      <c r="F7" s="105" t="n">
        <v>1900</v>
      </c>
      <c r="G7" s="105" t="n">
        <v>300</v>
      </c>
      <c r="H7" s="106">
        <f>IF(AND($A7="",$B7="",SUM($D7:$G7,$L7)=0,$N7=""),"",SUM($D7:$G7))</f>
        <v>2400</v>
      </c>
      <c r="I7" s="106">
        <f>IF(AND($A7="",$B7="",SUM($D7:$G7,$L7)=0,$N7=""),"",$F7*Config!$B$10+$E7*IF($C7="Pre-Draft Outline",Config!$B$11,IF($C7="Pre-Revision Outline",Config!$B$12,Config!$B$13))+$D7*Config!$B$14+IF($C7="Revision",$G7*Config!$B$15,$G7*Config!$B$16))</f>
        <v>2000</v>
      </c>
      <c r="J7" s="105">
        <f>IF(AND($A7="",$B7="",SUM($D7:$G7,$L7)=0,$N7=""),"",Config!$B$5)</f>
        <v>2000</v>
      </c>
      <c r="K7" s="104" t="str">
        <f>IF($A7="","",IF(COUNTIF($A$5:A7,$A7)&gt;1,"",IF(SUMIFS($I$5:$I$34,$A$5:$A$34,$A7)&gt;=$J7,"✅ Yes","—")))</f>
        <v>✅ Yes</v>
      </c>
      <c r="L7" s="105" t="n">
        <v>110</v>
      </c>
      <c r="M7" s="105">
        <f>IF(OR($H7="",NOT(ISNUMBER($L7)),$L7&lt;=0),"",ROUND($H7/($L7/60),0))</f>
        <v>1309</v>
      </c>
      <c r="N7" s="107" t="inlineStr">
        <is>
          <t>Drafted Chapters 1-3; premature revision blocked (0.0x)</t>
        </is>
      </c>
    </row>
    <row r="8" ht="19.5" customHeight="1">
      <c r="A8" s="108" t="n"/>
      <c r="B8" s="109" t="n"/>
      <c r="C8" s="110">
        <f>IF($B8="","",IF(COUNTIF('My Books'!$B$5:$B$24,$B8)&gt;0,INDEX('My Books'!$F$5:$F$24,MATCH($B8,'My Books'!$B$5:$B$24,0)),Config!$F$5))</f>
        <v/>
      </c>
      <c r="D8" s="111" t="n"/>
      <c r="E8" s="111" t="n"/>
      <c r="F8" s="111" t="n"/>
      <c r="G8" s="111" t="n"/>
      <c r="H8" s="112">
        <f>IF(AND($A8="",$B8="",SUM($D8:$G8,$L8)=0,$N8=""),"",SUM($D8:$G8))</f>
        <v/>
      </c>
      <c r="I8" s="112">
        <f>IF(AND($A8="",$B8="",SUM($D8:$G8,$L8)=0,$N8=""),"",$F8*Config!$B$10+$E8*IF($C8="Pre-Draft Outline",Config!$B$11,IF($C8="Pre-Revision Outline",Config!$B$12,Config!$B$13))+$D8*Config!$B$14+IF($C8="Revision",$G8*Config!$B$15,$G8*Config!$B$16))</f>
        <v/>
      </c>
      <c r="J8" s="111">
        <f>IF(AND($A8="",$B8="",SUM($D8:$G8,$L8)=0,$N8=""),"",Config!$B$5)</f>
        <v/>
      </c>
      <c r="K8" s="110">
        <f>IF($A8="","",IF(COUNTIF($A$5:A8,$A8)&gt;1,"",IF(SUMIFS($I$5:$I$34,$A$5:$A$34,$A8)&gt;=$J8,"✅ Yes","—")))</f>
        <v/>
      </c>
      <c r="L8" s="111" t="n"/>
      <c r="M8" s="111">
        <f>IF(OR($H8="",NOT(ISNUMBER($L8)),$L8&lt;=0),"",ROUND($H8/($L8/60),0))</f>
        <v/>
      </c>
      <c r="N8" s="113" t="n"/>
    </row>
    <row r="9" ht="19.5" customHeight="1">
      <c r="A9" s="102" t="n"/>
      <c r="B9" s="103" t="n"/>
      <c r="C9" s="104">
        <f>IF($B9="","",IF(COUNTIF('My Books'!$B$5:$B$24,$B9)&gt;0,INDEX('My Books'!$F$5:$F$24,MATCH($B9,'My Books'!$B$5:$B$24,0)),Config!$F$5))</f>
        <v/>
      </c>
      <c r="D9" s="105" t="n"/>
      <c r="E9" s="105" t="n"/>
      <c r="F9" s="105" t="n"/>
      <c r="G9" s="105" t="n"/>
      <c r="H9" s="106">
        <f>IF(AND($A9="",$B9="",SUM($D9:$G9,$L9)=0,$N9=""),"",SUM($D9:$G9))</f>
        <v/>
      </c>
      <c r="I9" s="106">
        <f>IF(AND($A9="",$B9="",SUM($D9:$G9,$L9)=0,$N9=""),"",$F9*Config!$B$10+$E9*IF($C9="Pre-Draft Outline",Config!$B$11,IF($C9="Pre-Revision Outline",Config!$B$12,Config!$B$13))+$D9*Config!$B$14+IF($C9="Revision",$G9*Config!$B$15,$G9*Config!$B$16))</f>
        <v/>
      </c>
      <c r="J9" s="105">
        <f>IF(AND($A9="",$B9="",SUM($D9:$G9,$L9)=0,$N9=""),"",Config!$B$5)</f>
        <v/>
      </c>
      <c r="K9" s="104">
        <f>IF($A9="","",IF(COUNTIF($A$5:A9,$A9)&gt;1,"",IF(SUMIFS($I$5:$I$34,$A$5:$A$34,$A9)&gt;=$J9,"✅ Yes","—")))</f>
        <v/>
      </c>
      <c r="L9" s="105" t="n"/>
      <c r="M9" s="105">
        <f>IF(OR($H9="",NOT(ISNUMBER($L9)),$L9&lt;=0),"",ROUND($H9/($L9/60),0))</f>
        <v/>
      </c>
      <c r="N9" s="107" t="n"/>
    </row>
    <row r="10" ht="19.5" customHeight="1">
      <c r="A10" s="108" t="n"/>
      <c r="B10" s="109" t="n"/>
      <c r="C10" s="110">
        <f>IF($B10="","",IF(COUNTIF('My Books'!$B$5:$B$24,$B10)&gt;0,INDEX('My Books'!$F$5:$F$24,MATCH($B10,'My Books'!$B$5:$B$24,0)),Config!$F$5))</f>
        <v/>
      </c>
      <c r="D10" s="111" t="n"/>
      <c r="E10" s="111" t="n"/>
      <c r="F10" s="111" t="n"/>
      <c r="G10" s="111" t="n"/>
      <c r="H10" s="112">
        <f>IF(AND($A10="",$B10="",SUM($D10:$G10,$L10)=0,$N10=""),"",SUM($D10:$G10))</f>
        <v/>
      </c>
      <c r="I10" s="112">
        <f>IF(AND($A10="",$B10="",SUM($D10:$G10,$L10)=0,$N10=""),"",$F10*Config!$B$10+$E10*IF($C10="Pre-Draft Outline",Config!$B$11,IF($C10="Pre-Revision Outline",Config!$B$12,Config!$B$13))+$D10*Config!$B$14+IF($C10="Revision",$G10*Config!$B$15,$G10*Config!$B$16))</f>
        <v/>
      </c>
      <c r="J10" s="111">
        <f>IF(AND($A10="",$B10="",SUM($D10:$G10,$L10)=0,$N10=""),"",Config!$B$5)</f>
        <v/>
      </c>
      <c r="K10" s="110">
        <f>IF($A10="","",IF(COUNTIF($A$5:A10,$A10)&gt;1,"",IF(SUMIFS($I$5:$I$34,$A$5:$A$34,$A10)&gt;=$J10,"✅ Yes","—")))</f>
        <v/>
      </c>
      <c r="L10" s="111" t="n"/>
      <c r="M10" s="111">
        <f>IF(OR($H10="",NOT(ISNUMBER($L10)),$L10&lt;=0),"",ROUND($H10/($L10/60),0))</f>
        <v/>
      </c>
      <c r="N10" s="113" t="n"/>
    </row>
    <row r="11" ht="19.5" customHeight="1">
      <c r="A11" s="102" t="n"/>
      <c r="B11" s="103" t="n"/>
      <c r="C11" s="104">
        <f>IF($B11="","",IF(COUNTIF('My Books'!$B$5:$B$24,$B11)&gt;0,INDEX('My Books'!$F$5:$F$24,MATCH($B11,'My Books'!$B$5:$B$24,0)),Config!$F$5))</f>
        <v/>
      </c>
      <c r="D11" s="105" t="n"/>
      <c r="E11" s="105" t="n"/>
      <c r="F11" s="105" t="n"/>
      <c r="G11" s="105" t="n"/>
      <c r="H11" s="106">
        <f>IF(AND($A11="",$B11="",SUM($D11:$G11,$L11)=0,$N11=""),"",SUM($D11:$G11))</f>
        <v/>
      </c>
      <c r="I11" s="106">
        <f>IF(AND($A11="",$B11="",SUM($D11:$G11,$L11)=0,$N11=""),"",$F11*Config!$B$10+$E11*IF($C11="Pre-Draft Outline",Config!$B$11,IF($C11="Pre-Revision Outline",Config!$B$12,Config!$B$13))+$D11*Config!$B$14+IF($C11="Revision",$G11*Config!$B$15,$G11*Config!$B$16))</f>
        <v/>
      </c>
      <c r="J11" s="105">
        <f>IF(AND($A11="",$B11="",SUM($D11:$G11,$L11)=0,$N11=""),"",Config!$B$5)</f>
        <v/>
      </c>
      <c r="K11" s="104">
        <f>IF($A11="","",IF(COUNTIF($A$5:A11,$A11)&gt;1,"",IF(SUMIFS($I$5:$I$34,$A$5:$A$34,$A11)&gt;=$J11,"✅ Yes","—")))</f>
        <v/>
      </c>
      <c r="L11" s="105" t="n"/>
      <c r="M11" s="105">
        <f>IF(OR($H11="",NOT(ISNUMBER($L11)),$L11&lt;=0),"",ROUND($H11/($L11/60),0))</f>
        <v/>
      </c>
      <c r="N11" s="107" t="n"/>
    </row>
    <row r="12" ht="19.5" customHeight="1">
      <c r="A12" s="108" t="n"/>
      <c r="B12" s="109" t="n"/>
      <c r="C12" s="110">
        <f>IF($B12="","",IF(COUNTIF('My Books'!$B$5:$B$24,$B12)&gt;0,INDEX('My Books'!$F$5:$F$24,MATCH($B12,'My Books'!$B$5:$B$24,0)),Config!$F$5))</f>
        <v/>
      </c>
      <c r="D12" s="111" t="n"/>
      <c r="E12" s="111" t="n"/>
      <c r="F12" s="111" t="n"/>
      <c r="G12" s="111" t="n"/>
      <c r="H12" s="112">
        <f>IF(AND($A12="",$B12="",SUM($D12:$G12,$L12)=0,$N12=""),"",SUM($D12:$G12))</f>
        <v/>
      </c>
      <c r="I12" s="112">
        <f>IF(AND($A12="",$B12="",SUM($D12:$G12,$L12)=0,$N12=""),"",$F12*Config!$B$10+$E12*IF($C12="Pre-Draft Outline",Config!$B$11,IF($C12="Pre-Revision Outline",Config!$B$12,Config!$B$13))+$D12*Config!$B$14+IF($C12="Revision",$G12*Config!$B$15,$G12*Config!$B$16))</f>
        <v/>
      </c>
      <c r="J12" s="111">
        <f>IF(AND($A12="",$B12="",SUM($D12:$G12,$L12)=0,$N12=""),"",Config!$B$5)</f>
        <v/>
      </c>
      <c r="K12" s="110">
        <f>IF($A12="","",IF(COUNTIF($A$5:A12,$A12)&gt;1,"",IF(SUMIFS($I$5:$I$34,$A$5:$A$34,$A12)&gt;=$J12,"✅ Yes","—")))</f>
        <v/>
      </c>
      <c r="L12" s="111" t="n"/>
      <c r="M12" s="111">
        <f>IF(OR($H12="",NOT(ISNUMBER($L12)),$L12&lt;=0),"",ROUND($H12/($L12/60),0))</f>
        <v/>
      </c>
      <c r="N12" s="113" t="n"/>
    </row>
    <row r="13" ht="19.5" customHeight="1">
      <c r="A13" s="102" t="n"/>
      <c r="B13" s="103" t="n"/>
      <c r="C13" s="104">
        <f>IF($B13="","",IF(COUNTIF('My Books'!$B$5:$B$24,$B13)&gt;0,INDEX('My Books'!$F$5:$F$24,MATCH($B13,'My Books'!$B$5:$B$24,0)),Config!$F$5))</f>
        <v/>
      </c>
      <c r="D13" s="105" t="n"/>
      <c r="E13" s="105" t="n"/>
      <c r="F13" s="105" t="n"/>
      <c r="G13" s="105" t="n"/>
      <c r="H13" s="106">
        <f>IF(AND($A13="",$B13="",SUM($D13:$G13,$L13)=0,$N13=""),"",SUM($D13:$G13))</f>
        <v/>
      </c>
      <c r="I13" s="106">
        <f>IF(AND($A13="",$B13="",SUM($D13:$G13,$L13)=0,$N13=""),"",$F13*Config!$B$10+$E13*IF($C13="Pre-Draft Outline",Config!$B$11,IF($C13="Pre-Revision Outline",Config!$B$12,Config!$B$13))+$D13*Config!$B$14+IF($C13="Revision",$G13*Config!$B$15,$G13*Config!$B$16))</f>
        <v/>
      </c>
      <c r="J13" s="105">
        <f>IF(AND($A13="",$B13="",SUM($D13:$G13,$L13)=0,$N13=""),"",Config!$B$5)</f>
        <v/>
      </c>
      <c r="K13" s="104">
        <f>IF($A13="","",IF(COUNTIF($A$5:A13,$A13)&gt;1,"",IF(SUMIFS($I$5:$I$34,$A$5:$A$34,$A13)&gt;=$J13,"✅ Yes","—")))</f>
        <v/>
      </c>
      <c r="L13" s="105" t="n"/>
      <c r="M13" s="105">
        <f>IF(OR($H13="",NOT(ISNUMBER($L13)),$L13&lt;=0),"",ROUND($H13/($L13/60),0))</f>
        <v/>
      </c>
      <c r="N13" s="107" t="n"/>
    </row>
    <row r="14" ht="19.5" customHeight="1">
      <c r="A14" s="108" t="n"/>
      <c r="B14" s="109" t="n"/>
      <c r="C14" s="110">
        <f>IF($B14="","",IF(COUNTIF('My Books'!$B$5:$B$24,$B14)&gt;0,INDEX('My Books'!$F$5:$F$24,MATCH($B14,'My Books'!$B$5:$B$24,0)),Config!$F$5))</f>
        <v/>
      </c>
      <c r="D14" s="111" t="n"/>
      <c r="E14" s="111" t="n"/>
      <c r="F14" s="111" t="n"/>
      <c r="G14" s="111" t="n"/>
      <c r="H14" s="112">
        <f>IF(AND($A14="",$B14="",SUM($D14:$G14,$L14)=0,$N14=""),"",SUM($D14:$G14))</f>
        <v/>
      </c>
      <c r="I14" s="112">
        <f>IF(AND($A14="",$B14="",SUM($D14:$G14,$L14)=0,$N14=""),"",$F14*Config!$B$10+$E14*IF($C14="Pre-Draft Outline",Config!$B$11,IF($C14="Pre-Revision Outline",Config!$B$12,Config!$B$13))+$D14*Config!$B$14+IF($C14="Revision",$G14*Config!$B$15,$G14*Config!$B$16))</f>
        <v/>
      </c>
      <c r="J14" s="111">
        <f>IF(AND($A14="",$B14="",SUM($D14:$G14,$L14)=0,$N14=""),"",Config!$B$5)</f>
        <v/>
      </c>
      <c r="K14" s="110">
        <f>IF($A14="","",IF(COUNTIF($A$5:A14,$A14)&gt;1,"",IF(SUMIFS($I$5:$I$34,$A$5:$A$34,$A14)&gt;=$J14,"✅ Yes","—")))</f>
        <v/>
      </c>
      <c r="L14" s="111" t="n"/>
      <c r="M14" s="111">
        <f>IF(OR($H14="",NOT(ISNUMBER($L14)),$L14&lt;=0),"",ROUND($H14/($L14/60),0))</f>
        <v/>
      </c>
      <c r="N14" s="113" t="n"/>
    </row>
    <row r="15" ht="19.5" customHeight="1">
      <c r="A15" s="102" t="n"/>
      <c r="B15" s="103" t="n"/>
      <c r="C15" s="104">
        <f>IF($B15="","",IF(COUNTIF('My Books'!$B$5:$B$24,$B15)&gt;0,INDEX('My Books'!$F$5:$F$24,MATCH($B15,'My Books'!$B$5:$B$24,0)),Config!$F$5))</f>
        <v/>
      </c>
      <c r="D15" s="105" t="n"/>
      <c r="E15" s="105" t="n"/>
      <c r="F15" s="105" t="n"/>
      <c r="G15" s="105" t="n"/>
      <c r="H15" s="106">
        <f>IF(AND($A15="",$B15="",SUM($D15:$G15,$L15)=0,$N15=""),"",SUM($D15:$G15))</f>
        <v/>
      </c>
      <c r="I15" s="106">
        <f>IF(AND($A15="",$B15="",SUM($D15:$G15,$L15)=0,$N15=""),"",$F15*Config!$B$10+$E15*IF($C15="Pre-Draft Outline",Config!$B$11,IF($C15="Pre-Revision Outline",Config!$B$12,Config!$B$13))+$D15*Config!$B$14+IF($C15="Revision",$G15*Config!$B$15,$G15*Config!$B$16))</f>
        <v/>
      </c>
      <c r="J15" s="105">
        <f>IF(AND($A15="",$B15="",SUM($D15:$G15,$L15)=0,$N15=""),"",Config!$B$5)</f>
        <v/>
      </c>
      <c r="K15" s="104">
        <f>IF($A15="","",IF(COUNTIF($A$5:A15,$A15)&gt;1,"",IF(SUMIFS($I$5:$I$34,$A$5:$A$34,$A15)&gt;=$J15,"✅ Yes","—")))</f>
        <v/>
      </c>
      <c r="L15" s="105" t="n"/>
      <c r="M15" s="105">
        <f>IF(OR($H15="",NOT(ISNUMBER($L15)),$L15&lt;=0),"",ROUND($H15/($L15/60),0))</f>
        <v/>
      </c>
      <c r="N15" s="107" t="n"/>
    </row>
    <row r="16" ht="19.5" customHeight="1">
      <c r="A16" s="108" t="n"/>
      <c r="B16" s="109" t="n"/>
      <c r="C16" s="110">
        <f>IF($B16="","",IF(COUNTIF('My Books'!$B$5:$B$24,$B16)&gt;0,INDEX('My Books'!$F$5:$F$24,MATCH($B16,'My Books'!$B$5:$B$24,0)),Config!$F$5))</f>
        <v/>
      </c>
      <c r="D16" s="111" t="n"/>
      <c r="E16" s="111" t="n"/>
      <c r="F16" s="111" t="n"/>
      <c r="G16" s="111" t="n"/>
      <c r="H16" s="112">
        <f>IF(AND($A16="",$B16="",SUM($D16:$G16,$L16)=0,$N16=""),"",SUM($D16:$G16))</f>
        <v/>
      </c>
      <c r="I16" s="112">
        <f>IF(AND($A16="",$B16="",SUM($D16:$G16,$L16)=0,$N16=""),"",$F16*Config!$B$10+$E16*IF($C16="Pre-Draft Outline",Config!$B$11,IF($C16="Pre-Revision Outline",Config!$B$12,Config!$B$13))+$D16*Config!$B$14+IF($C16="Revision",$G16*Config!$B$15,$G16*Config!$B$16))</f>
        <v/>
      </c>
      <c r="J16" s="111">
        <f>IF(AND($A16="",$B16="",SUM($D16:$G16,$L16)=0,$N16=""),"",Config!$B$5)</f>
        <v/>
      </c>
      <c r="K16" s="110">
        <f>IF($A16="","",IF(COUNTIF($A$5:A16,$A16)&gt;1,"",IF(SUMIFS($I$5:$I$34,$A$5:$A$34,$A16)&gt;=$J16,"✅ Yes","—")))</f>
        <v/>
      </c>
      <c r="L16" s="111" t="n"/>
      <c r="M16" s="111">
        <f>IF(OR($H16="",NOT(ISNUMBER($L16)),$L16&lt;=0),"",ROUND($H16/($L16/60),0))</f>
        <v/>
      </c>
      <c r="N16" s="113" t="n"/>
    </row>
    <row r="17" ht="19.5" customHeight="1">
      <c r="A17" s="102" t="n"/>
      <c r="B17" s="103" t="n"/>
      <c r="C17" s="104">
        <f>IF($B17="","",IF(COUNTIF('My Books'!$B$5:$B$24,$B17)&gt;0,INDEX('My Books'!$F$5:$F$24,MATCH($B17,'My Books'!$B$5:$B$24,0)),Config!$F$5))</f>
        <v/>
      </c>
      <c r="D17" s="105" t="n"/>
      <c r="E17" s="105" t="n"/>
      <c r="F17" s="105" t="n"/>
      <c r="G17" s="105" t="n"/>
      <c r="H17" s="106">
        <f>IF(AND($A17="",$B17="",SUM($D17:$G17,$L17)=0,$N17=""),"",SUM($D17:$G17))</f>
        <v/>
      </c>
      <c r="I17" s="106">
        <f>IF(AND($A17="",$B17="",SUM($D17:$G17,$L17)=0,$N17=""),"",$F17*Config!$B$10+$E17*IF($C17="Pre-Draft Outline",Config!$B$11,IF($C17="Pre-Revision Outline",Config!$B$12,Config!$B$13))+$D17*Config!$B$14+IF($C17="Revision",$G17*Config!$B$15,$G17*Config!$B$16))</f>
        <v/>
      </c>
      <c r="J17" s="105">
        <f>IF(AND($A17="",$B17="",SUM($D17:$G17,$L17)=0,$N17=""),"",Config!$B$5)</f>
        <v/>
      </c>
      <c r="K17" s="104">
        <f>IF($A17="","",IF(COUNTIF($A$5:A17,$A17)&gt;1,"",IF(SUMIFS($I$5:$I$34,$A$5:$A$34,$A17)&gt;=$J17,"✅ Yes","—")))</f>
        <v/>
      </c>
      <c r="L17" s="105" t="n"/>
      <c r="M17" s="105">
        <f>IF(OR($H17="",NOT(ISNUMBER($L17)),$L17&lt;=0),"",ROUND($H17/($L17/60),0))</f>
        <v/>
      </c>
      <c r="N17" s="107" t="n"/>
    </row>
    <row r="18" ht="19.5" customHeight="1">
      <c r="A18" s="108" t="n"/>
      <c r="B18" s="109" t="n"/>
      <c r="C18" s="110">
        <f>IF($B18="","",IF(COUNTIF('My Books'!$B$5:$B$24,$B18)&gt;0,INDEX('My Books'!$F$5:$F$24,MATCH($B18,'My Books'!$B$5:$B$24,0)),Config!$F$5))</f>
        <v/>
      </c>
      <c r="D18" s="111" t="n"/>
      <c r="E18" s="111" t="n"/>
      <c r="F18" s="111" t="n"/>
      <c r="G18" s="111" t="n"/>
      <c r="H18" s="112">
        <f>IF(AND($A18="",$B18="",SUM($D18:$G18,$L18)=0,$N18=""),"",SUM($D18:$G18))</f>
        <v/>
      </c>
      <c r="I18" s="112">
        <f>IF(AND($A18="",$B18="",SUM($D18:$G18,$L18)=0,$N18=""),"",$F18*Config!$B$10+$E18*IF($C18="Pre-Draft Outline",Config!$B$11,IF($C18="Pre-Revision Outline",Config!$B$12,Config!$B$13))+$D18*Config!$B$14+IF($C18="Revision",$G18*Config!$B$15,$G18*Config!$B$16))</f>
        <v/>
      </c>
      <c r="J18" s="111">
        <f>IF(AND($A18="",$B18="",SUM($D18:$G18,$L18)=0,$N18=""),"",Config!$B$5)</f>
        <v/>
      </c>
      <c r="K18" s="110">
        <f>IF($A18="","",IF(COUNTIF($A$5:A18,$A18)&gt;1,"",IF(SUMIFS($I$5:$I$34,$A$5:$A$34,$A18)&gt;=$J18,"✅ Yes","—")))</f>
        <v/>
      </c>
      <c r="L18" s="111" t="n"/>
      <c r="M18" s="111">
        <f>IF(OR($H18="",NOT(ISNUMBER($L18)),$L18&lt;=0),"",ROUND($H18/($L18/60),0))</f>
        <v/>
      </c>
      <c r="N18" s="113" t="n"/>
    </row>
    <row r="19" ht="19.5" customHeight="1">
      <c r="A19" s="102" t="n"/>
      <c r="B19" s="103" t="n"/>
      <c r="C19" s="104">
        <f>IF($B19="","",IF(COUNTIF('My Books'!$B$5:$B$24,$B19)&gt;0,INDEX('My Books'!$F$5:$F$24,MATCH($B19,'My Books'!$B$5:$B$24,0)),Config!$F$5))</f>
        <v/>
      </c>
      <c r="D19" s="105" t="n"/>
      <c r="E19" s="105" t="n"/>
      <c r="F19" s="105" t="n"/>
      <c r="G19" s="105" t="n"/>
      <c r="H19" s="106">
        <f>IF(AND($A19="",$B19="",SUM($D19:$G19,$L19)=0,$N19=""),"",SUM($D19:$G19))</f>
        <v/>
      </c>
      <c r="I19" s="106">
        <f>IF(AND($A19="",$B19="",SUM($D19:$G19,$L19)=0,$N19=""),"",$F19*Config!$B$10+$E19*IF($C19="Pre-Draft Outline",Config!$B$11,IF($C19="Pre-Revision Outline",Config!$B$12,Config!$B$13))+$D19*Config!$B$14+IF($C19="Revision",$G19*Config!$B$15,$G19*Config!$B$16))</f>
        <v/>
      </c>
      <c r="J19" s="105">
        <f>IF(AND($A19="",$B19="",SUM($D19:$G19,$L19)=0,$N19=""),"",Config!$B$5)</f>
        <v/>
      </c>
      <c r="K19" s="104">
        <f>IF($A19="","",IF(COUNTIF($A$5:A19,$A19)&gt;1,"",IF(SUMIFS($I$5:$I$34,$A$5:$A$34,$A19)&gt;=$J19,"✅ Yes","—")))</f>
        <v/>
      </c>
      <c r="L19" s="105" t="n"/>
      <c r="M19" s="105">
        <f>IF(OR($H19="",NOT(ISNUMBER($L19)),$L19&lt;=0),"",ROUND($H19/($L19/60),0))</f>
        <v/>
      </c>
      <c r="N19" s="107" t="n"/>
    </row>
    <row r="20" ht="19.5" customHeight="1">
      <c r="A20" s="108" t="n"/>
      <c r="B20" s="109" t="n"/>
      <c r="C20" s="110">
        <f>IF($B20="","",IF(COUNTIF('My Books'!$B$5:$B$24,$B20)&gt;0,INDEX('My Books'!$F$5:$F$24,MATCH($B20,'My Books'!$B$5:$B$24,0)),Config!$F$5))</f>
        <v/>
      </c>
      <c r="D20" s="111" t="n"/>
      <c r="E20" s="111" t="n"/>
      <c r="F20" s="111" t="n"/>
      <c r="G20" s="111" t="n"/>
      <c r="H20" s="112">
        <f>IF(AND($A20="",$B20="",SUM($D20:$G20,$L20)=0,$N20=""),"",SUM($D20:$G20))</f>
        <v/>
      </c>
      <c r="I20" s="112">
        <f>IF(AND($A20="",$B20="",SUM($D20:$G20,$L20)=0,$N20=""),"",$F20*Config!$B$10+$E20*IF($C20="Pre-Draft Outline",Config!$B$11,IF($C20="Pre-Revision Outline",Config!$B$12,Config!$B$13))+$D20*Config!$B$14+IF($C20="Revision",$G20*Config!$B$15,$G20*Config!$B$16))</f>
        <v/>
      </c>
      <c r="J20" s="111">
        <f>IF(AND($A20="",$B20="",SUM($D20:$G20,$L20)=0,$N20=""),"",Config!$B$5)</f>
        <v/>
      </c>
      <c r="K20" s="110">
        <f>IF($A20="","",IF(COUNTIF($A$5:A20,$A20)&gt;1,"",IF(SUMIFS($I$5:$I$34,$A$5:$A$34,$A20)&gt;=$J20,"✅ Yes","—")))</f>
        <v/>
      </c>
      <c r="L20" s="111" t="n"/>
      <c r="M20" s="111">
        <f>IF(OR($H20="",NOT(ISNUMBER($L20)),$L20&lt;=0),"",ROUND($H20/($L20/60),0))</f>
        <v/>
      </c>
      <c r="N20" s="113" t="n"/>
    </row>
    <row r="21" ht="19.5" customHeight="1">
      <c r="A21" s="102" t="n"/>
      <c r="B21" s="103" t="n"/>
      <c r="C21" s="104">
        <f>IF($B21="","",IF(COUNTIF('My Books'!$B$5:$B$24,$B21)&gt;0,INDEX('My Books'!$F$5:$F$24,MATCH($B21,'My Books'!$B$5:$B$24,0)),Config!$F$5))</f>
        <v/>
      </c>
      <c r="D21" s="105" t="n"/>
      <c r="E21" s="105" t="n"/>
      <c r="F21" s="105" t="n"/>
      <c r="G21" s="105" t="n"/>
      <c r="H21" s="106">
        <f>IF(AND($A21="",$B21="",SUM($D21:$G21,$L21)=0,$N21=""),"",SUM($D21:$G21))</f>
        <v/>
      </c>
      <c r="I21" s="106">
        <f>IF(AND($A21="",$B21="",SUM($D21:$G21,$L21)=0,$N21=""),"",$F21*Config!$B$10+$E21*IF($C21="Pre-Draft Outline",Config!$B$11,IF($C21="Pre-Revision Outline",Config!$B$12,Config!$B$13))+$D21*Config!$B$14+IF($C21="Revision",$G21*Config!$B$15,$G21*Config!$B$16))</f>
        <v/>
      </c>
      <c r="J21" s="105">
        <f>IF(AND($A21="",$B21="",SUM($D21:$G21,$L21)=0,$N21=""),"",Config!$B$5)</f>
        <v/>
      </c>
      <c r="K21" s="104">
        <f>IF($A21="","",IF(COUNTIF($A$5:A21,$A21)&gt;1,"",IF(SUMIFS($I$5:$I$34,$A$5:$A$34,$A21)&gt;=$J21,"✅ Yes","—")))</f>
        <v/>
      </c>
      <c r="L21" s="105" t="n"/>
      <c r="M21" s="105">
        <f>IF(OR($H21="",NOT(ISNUMBER($L21)),$L21&lt;=0),"",ROUND($H21/($L21/60),0))</f>
        <v/>
      </c>
      <c r="N21" s="107" t="n"/>
    </row>
    <row r="22" ht="19.5" customHeight="1">
      <c r="A22" s="108" t="n"/>
      <c r="B22" s="109" t="n"/>
      <c r="C22" s="110">
        <f>IF($B22="","",IF(COUNTIF('My Books'!$B$5:$B$24,$B22)&gt;0,INDEX('My Books'!$F$5:$F$24,MATCH($B22,'My Books'!$B$5:$B$24,0)),Config!$F$5))</f>
        <v/>
      </c>
      <c r="D22" s="111" t="n"/>
      <c r="E22" s="111" t="n"/>
      <c r="F22" s="111" t="n"/>
      <c r="G22" s="111" t="n"/>
      <c r="H22" s="112">
        <f>IF(AND($A22="",$B22="",SUM($D22:$G22,$L22)=0,$N22=""),"",SUM($D22:$G22))</f>
        <v/>
      </c>
      <c r="I22" s="112">
        <f>IF(AND($A22="",$B22="",SUM($D22:$G22,$L22)=0,$N22=""),"",$F22*Config!$B$10+$E22*IF($C22="Pre-Draft Outline",Config!$B$11,IF($C22="Pre-Revision Outline",Config!$B$12,Config!$B$13))+$D22*Config!$B$14+IF($C22="Revision",$G22*Config!$B$15,$G22*Config!$B$16))</f>
        <v/>
      </c>
      <c r="J22" s="111">
        <f>IF(AND($A22="",$B22="",SUM($D22:$G22,$L22)=0,$N22=""),"",Config!$B$5)</f>
        <v/>
      </c>
      <c r="K22" s="110">
        <f>IF($A22="","",IF(COUNTIF($A$5:A22,$A22)&gt;1,"",IF(SUMIFS($I$5:$I$34,$A$5:$A$34,$A22)&gt;=$J22,"✅ Yes","—")))</f>
        <v/>
      </c>
      <c r="L22" s="111" t="n"/>
      <c r="M22" s="111">
        <f>IF(OR($H22="",NOT(ISNUMBER($L22)),$L22&lt;=0),"",ROUND($H22/($L22/60),0))</f>
        <v/>
      </c>
      <c r="N22" s="113" t="n"/>
    </row>
    <row r="23" ht="19.5" customHeight="1">
      <c r="A23" s="102" t="n"/>
      <c r="B23" s="103" t="n"/>
      <c r="C23" s="104">
        <f>IF($B23="","",IF(COUNTIF('My Books'!$B$5:$B$24,$B23)&gt;0,INDEX('My Books'!$F$5:$F$24,MATCH($B23,'My Books'!$B$5:$B$24,0)),Config!$F$5))</f>
        <v/>
      </c>
      <c r="D23" s="105" t="n"/>
      <c r="E23" s="105" t="n"/>
      <c r="F23" s="105" t="n"/>
      <c r="G23" s="105" t="n"/>
      <c r="H23" s="106">
        <f>IF(AND($A23="",$B23="",SUM($D23:$G23,$L23)=0,$N23=""),"",SUM($D23:$G23))</f>
        <v/>
      </c>
      <c r="I23" s="106">
        <f>IF(AND($A23="",$B23="",SUM($D23:$G23,$L23)=0,$N23=""),"",$F23*Config!$B$10+$E23*IF($C23="Pre-Draft Outline",Config!$B$11,IF($C23="Pre-Revision Outline",Config!$B$12,Config!$B$13))+$D23*Config!$B$14+IF($C23="Revision",$G23*Config!$B$15,$G23*Config!$B$16))</f>
        <v/>
      </c>
      <c r="J23" s="105">
        <f>IF(AND($A23="",$B23="",SUM($D23:$G23,$L23)=0,$N23=""),"",Config!$B$5)</f>
        <v/>
      </c>
      <c r="K23" s="104">
        <f>IF($A23="","",IF(COUNTIF($A$5:A23,$A23)&gt;1,"",IF(SUMIFS($I$5:$I$34,$A$5:$A$34,$A23)&gt;=$J23,"✅ Yes","—")))</f>
        <v/>
      </c>
      <c r="L23" s="105" t="n"/>
      <c r="M23" s="105">
        <f>IF(OR($H23="",NOT(ISNUMBER($L23)),$L23&lt;=0),"",ROUND($H23/($L23/60),0))</f>
        <v/>
      </c>
      <c r="N23" s="107" t="n"/>
    </row>
    <row r="24" ht="19.5" customHeight="1">
      <c r="A24" s="108" t="n"/>
      <c r="B24" s="109" t="n"/>
      <c r="C24" s="110">
        <f>IF($B24="","",IF(COUNTIF('My Books'!$B$5:$B$24,$B24)&gt;0,INDEX('My Books'!$F$5:$F$24,MATCH($B24,'My Books'!$B$5:$B$24,0)),Config!$F$5))</f>
        <v/>
      </c>
      <c r="D24" s="111" t="n"/>
      <c r="E24" s="111" t="n"/>
      <c r="F24" s="111" t="n"/>
      <c r="G24" s="111" t="n"/>
      <c r="H24" s="112">
        <f>IF(AND($A24="",$B24="",SUM($D24:$G24,$L24)=0,$N24=""),"",SUM($D24:$G24))</f>
        <v/>
      </c>
      <c r="I24" s="112">
        <f>IF(AND($A24="",$B24="",SUM($D24:$G24,$L24)=0,$N24=""),"",$F24*Config!$B$10+$E24*IF($C24="Pre-Draft Outline",Config!$B$11,IF($C24="Pre-Revision Outline",Config!$B$12,Config!$B$13))+$D24*Config!$B$14+IF($C24="Revision",$G24*Config!$B$15,$G24*Config!$B$16))</f>
        <v/>
      </c>
      <c r="J24" s="111">
        <f>IF(AND($A24="",$B24="",SUM($D24:$G24,$L24)=0,$N24=""),"",Config!$B$5)</f>
        <v/>
      </c>
      <c r="K24" s="110">
        <f>IF($A24="","",IF(COUNTIF($A$5:A24,$A24)&gt;1,"",IF(SUMIFS($I$5:$I$34,$A$5:$A$34,$A24)&gt;=$J24,"✅ Yes","—")))</f>
        <v/>
      </c>
      <c r="L24" s="111" t="n"/>
      <c r="M24" s="111">
        <f>IF(OR($H24="",NOT(ISNUMBER($L24)),$L24&lt;=0),"",ROUND($H24/($L24/60),0))</f>
        <v/>
      </c>
      <c r="N24" s="113" t="n"/>
    </row>
    <row r="25" ht="19.5" customHeight="1">
      <c r="A25" s="102" t="n"/>
      <c r="B25" s="103" t="n"/>
      <c r="C25" s="104">
        <f>IF($B25="","",IF(COUNTIF('My Books'!$B$5:$B$24,$B25)&gt;0,INDEX('My Books'!$F$5:$F$24,MATCH($B25,'My Books'!$B$5:$B$24,0)),Config!$F$5))</f>
        <v/>
      </c>
      <c r="D25" s="105" t="n"/>
      <c r="E25" s="105" t="n"/>
      <c r="F25" s="105" t="n"/>
      <c r="G25" s="105" t="n"/>
      <c r="H25" s="106">
        <f>IF(AND($A25="",$B25="",SUM($D25:$G25,$L25)=0,$N25=""),"",SUM($D25:$G25))</f>
        <v/>
      </c>
      <c r="I25" s="106">
        <f>IF(AND($A25="",$B25="",SUM($D25:$G25,$L25)=0,$N25=""),"",$F25*Config!$B$10+$E25*IF($C25="Pre-Draft Outline",Config!$B$11,IF($C25="Pre-Revision Outline",Config!$B$12,Config!$B$13))+$D25*Config!$B$14+IF($C25="Revision",$G25*Config!$B$15,$G25*Config!$B$16))</f>
        <v/>
      </c>
      <c r="J25" s="105">
        <f>IF(AND($A25="",$B25="",SUM($D25:$G25,$L25)=0,$N25=""),"",Config!$B$5)</f>
        <v/>
      </c>
      <c r="K25" s="104">
        <f>IF($A25="","",IF(COUNTIF($A$5:A25,$A25)&gt;1,"",IF(SUMIFS($I$5:$I$34,$A$5:$A$34,$A25)&gt;=$J25,"✅ Yes","—")))</f>
        <v/>
      </c>
      <c r="L25" s="105" t="n"/>
      <c r="M25" s="105">
        <f>IF(OR($H25="",NOT(ISNUMBER($L25)),$L25&lt;=0),"",ROUND($H25/($L25/60),0))</f>
        <v/>
      </c>
      <c r="N25" s="107" t="n"/>
    </row>
    <row r="26" ht="19.5" customHeight="1">
      <c r="A26" s="108" t="n"/>
      <c r="B26" s="109" t="n"/>
      <c r="C26" s="110">
        <f>IF($B26="","",IF(COUNTIF('My Books'!$B$5:$B$24,$B26)&gt;0,INDEX('My Books'!$F$5:$F$24,MATCH($B26,'My Books'!$B$5:$B$24,0)),Config!$F$5))</f>
        <v/>
      </c>
      <c r="D26" s="111" t="n"/>
      <c r="E26" s="111" t="n"/>
      <c r="F26" s="111" t="n"/>
      <c r="G26" s="111" t="n"/>
      <c r="H26" s="112">
        <f>IF(AND($A26="",$B26="",SUM($D26:$G26,$L26)=0,$N26=""),"",SUM($D26:$G26))</f>
        <v/>
      </c>
      <c r="I26" s="112">
        <f>IF(AND($A26="",$B26="",SUM($D26:$G26,$L26)=0,$N26=""),"",$F26*Config!$B$10+$E26*IF($C26="Pre-Draft Outline",Config!$B$11,IF($C26="Pre-Revision Outline",Config!$B$12,Config!$B$13))+$D26*Config!$B$14+IF($C26="Revision",$G26*Config!$B$15,$G26*Config!$B$16))</f>
        <v/>
      </c>
      <c r="J26" s="111">
        <f>IF(AND($A26="",$B26="",SUM($D26:$G26,$L26)=0,$N26=""),"",Config!$B$5)</f>
        <v/>
      </c>
      <c r="K26" s="110">
        <f>IF($A26="","",IF(COUNTIF($A$5:A26,$A26)&gt;1,"",IF(SUMIFS($I$5:$I$34,$A$5:$A$34,$A26)&gt;=$J26,"✅ Yes","—")))</f>
        <v/>
      </c>
      <c r="L26" s="111" t="n"/>
      <c r="M26" s="111">
        <f>IF(OR($H26="",NOT(ISNUMBER($L26)),$L26&lt;=0),"",ROUND($H26/($L26/60),0))</f>
        <v/>
      </c>
      <c r="N26" s="113" t="n"/>
    </row>
    <row r="27" ht="19.5" customHeight="1">
      <c r="A27" s="102" t="n"/>
      <c r="B27" s="103" t="n"/>
      <c r="C27" s="104">
        <f>IF($B27="","",IF(COUNTIF('My Books'!$B$5:$B$24,$B27)&gt;0,INDEX('My Books'!$F$5:$F$24,MATCH($B27,'My Books'!$B$5:$B$24,0)),Config!$F$5))</f>
        <v/>
      </c>
      <c r="D27" s="105" t="n"/>
      <c r="E27" s="105" t="n"/>
      <c r="F27" s="105" t="n"/>
      <c r="G27" s="105" t="n"/>
      <c r="H27" s="106">
        <f>IF(AND($A27="",$B27="",SUM($D27:$G27,$L27)=0,$N27=""),"",SUM($D27:$G27))</f>
        <v/>
      </c>
      <c r="I27" s="106">
        <f>IF(AND($A27="",$B27="",SUM($D27:$G27,$L27)=0,$N27=""),"",$F27*Config!$B$10+$E27*IF($C27="Pre-Draft Outline",Config!$B$11,IF($C27="Pre-Revision Outline",Config!$B$12,Config!$B$13))+$D27*Config!$B$14+IF($C27="Revision",$G27*Config!$B$15,$G27*Config!$B$16))</f>
        <v/>
      </c>
      <c r="J27" s="105">
        <f>IF(AND($A27="",$B27="",SUM($D27:$G27,$L27)=0,$N27=""),"",Config!$B$5)</f>
        <v/>
      </c>
      <c r="K27" s="104">
        <f>IF($A27="","",IF(COUNTIF($A$5:A27,$A27)&gt;1,"",IF(SUMIFS($I$5:$I$34,$A$5:$A$34,$A27)&gt;=$J27,"✅ Yes","—")))</f>
        <v/>
      </c>
      <c r="L27" s="105" t="n"/>
      <c r="M27" s="105">
        <f>IF(OR($H27="",NOT(ISNUMBER($L27)),$L27&lt;=0),"",ROUND($H27/($L27/60),0))</f>
        <v/>
      </c>
      <c r="N27" s="107" t="n"/>
    </row>
    <row r="28" ht="19.5" customHeight="1">
      <c r="A28" s="108" t="n"/>
      <c r="B28" s="109" t="n"/>
      <c r="C28" s="110">
        <f>IF($B28="","",IF(COUNTIF('My Books'!$B$5:$B$24,$B28)&gt;0,INDEX('My Books'!$F$5:$F$24,MATCH($B28,'My Books'!$B$5:$B$24,0)),Config!$F$5))</f>
        <v/>
      </c>
      <c r="D28" s="111" t="n"/>
      <c r="E28" s="111" t="n"/>
      <c r="F28" s="111" t="n"/>
      <c r="G28" s="111" t="n"/>
      <c r="H28" s="112">
        <f>IF(AND($A28="",$B28="",SUM($D28:$G28,$L28)=0,$N28=""),"",SUM($D28:$G28))</f>
        <v/>
      </c>
      <c r="I28" s="112">
        <f>IF(AND($A28="",$B28="",SUM($D28:$G28,$L28)=0,$N28=""),"",$F28*Config!$B$10+$E28*IF($C28="Pre-Draft Outline",Config!$B$11,IF($C28="Pre-Revision Outline",Config!$B$12,Config!$B$13))+$D28*Config!$B$14+IF($C28="Revision",$G28*Config!$B$15,$G28*Config!$B$16))</f>
        <v/>
      </c>
      <c r="J28" s="111">
        <f>IF(AND($A28="",$B28="",SUM($D28:$G28,$L28)=0,$N28=""),"",Config!$B$5)</f>
        <v/>
      </c>
      <c r="K28" s="110">
        <f>IF($A28="","",IF(COUNTIF($A$5:A28,$A28)&gt;1,"",IF(SUMIFS($I$5:$I$34,$A$5:$A$34,$A28)&gt;=$J28,"✅ Yes","—")))</f>
        <v/>
      </c>
      <c r="L28" s="111" t="n"/>
      <c r="M28" s="111">
        <f>IF(OR($H28="",NOT(ISNUMBER($L28)),$L28&lt;=0),"",ROUND($H28/($L28/60),0))</f>
        <v/>
      </c>
      <c r="N28" s="113" t="n"/>
    </row>
    <row r="29" ht="19.5" customHeight="1">
      <c r="A29" s="102" t="n"/>
      <c r="B29" s="103" t="n"/>
      <c r="C29" s="104">
        <f>IF($B29="","",IF(COUNTIF('My Books'!$B$5:$B$24,$B29)&gt;0,INDEX('My Books'!$F$5:$F$24,MATCH($B29,'My Books'!$B$5:$B$24,0)),Config!$F$5))</f>
        <v/>
      </c>
      <c r="D29" s="105" t="n"/>
      <c r="E29" s="105" t="n"/>
      <c r="F29" s="105" t="n"/>
      <c r="G29" s="105" t="n"/>
      <c r="H29" s="106">
        <f>IF(AND($A29="",$B29="",SUM($D29:$G29,$L29)=0,$N29=""),"",SUM($D29:$G29))</f>
        <v/>
      </c>
      <c r="I29" s="106">
        <f>IF(AND($A29="",$B29="",SUM($D29:$G29,$L29)=0,$N29=""),"",$F29*Config!$B$10+$E29*IF($C29="Pre-Draft Outline",Config!$B$11,IF($C29="Pre-Revision Outline",Config!$B$12,Config!$B$13))+$D29*Config!$B$14+IF($C29="Revision",$G29*Config!$B$15,$G29*Config!$B$16))</f>
        <v/>
      </c>
      <c r="J29" s="105">
        <f>IF(AND($A29="",$B29="",SUM($D29:$G29,$L29)=0,$N29=""),"",Config!$B$5)</f>
        <v/>
      </c>
      <c r="K29" s="104">
        <f>IF($A29="","",IF(COUNTIF($A$5:A29,$A29)&gt;1,"",IF(SUMIFS($I$5:$I$34,$A$5:$A$34,$A29)&gt;=$J29,"✅ Yes","—")))</f>
        <v/>
      </c>
      <c r="L29" s="105" t="n"/>
      <c r="M29" s="105">
        <f>IF(OR($H29="",NOT(ISNUMBER($L29)),$L29&lt;=0),"",ROUND($H29/($L29/60),0))</f>
        <v/>
      </c>
      <c r="N29" s="107" t="n"/>
    </row>
    <row r="30" ht="19.5" customHeight="1">
      <c r="A30" s="108" t="n"/>
      <c r="B30" s="109" t="n"/>
      <c r="C30" s="110">
        <f>IF($B30="","",IF(COUNTIF('My Books'!$B$5:$B$24,$B30)&gt;0,INDEX('My Books'!$F$5:$F$24,MATCH($B30,'My Books'!$B$5:$B$24,0)),Config!$F$5))</f>
        <v/>
      </c>
      <c r="D30" s="111" t="n"/>
      <c r="E30" s="111" t="n"/>
      <c r="F30" s="111" t="n"/>
      <c r="G30" s="111" t="n"/>
      <c r="H30" s="112">
        <f>IF(AND($A30="",$B30="",SUM($D30:$G30,$L30)=0,$N30=""),"",SUM($D30:$G30))</f>
        <v/>
      </c>
      <c r="I30" s="112">
        <f>IF(AND($A30="",$B30="",SUM($D30:$G30,$L30)=0,$N30=""),"",$F30*Config!$B$10+$E30*IF($C30="Pre-Draft Outline",Config!$B$11,IF($C30="Pre-Revision Outline",Config!$B$12,Config!$B$13))+$D30*Config!$B$14+IF($C30="Revision",$G30*Config!$B$15,$G30*Config!$B$16))</f>
        <v/>
      </c>
      <c r="J30" s="111">
        <f>IF(AND($A30="",$B30="",SUM($D30:$G30,$L30)=0,$N30=""),"",Config!$B$5)</f>
        <v/>
      </c>
      <c r="K30" s="110">
        <f>IF($A30="","",IF(COUNTIF($A$5:A30,$A30)&gt;1,"",IF(SUMIFS($I$5:$I$34,$A$5:$A$34,$A30)&gt;=$J30,"✅ Yes","—")))</f>
        <v/>
      </c>
      <c r="L30" s="111" t="n"/>
      <c r="M30" s="111">
        <f>IF(OR($H30="",NOT(ISNUMBER($L30)),$L30&lt;=0),"",ROUND($H30/($L30/60),0))</f>
        <v/>
      </c>
      <c r="N30" s="113" t="n"/>
    </row>
    <row r="31" ht="19.5" customHeight="1">
      <c r="A31" s="102" t="n"/>
      <c r="B31" s="103" t="n"/>
      <c r="C31" s="104">
        <f>IF($B31="","",IF(COUNTIF('My Books'!$B$5:$B$24,$B31)&gt;0,INDEX('My Books'!$F$5:$F$24,MATCH($B31,'My Books'!$B$5:$B$24,0)),Config!$F$5))</f>
        <v/>
      </c>
      <c r="D31" s="105" t="n"/>
      <c r="E31" s="105" t="n"/>
      <c r="F31" s="105" t="n"/>
      <c r="G31" s="105" t="n"/>
      <c r="H31" s="106">
        <f>IF(AND($A31="",$B31="",SUM($D31:$G31,$L31)=0,$N31=""),"",SUM($D31:$G31))</f>
        <v/>
      </c>
      <c r="I31" s="106">
        <f>IF(AND($A31="",$B31="",SUM($D31:$G31,$L31)=0,$N31=""),"",$F31*Config!$B$10+$E31*IF($C31="Pre-Draft Outline",Config!$B$11,IF($C31="Pre-Revision Outline",Config!$B$12,Config!$B$13))+$D31*Config!$B$14+IF($C31="Revision",$G31*Config!$B$15,$G31*Config!$B$16))</f>
        <v/>
      </c>
      <c r="J31" s="105">
        <f>IF(AND($A31="",$B31="",SUM($D31:$G31,$L31)=0,$N31=""),"",Config!$B$5)</f>
        <v/>
      </c>
      <c r="K31" s="104">
        <f>IF($A31="","",IF(COUNTIF($A$5:A31,$A31)&gt;1,"",IF(SUMIFS($I$5:$I$34,$A$5:$A$34,$A31)&gt;=$J31,"✅ Yes","—")))</f>
        <v/>
      </c>
      <c r="L31" s="105" t="n"/>
      <c r="M31" s="105">
        <f>IF(OR($H31="",NOT(ISNUMBER($L31)),$L31&lt;=0),"",ROUND($H31/($L31/60),0))</f>
        <v/>
      </c>
      <c r="N31" s="107" t="n"/>
    </row>
    <row r="32" ht="19.5" customHeight="1">
      <c r="A32" s="108" t="n"/>
      <c r="B32" s="109" t="n"/>
      <c r="C32" s="110">
        <f>IF($B32="","",IF(COUNTIF('My Books'!$B$5:$B$24,$B32)&gt;0,INDEX('My Books'!$F$5:$F$24,MATCH($B32,'My Books'!$B$5:$B$24,0)),Config!$F$5))</f>
        <v/>
      </c>
      <c r="D32" s="111" t="n"/>
      <c r="E32" s="111" t="n"/>
      <c r="F32" s="111" t="n"/>
      <c r="G32" s="111" t="n"/>
      <c r="H32" s="112">
        <f>IF(AND($A32="",$B32="",SUM($D32:$G32,$L32)=0,$N32=""),"",SUM($D32:$G32))</f>
        <v/>
      </c>
      <c r="I32" s="112">
        <f>IF(AND($A32="",$B32="",SUM($D32:$G32,$L32)=0,$N32=""),"",$F32*Config!$B$10+$E32*IF($C32="Pre-Draft Outline",Config!$B$11,IF($C32="Pre-Revision Outline",Config!$B$12,Config!$B$13))+$D32*Config!$B$14+IF($C32="Revision",$G32*Config!$B$15,$G32*Config!$B$16))</f>
        <v/>
      </c>
      <c r="J32" s="111">
        <f>IF(AND($A32="",$B32="",SUM($D32:$G32,$L32)=0,$N32=""),"",Config!$B$5)</f>
        <v/>
      </c>
      <c r="K32" s="110">
        <f>IF($A32="","",IF(COUNTIF($A$5:A32,$A32)&gt;1,"",IF(SUMIFS($I$5:$I$34,$A$5:$A$34,$A32)&gt;=$J32,"✅ Yes","—")))</f>
        <v/>
      </c>
      <c r="L32" s="111" t="n"/>
      <c r="M32" s="111">
        <f>IF(OR($H32="",NOT(ISNUMBER($L32)),$L32&lt;=0),"",ROUND($H32/($L32/60),0))</f>
        <v/>
      </c>
      <c r="N32" s="113" t="n"/>
    </row>
    <row r="33" ht="19.5" customHeight="1">
      <c r="A33" s="102" t="n"/>
      <c r="B33" s="103" t="n"/>
      <c r="C33" s="104">
        <f>IF($B33="","",IF(COUNTIF('My Books'!$B$5:$B$24,$B33)&gt;0,INDEX('My Books'!$F$5:$F$24,MATCH($B33,'My Books'!$B$5:$B$24,0)),Config!$F$5))</f>
        <v/>
      </c>
      <c r="D33" s="105" t="n"/>
      <c r="E33" s="105" t="n"/>
      <c r="F33" s="105" t="n"/>
      <c r="G33" s="105" t="n"/>
      <c r="H33" s="106">
        <f>IF(AND($A33="",$B33="",SUM($D33:$G33,$L33)=0,$N33=""),"",SUM($D33:$G33))</f>
        <v/>
      </c>
      <c r="I33" s="106">
        <f>IF(AND($A33="",$B33="",SUM($D33:$G33,$L33)=0,$N33=""),"",$F33*Config!$B$10+$E33*IF($C33="Pre-Draft Outline",Config!$B$11,IF($C33="Pre-Revision Outline",Config!$B$12,Config!$B$13))+$D33*Config!$B$14+IF($C33="Revision",$G33*Config!$B$15,$G33*Config!$B$16))</f>
        <v/>
      </c>
      <c r="J33" s="105">
        <f>IF(AND($A33="",$B33="",SUM($D33:$G33,$L33)=0,$N33=""),"",Config!$B$5)</f>
        <v/>
      </c>
      <c r="K33" s="104">
        <f>IF($A33="","",IF(COUNTIF($A$5:A33,$A33)&gt;1,"",IF(SUMIFS($I$5:$I$34,$A$5:$A$34,$A33)&gt;=$J33,"✅ Yes","—")))</f>
        <v/>
      </c>
      <c r="L33" s="105" t="n"/>
      <c r="M33" s="105">
        <f>IF(OR($H33="",NOT(ISNUMBER($L33)),$L33&lt;=0),"",ROUND($H33/($L33/60),0))</f>
        <v/>
      </c>
      <c r="N33" s="107" t="n"/>
    </row>
    <row r="34" ht="19.5" customHeight="1">
      <c r="A34" s="108" t="n"/>
      <c r="B34" s="109" t="n"/>
      <c r="C34" s="110">
        <f>IF($B34="","",IF(COUNTIF('My Books'!$B$5:$B$24,$B34)&gt;0,INDEX('My Books'!$F$5:$F$24,MATCH($B34,'My Books'!$B$5:$B$24,0)),Config!$F$5))</f>
        <v/>
      </c>
      <c r="D34" s="111" t="n"/>
      <c r="E34" s="111" t="n"/>
      <c r="F34" s="111" t="n"/>
      <c r="G34" s="111" t="n"/>
      <c r="H34" s="112">
        <f>IF(AND($A34="",$B34="",SUM($D34:$G34,$L34)=0,$N34=""),"",SUM($D34:$G34))</f>
        <v/>
      </c>
      <c r="I34" s="112">
        <f>IF(AND($A34="",$B34="",SUM($D34:$G34,$L34)=0,$N34=""),"",$F34*Config!$B$10+$E34*IF($C34="Pre-Draft Outline",Config!$B$11,IF($C34="Pre-Revision Outline",Config!$B$12,Config!$B$13))+$D34*Config!$B$14+IF($C34="Revision",$G34*Config!$B$15,$G34*Config!$B$16))</f>
        <v/>
      </c>
      <c r="J34" s="111">
        <f>IF(AND($A34="",$B34="",SUM($D34:$G34,$L34)=0,$N34=""),"",Config!$B$5)</f>
        <v/>
      </c>
      <c r="K34" s="110">
        <f>IF($A34="","",IF(COUNTIF($A$5:A34,$A34)&gt;1,"",IF(SUMIFS($I$5:$I$34,$A$5:$A$34,$A34)&gt;=$J34,"✅ Yes","—")))</f>
        <v/>
      </c>
      <c r="L34" s="111" t="n"/>
      <c r="M34" s="111">
        <f>IF(OR($H34="",NOT(ISNUMBER($L34)),$L34&lt;=0),"",ROUND($H34/($L34/60),0))</f>
        <v/>
      </c>
      <c r="N34" s="113" t="n"/>
    </row>
    <row r="35" ht="21.75" customHeight="1">
      <c r="A35" s="114" t="n"/>
      <c r="B35" s="114" t="inlineStr">
        <is>
          <t>Total Logged Sessions</t>
        </is>
      </c>
      <c r="C35" s="115" t="n"/>
      <c r="D35" s="116">
        <f>SUM(D5:D34)</f>
        <v>600</v>
      </c>
      <c r="E35" s="116">
        <f>SUM(E5:E34)</f>
        <v>2000</v>
      </c>
      <c r="F35" s="116">
        <f>SUM(F5:F34)</f>
        <v>1900</v>
      </c>
      <c r="G35" s="116">
        <f>SUM(G5:G34)</f>
        <v>300</v>
      </c>
      <c r="H35" s="116">
        <f>SUM(H5:H34)</f>
        <v>4800</v>
      </c>
      <c r="I35" s="116">
        <f>SUM(I5:I34)</f>
        <v>4200</v>
      </c>
      <c r="J35" s="117" t="n"/>
      <c r="K35" s="115" t="str">
        <f>COUNTIF(K5:K34,"✅ Yes")&amp;" Goal Days"</f>
        <v>2 Goal Days</v>
      </c>
      <c r="L35" s="116">
        <f>SUM(L5:L34)</f>
        <v>205</v>
      </c>
      <c r="M35" s="116">
        <f>IF(L35&gt;0,ROUND(H35/(L35/60),0),0)</f>
        <v>1405</v>
      </c>
      <c r="N35" s="114" t="n"/>
    </row>
    <row r="36" ht="18" customHeight="1"/>
    <row r="37" ht="21.75" customHeight="1">
      <c r="A37" s="12" t="inlineStr">
        <is>
          <t>📊 WRITING HABIT ANALYTICS • CREATIVE PHASE MIX &amp; WEEKLY RHYTHM (AUTO-UPDATES WITH EVERY LOGGED SESSION)</t>
        </is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37:N37"/>
    <mergeCell ref="A2:I2"/>
  </mergeCells>
  <conditionalFormatting sqref="A5:N34">
    <cfRule type="expression" priority="2" dxfId="0">
      <formula>$K5="✅ Yes"</formula>
    </cfRule>
  </conditionalFormatting>
  <dataValidations count="4">
    <dataValidation sqref="A5:A34" showDropDown="0" showInputMessage="0" showErrorMessage="0" allowBlank="1" type="date" operator="greaterThanOrEqual">
      <formula1>DATE(1900,1,1)</formula1>
      <formula2>0</formula2>
    </dataValidation>
    <dataValidation sqref="B5:B34" showDropDown="0" showInputMessage="0" showErrorMessage="0" allowBlank="1" type="list">
      <formula1>lst_Books</formula1>
      <formula2>0</formula2>
    </dataValidation>
    <dataValidation sqref="C5:C34" showDropDown="0" showInputMessage="0" showErrorMessage="0" allowBlank="1" type="list">
      <formula1>lst_Stages</formula1>
      <formula2>0</formula2>
    </dataValidation>
    <dataValidation sqref="D5:G34 L5:L34" showDropDown="0" showInputMessage="0" showErrorMessage="0" allowBlank="1" type="whole" operator="greaterThanOrEqual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 fitToPage="1"/>
  </sheetPr>
  <dimension ref="A1:BC734"/>
  <sheetViews>
    <sheetView zoomScaleNormal="100" zoomScalePageLayoutView="60" workbookViewId="0">
      <selection activeCell="A1" sqref="A1:S1"/>
    </sheetView>
  </sheetViews>
  <sheetFormatPr baseColWidth="8" defaultColWidth="8.6640625" defaultRowHeight="14.4"/>
  <cols>
    <col width="12" customWidth="1" min="1" max="1"/>
    <col width="13" customWidth="1" min="2" max="3"/>
    <col width="11" customWidth="1" min="4" max="4"/>
    <col width="12" customWidth="1" min="5" max="5"/>
    <col width="16" customWidth="1" min="6" max="7"/>
    <col width="9" customWidth="1" min="8" max="8"/>
    <col width="3" customWidth="1" min="9" max="9"/>
    <col width="15" customWidth="1" min="10" max="10"/>
    <col width="10" customWidth="1" min="11" max="11"/>
    <col width="3" customWidth="1" min="12" max="12"/>
    <col width="14" customWidth="1" min="13" max="13"/>
    <col width="3" customWidth="1" min="14" max="14"/>
    <col width="7" customWidth="1" min="15" max="15"/>
    <col width="12" customWidth="1" min="16" max="16"/>
    <col width="3" customWidth="1" min="17" max="17"/>
    <col width="28" customWidth="1" min="18" max="18"/>
    <col width="12" customWidth="1" min="19" max="19"/>
  </cols>
  <sheetData>
    <row r="1" ht="18" customHeight="1">
      <c r="A1" s="134" t="inlineStr">
        <is>
          <t>🧮 CALCULATION ENGINE • do not edit (feeds streak, 30-day chart, spotlight)</t>
        </is>
      </c>
    </row>
    <row r="2">
      <c r="A2" s="135" t="inlineStr">
        <is>
          <t>Block 1: 730d streak ledger. Block 2: 30d velocity. Block 3-4: Spotlight &amp; KPIs. Blocks 5-11 (Cols U-AZ): Dynamic auto-updating chart tables for Books, Series, Annual Load, Stages, Phase Mix &amp; Weekly Rhythm.</t>
        </is>
      </c>
    </row>
    <row r="4" ht="30" customHeight="1">
      <c r="A4" s="118" t="inlineStr">
        <is>
          <t>Date</t>
        </is>
      </c>
      <c r="B4" s="118" t="inlineStr">
        <is>
          <t>Words Added</t>
        </is>
      </c>
      <c r="C4" s="118" t="inlineStr">
        <is>
          <t>Effort Points</t>
        </is>
      </c>
      <c r="D4" s="118" t="inlineStr">
        <is>
          <t>Goal Met (1/0)</t>
        </is>
      </c>
      <c r="E4" s="118" t="inlineStr">
        <is>
          <t>Grace Used Before</t>
        </is>
      </c>
      <c r="F4" s="118" t="inlineStr">
        <is>
          <t>Miss Forgiven (1/0)</t>
        </is>
      </c>
      <c r="G4" s="118" t="inlineStr">
        <is>
          <t>Grace Used (Month)</t>
        </is>
      </c>
      <c r="H4" s="118" t="inlineStr">
        <is>
          <t>Streak</t>
        </is>
      </c>
      <c r="J4" s="118" t="inlineStr">
        <is>
          <t>Date (last 30d)</t>
        </is>
      </c>
      <c r="K4" s="118" t="inlineStr">
        <is>
          <t>Words</t>
        </is>
      </c>
      <c r="M4" s="118" t="inlineStr">
        <is>
          <t>Spotlight Sort Key</t>
        </is>
      </c>
      <c r="O4" s="118" t="inlineStr">
        <is>
          <t>Slot</t>
        </is>
      </c>
      <c r="P4" s="118" t="inlineStr">
        <is>
          <t>My Books Row</t>
        </is>
      </c>
      <c r="R4" s="118" t="inlineStr">
        <is>
          <t>Headline Metric</t>
        </is>
      </c>
      <c r="S4" s="118" t="inlineStr">
        <is>
          <t>Value</t>
        </is>
      </c>
      <c r="U4" s="119" t="inlineStr">
        <is>
          <t>Spotlight Book</t>
        </is>
      </c>
      <c r="V4" s="119" t="inlineStr">
        <is>
          <t>Drafted Words</t>
        </is>
      </c>
      <c r="W4" s="119" t="inlineStr">
        <is>
          <t>Remaining Target Words</t>
        </is>
      </c>
      <c r="X4" s="119" t="inlineStr">
        <is>
          <t>Required Words/Day</t>
        </is>
      </c>
      <c r="Y4" s="119" t="inlineStr">
        <is>
          <t>30D Speed (Words/Day)</t>
        </is>
      </c>
      <c r="Z4" s="119" t="inlineStr">
        <is>
          <t>Total Work Words</t>
        </is>
      </c>
      <c r="AB4" s="119" t="inlineStr">
        <is>
          <t>Book Row Key</t>
        </is>
      </c>
      <c r="AC4" s="119" t="inlineStr">
        <is>
          <t>Catalog Slot</t>
        </is>
      </c>
      <c r="AD4" s="119" t="inlineStr">
        <is>
          <t>Matched Row</t>
        </is>
      </c>
      <c r="AE4" s="119" t="inlineStr">
        <is>
          <t>Cataloged Book Title</t>
        </is>
      </c>
      <c r="AF4" s="119" t="inlineStr">
        <is>
          <t>Draft Target Words</t>
        </is>
      </c>
      <c r="AG4" s="119" t="inlineStr">
        <is>
          <t>Total Work Words</t>
        </is>
      </c>
      <c r="AH4" s="119" t="inlineStr">
        <is>
          <t>First Draft Words</t>
        </is>
      </c>
      <c r="AI4" s="119" t="inlineStr">
        <is>
          <t>Required Draft Words/Day</t>
        </is>
      </c>
      <c r="AJ4" s="119" t="inlineStr">
        <is>
          <t>Recent Draft Speed (30D)</t>
        </is>
      </c>
      <c r="AL4" s="119" t="inlineStr">
        <is>
          <t>Series Row Key</t>
        </is>
      </c>
      <c r="AM4" s="119" t="inlineStr">
        <is>
          <t>Series Slot</t>
        </is>
      </c>
      <c r="AN4" s="119" t="inlineStr">
        <is>
          <t>Matched Row</t>
        </is>
      </c>
      <c r="AO4" s="119" t="inlineStr">
        <is>
          <t>Series Title</t>
        </is>
      </c>
      <c r="AP4" s="119" t="inlineStr">
        <is>
          <t>Completed Books</t>
        </is>
      </c>
      <c r="AQ4" s="119" t="inlineStr">
        <is>
          <t>Books In Progress</t>
        </is>
      </c>
      <c r="AR4" s="119" t="inlineStr">
        <is>
          <t>Future Unscheduled Books</t>
        </is>
      </c>
      <c r="AS4" s="119" t="inlineStr">
        <is>
          <t>Cataloged Target Words</t>
        </is>
      </c>
      <c r="AT4" s="119" t="inlineStr">
        <is>
          <t>Total Work Words</t>
        </is>
      </c>
      <c r="AV4" s="119" t="inlineStr">
        <is>
          <t>Production Year</t>
        </is>
      </c>
      <c r="AW4" s="119" t="inlineStr">
        <is>
          <t>Scheduled Target</t>
        </is>
      </c>
      <c r="AX4" s="119" t="inlineStr">
        <is>
          <t>Actual Logged</t>
        </is>
      </c>
      <c r="AY4" s="119" t="inlineStr">
        <is>
          <t>Annual Goal</t>
        </is>
      </c>
      <c r="AZ4" s="119" t="inlineStr">
        <is>
          <t>Log Row Weekday (1=Mon)</t>
        </is>
      </c>
      <c r="BA4" s="141" t="inlineStr">
        <is>
          <t>Compiler Pillar</t>
        </is>
      </c>
      <c r="BB4" s="141" t="inlineStr">
        <is>
          <t>Active Findings</t>
        </is>
      </c>
      <c r="BC4" s="141" t="inlineStr">
        <is>
          <t>Books Audited</t>
        </is>
      </c>
    </row>
    <row r="5">
      <c r="A5" s="120" t="str">
        <f>Config!$A$2-729</f>
        <v>2024-10-17 00:00:00</v>
      </c>
      <c r="B5" s="121">
        <f>SUMIFS('Daily Writing Log'!$H$5:$H$34,'Daily Writing Log'!$A$5:$A$34,$A5)</f>
        <v>0</v>
      </c>
      <c r="C5" s="121">
        <f>SUMIFS('Daily Writing Log'!$I$5:$I$34,'Daily Writing Log'!$A$5:$A$34,$A5)</f>
        <v>0</v>
      </c>
      <c r="D5" s="122">
        <f>IF($C5&gt;=Config!$B$5,1,0)</f>
        <v>0</v>
      </c>
      <c r="E5" s="122" t="n">
        <v>0</v>
      </c>
      <c r="F5" s="122" t="n">
        <v>0</v>
      </c>
      <c r="G5" s="122" t="n">
        <v>0</v>
      </c>
      <c r="H5" s="122">
        <f>IF($D5=1,1,0)</f>
        <v>0</v>
      </c>
      <c r="J5" s="120" t="str">
        <f>Config!$A$2-29</f>
        <v>2026-09-17 00:00:00</v>
      </c>
      <c r="K5" s="121">
        <f>SUMIFS('Daily Writing Log'!$H$5:$H$34,'Daily Writing Log'!$A$5:$A$34,$J5)</f>
        <v>0</v>
      </c>
      <c r="M5" s="123">
        <f>IF('My Books'!$B5="","",IF(OR('My Books'!$F5=Config!$F$14,AND(N('My Books'!$G5)&gt;0,N('My Books'!$Q5)&gt;=N('My Books'!$G5))),"",IF(ISNUMBER('My Books'!$L5),'My Books'!$L5,99999)+ROW()/100000))</f>
        <v>46569.00005</v>
      </c>
      <c r="O5" s="122" t="n">
        <v>1</v>
      </c>
      <c r="P5" s="122">
        <f>IF(COUNT($M$5:$M$24)&lt;$O5,0,MATCH(SMALL($M$5:$M$24,$O5),$M$5:$M$24,0)+4)</f>
        <v>5</v>
      </c>
      <c r="R5" s="124" t="inlineStr">
        <is>
          <t>Monthly Words Target</t>
        </is>
      </c>
      <c r="S5" s="121">
        <f>ROUND(Config!$B$7/(DATE(YEAR(Config!$A$2),12,31)-DATE(YEAR(Config!$A$2),1,1)+1)*DAY(EOMONTH(Config!$A$2,0)),0)</f>
        <v>62000</v>
      </c>
      <c r="U5" s="125" t="str">
        <f>IF($P5=0,"",INDEX('My Books'!$B$1:$B$24,$P5))</f>
        <v>Prisoner of Sand Sea</v>
      </c>
      <c r="V5" s="126">
        <f>IF($P5=0,0,N(INDEX('My Books'!$Q$1:$Q$24,$P5)))</f>
        <v>0</v>
      </c>
      <c r="W5" s="126">
        <f>IF($P5=0,0,MAX(0,N(INDEX('My Books'!$G$1:$G$24,$P5))-N(INDEX('My Books'!$Q$1:$Q$24,$P5))))</f>
        <v>200000</v>
      </c>
      <c r="X5" s="126">
        <f>IF($P5=0,0,N(INDEX('My Books'!$N$1:$N$24,$P5)))</f>
        <v>1105</v>
      </c>
      <c r="Y5" s="126">
        <f>IF($P5=0,0,N(INDEX('My Books'!$O$1:$O$24,$P5)))</f>
        <v>0</v>
      </c>
      <c r="Z5" s="126">
        <f>IF($P5=0,0,N(INDEX('My Books'!$H$1:$H$24,$P5)))</f>
        <v>0</v>
      </c>
      <c r="AB5" s="125">
        <f>IF('My Books'!$B5="","",ROW())</f>
        <v>5</v>
      </c>
      <c r="AC5" s="126" t="n">
        <v>1</v>
      </c>
      <c r="AD5" s="126">
        <f>IF(COUNT($AB$5:$AB$24)&lt;$AC5,0,MATCH(SMALL($AB$5:$AB$24,$AC5),$AB$5:$AB$24,0)+4)</f>
        <v>5</v>
      </c>
      <c r="AE5" s="125" t="str">
        <f>IF($AD5=0,"",INDEX('My Books'!$B$1:$B$24,$AD5))</f>
        <v>Prisoner of Sand Sea</v>
      </c>
      <c r="AF5" s="126">
        <f>IF($AD5=0,0,N(INDEX('My Books'!$G$1:$G$24,$AD5)))</f>
        <v>200000</v>
      </c>
      <c r="AG5" s="126">
        <f>IF($AD5=0,0,N(INDEX('My Books'!$H$1:$H$24,$AD5)))</f>
        <v>0</v>
      </c>
      <c r="AH5" s="126">
        <f>IF($AD5=0,0,N(INDEX('My Books'!$Q$1:$Q$24,$AD5)))</f>
        <v>0</v>
      </c>
      <c r="AI5" s="126">
        <f>IF($AD5=0,0,N(INDEX('My Books'!$N$1:$N$24,$AD5)))</f>
        <v>1105</v>
      </c>
      <c r="AJ5" s="126">
        <f>IF($AD5=0,0,N(INDEX('My Books'!$O$1:$O$24,$AD5)))</f>
        <v>0</v>
      </c>
      <c r="AL5" s="125">
        <f>IF('Universes &amp; Series'!$A5="","",ROW())</f>
        <v>5</v>
      </c>
      <c r="AM5" s="126" t="n">
        <v>1</v>
      </c>
      <c r="AN5" s="126">
        <f>IF(COUNT($AL$5:$AL$24)&lt;$AM5,0,MATCH(SMALL($AL$5:$AL$24,$AM5),$AL$5:$AL$24,0)+4)</f>
        <v>5</v>
      </c>
      <c r="AO5" s="125" t="str">
        <f>IF($AN5=0,"",INDEX('Universes &amp; Series'!$A$1:$A$24,$AN5))</f>
        <v>Sand Sea Saga</v>
      </c>
      <c r="AP5" s="126">
        <f>IF($AN5=0,0,N(INDEX('Universes &amp; Series'!$D$1:$D$24,$AN5)))</f>
        <v>0</v>
      </c>
      <c r="AQ5" s="126">
        <f>IF($AN5=0,0,N(INDEX('Universes &amp; Series'!$E$1:$E$24,$AN5)))</f>
        <v>2</v>
      </c>
      <c r="AR5" s="126">
        <f>IF($AN5=0,0,MAX(0,N(INDEX('Universes &amp; Series'!$C$1:$C$24,$AN5))-N(INDEX('Universes &amp; Series'!$D$1:$D$24,$AN5))-N(INDEX('Universes &amp; Series'!$E$1:$E$24,$AN5))))</f>
        <v>1</v>
      </c>
      <c r="AS5" s="126">
        <f>IF($AN5=0,0,SUMIF('My Books'!$E$5:$E$24,$AO5,'My Books'!$G$5:$G$24))</f>
        <v>400000</v>
      </c>
      <c r="AT5" s="126">
        <f>IF($AN5=0,0,N(INDEX('Universes &amp; Series'!$F$1:$F$24,$AN5)))</f>
        <v>0</v>
      </c>
      <c r="AV5" s="125" t="str">
        <f>"Year "&amp;(YEAR(Config!$A$2)+0)</f>
        <v>Year 2026</v>
      </c>
      <c r="AW5" s="126">
        <f>SUMIF('My Books'!$A$5:$A$24,YEAR(Config!$A$2)+0,'My Books'!$G$5:$G$24)</f>
        <v>120000</v>
      </c>
      <c r="AX5" s="126">
        <f>SUMIFS('Daily Writing Log'!$H$5:$H$34,'Daily Writing Log'!$A$5:$A$34,"&gt;="&amp;DATE(YEAR(Config!$A$2)+0,1,1),'Daily Writing Log'!$A$5:$A$34,"&lt;="&amp;DATE(YEAR(Config!$A$2)+0,12,31))</f>
        <v>0</v>
      </c>
      <c r="AY5" s="126">
        <f>Config!$B$7</f>
        <v>730000</v>
      </c>
      <c r="AZ5" s="125">
        <f>IF(ISNUMBER('Daily Writing Log'!$A5),WEEKDAY('Daily Writing Log'!$A5,2),0)</f>
        <v>5</v>
      </c>
      <c r="BA5" s="142" t="inlineStr">
        <is>
          <t>EPI-* (POV Firewall)</t>
        </is>
      </c>
      <c r="BB5" s="143">
        <f>SUM('Continuity &amp; Compilers'!$E$10:$E$29)</f>
        <v>0</v>
      </c>
      <c r="BC5" s="143">
        <f>COUNTIF('Continuity &amp; Compilers'!$D$10:$D$29,"&gt;0")</f>
        <v>6</v>
      </c>
    </row>
    <row r="6">
      <c r="A6" s="120" t="str">
        <f>A5+1</f>
        <v>2024-10-18 00:00:00</v>
      </c>
      <c r="B6" s="121">
        <f>SUMIFS('Daily Writing Log'!$H$5:$H$34,'Daily Writing Log'!$A$5:$A$34,$A6)</f>
        <v>0</v>
      </c>
      <c r="C6" s="121">
        <f>SUMIFS('Daily Writing Log'!$I$5:$I$34,'Daily Writing Log'!$A$5:$A$34,$A6)</f>
        <v>0</v>
      </c>
      <c r="D6" s="122">
        <f>IF($C6&gt;=Config!$B$5,1,0)</f>
        <v>0</v>
      </c>
      <c r="E6" s="122">
        <f>IF(MONTH($A6)&lt;&gt;MONTH($A5),0,$G5)</f>
        <v>0</v>
      </c>
      <c r="F6" s="122">
        <f>IF(AND($D6=0,$H5&gt;0,$E6&lt;Config!$B$8,$A6&lt;Config!$A$2),1,0)</f>
        <v>0</v>
      </c>
      <c r="G6" s="122">
        <f>$E6+$F6</f>
        <v>0</v>
      </c>
      <c r="H6" s="122">
        <f>IF($D6=1,$H5+1,IF($F6=1,$H5,IF($A6=Config!$A$2,$H5,0)))</f>
        <v>0</v>
      </c>
      <c r="J6" s="120" t="str">
        <f>J5+1</f>
        <v>2026-09-18 00:00:00</v>
      </c>
      <c r="K6" s="121">
        <f>SUMIFS('Daily Writing Log'!$H$5:$H$34,'Daily Writing Log'!$A$5:$A$34,$J6)</f>
        <v>0</v>
      </c>
      <c r="M6" s="123">
        <f>IF('My Books'!$B6="","",IF(OR('My Books'!$F6=Config!$F$14,AND(N('My Books'!$G6)&gt;0,N('My Books'!$Q6)&gt;=N('My Books'!$G6))),"",IF(ISNUMBER('My Books'!$L6),'My Books'!$L6,99999)+ROW()/100000))</f>
        <v>46753.00006</v>
      </c>
      <c r="O6" s="122" t="n">
        <v>2</v>
      </c>
      <c r="P6" s="122">
        <f>IF(COUNT($M$5:$M$24)&lt;$O6,0,MATCH(SMALL($M$5:$M$24,$O6),$M$5:$M$24,0)+4)</f>
        <v>6</v>
      </c>
      <c r="R6" s="124" t="inlineStr">
        <is>
          <t>Month Total (words)</t>
        </is>
      </c>
      <c r="S6" s="121">
        <f>SUMIFS('Daily Writing Log'!$H$5:$H$34,'Daily Writing Log'!$A$5:$A$34,"&gt;="&amp;DATE(YEAR(Config!$A$2),MONTH(Config!$A$2),1),'Daily Writing Log'!$A$5:$A$34,"&lt;="&amp;EOMONTH(Config!$A$2,0))</f>
        <v>0</v>
      </c>
      <c r="U6" s="125" t="str">
        <f>IF($P6=0,"",INDEX('My Books'!$B$1:$B$24,$P6))</f>
        <v>Gothic Fantasy 1</v>
      </c>
      <c r="V6" s="126">
        <f>IF($P6=0,0,N(INDEX('My Books'!$Q$1:$Q$24,$P6)))</f>
        <v>0</v>
      </c>
      <c r="W6" s="126">
        <f>IF($P6=0,0,MAX(0,N(INDEX('My Books'!$G$1:$G$24,$P6))-N(INDEX('My Books'!$Q$1:$Q$24,$P6))))</f>
        <v>150000</v>
      </c>
      <c r="X6" s="126">
        <f>IF($P6=0,0,N(INDEX('My Books'!$N$1:$N$24,$P6)))</f>
        <v>816</v>
      </c>
      <c r="Y6" s="126">
        <f>IF($P6=0,0,N(INDEX('My Books'!$O$1:$O$24,$P6)))</f>
        <v>0</v>
      </c>
      <c r="Z6" s="126">
        <f>IF($P6=0,0,N(INDEX('My Books'!$H$1:$H$24,$P6)))</f>
        <v>0</v>
      </c>
      <c r="AB6" s="125">
        <f>IF('My Books'!$B6="","",ROW())</f>
        <v>6</v>
      </c>
      <c r="AC6" s="126" t="n">
        <v>2</v>
      </c>
      <c r="AD6" s="126">
        <f>IF(COUNT($AB$5:$AB$24)&lt;$AC6,0,MATCH(SMALL($AB$5:$AB$24,$AC6),$AB$5:$AB$24,0)+4)</f>
        <v>6</v>
      </c>
      <c r="AE6" s="125" t="str">
        <f>IF($AD6=0,"",INDEX('My Books'!$B$1:$B$24,$AD6))</f>
        <v>Gothic Fantasy 1</v>
      </c>
      <c r="AF6" s="126">
        <f>IF($AD6=0,0,N(INDEX('My Books'!$G$1:$G$24,$AD6)))</f>
        <v>150000</v>
      </c>
      <c r="AG6" s="126">
        <f>IF($AD6=0,0,N(INDEX('My Books'!$H$1:$H$24,$AD6)))</f>
        <v>0</v>
      </c>
      <c r="AH6" s="126">
        <f>IF($AD6=0,0,N(INDEX('My Books'!$Q$1:$Q$24,$AD6)))</f>
        <v>0</v>
      </c>
      <c r="AI6" s="126">
        <f>IF($AD6=0,0,N(INDEX('My Books'!$N$1:$N$24,$AD6)))</f>
        <v>816</v>
      </c>
      <c r="AJ6" s="126">
        <f>IF($AD6=0,0,N(INDEX('My Books'!$O$1:$O$24,$AD6)))</f>
        <v>0</v>
      </c>
      <c r="AL6" s="125">
        <f>IF('Universes &amp; Series'!$A6="","",ROW())</f>
        <v>6</v>
      </c>
      <c r="AM6" s="126" t="n">
        <v>2</v>
      </c>
      <c r="AN6" s="126">
        <f>IF(COUNT($AL$5:$AL$24)&lt;$AM6,0,MATCH(SMALL($AL$5:$AL$24,$AM6),$AL$5:$AL$24,0)+4)</f>
        <v>6</v>
      </c>
      <c r="AO6" s="125" t="str">
        <f>IF($AN6=0,"",INDEX('Universes &amp; Series'!$A$1:$A$24,$AN6))</f>
        <v>Gothic Fantasy Series</v>
      </c>
      <c r="AP6" s="126">
        <f>IF($AN6=0,0,N(INDEX('Universes &amp; Series'!$D$1:$D$24,$AN6)))</f>
        <v>0</v>
      </c>
      <c r="AQ6" s="126">
        <f>IF($AN6=0,0,N(INDEX('Universes &amp; Series'!$E$1:$E$24,$AN6)))</f>
        <v>1</v>
      </c>
      <c r="AR6" s="126">
        <f>IF($AN6=0,0,MAX(0,N(INDEX('Universes &amp; Series'!$C$1:$C$24,$AN6))-N(INDEX('Universes &amp; Series'!$D$1:$D$24,$AN6))-N(INDEX('Universes &amp; Series'!$E$1:$E$24,$AN6))))</f>
        <v>3</v>
      </c>
      <c r="AS6" s="126">
        <f>IF($AN6=0,0,SUMIF('My Books'!$E$5:$E$24,$AO6,'My Books'!$G$5:$G$24))</f>
        <v>150000</v>
      </c>
      <c r="AT6" s="126">
        <f>IF($AN6=0,0,N(INDEX('Universes &amp; Series'!$F$1:$F$24,$AN6)))</f>
        <v>0</v>
      </c>
      <c r="AV6" s="125" t="str">
        <f>"Year "&amp;(YEAR(Config!$A$2)+1)</f>
        <v>Year 2027</v>
      </c>
      <c r="AW6" s="126">
        <f>SUMIF('My Books'!$A$5:$A$24,YEAR(Config!$A$2)+1,'My Books'!$G$5:$G$24)</f>
        <v>350000</v>
      </c>
      <c r="AX6" s="126">
        <f>SUMIFS('Daily Writing Log'!$H$5:$H$34,'Daily Writing Log'!$A$5:$A$34,"&gt;="&amp;DATE(YEAR(Config!$A$2)+1,1,1),'Daily Writing Log'!$A$5:$A$34,"&lt;="&amp;DATE(YEAR(Config!$A$2)+1,12,31))</f>
        <v>0</v>
      </c>
      <c r="AY6" s="126">
        <f>Config!$B$7</f>
        <v>730000</v>
      </c>
      <c r="AZ6" s="125">
        <f>IF(ISNUMBER('Daily Writing Log'!$A6),WEEKDAY('Daily Writing Log'!$A6,2),0)</f>
        <v>0</v>
      </c>
      <c r="BA6" s="142" t="inlineStr">
        <is>
          <t>TIME-* (Timeline/Routes)</t>
        </is>
      </c>
      <c r="BB6" s="143">
        <f>SUM('Continuity &amp; Compilers'!$F$10:$F$29)</f>
        <v>0</v>
      </c>
      <c r="BC6" s="143">
        <f>COUNTIF('Continuity &amp; Compilers'!$D$10:$D$29,"&gt;0")</f>
        <v>6</v>
      </c>
    </row>
    <row r="7">
      <c r="A7" s="120" t="str">
        <f>A6+1</f>
        <v>2024-10-19 00:00:00</v>
      </c>
      <c r="B7" s="121">
        <f>SUMIFS('Daily Writing Log'!$H$5:$H$34,'Daily Writing Log'!$A$5:$A$34,$A7)</f>
        <v>0</v>
      </c>
      <c r="C7" s="121">
        <f>SUMIFS('Daily Writing Log'!$I$5:$I$34,'Daily Writing Log'!$A$5:$A$34,$A7)</f>
        <v>0</v>
      </c>
      <c r="D7" s="122">
        <f>IF($C7&gt;=Config!$B$5,1,0)</f>
        <v>0</v>
      </c>
      <c r="E7" s="122">
        <f>IF(MONTH($A7)&lt;&gt;MONTH($A6),0,$G6)</f>
        <v>0</v>
      </c>
      <c r="F7" s="122">
        <f>IF(AND($D7=0,$H6&gt;0,$E7&lt;Config!$B$8,$A7&lt;Config!$A$2),1,0)</f>
        <v>0</v>
      </c>
      <c r="G7" s="122">
        <f>$E7+$F7</f>
        <v>0</v>
      </c>
      <c r="H7" s="122">
        <f>IF($D7=1,$H6+1,IF($F7=1,$H6,IF($A7=Config!$A$2,$H6,0)))</f>
        <v>0</v>
      </c>
      <c r="J7" s="120" t="str">
        <f>J6+1</f>
        <v>2026-09-19 00:00:00</v>
      </c>
      <c r="K7" s="121">
        <f>SUMIFS('Daily Writing Log'!$H$5:$H$34,'Daily Writing Log'!$A$5:$A$34,$J7)</f>
        <v>0</v>
      </c>
      <c r="M7" s="123">
        <f>IF('My Books'!$B7="","",IF(OR('My Books'!$F7=Config!$F$14,AND(N('My Books'!$G7)&gt;0,N('My Books'!$Q7)&gt;=N('My Books'!$G7))),"",IF(ISNUMBER('My Books'!$L7),'My Books'!$L7,99999)+ROW()/100000))</f>
        <v>46874.00007</v>
      </c>
      <c r="O7" s="122" t="n">
        <v>3</v>
      </c>
      <c r="P7" s="122">
        <f>IF(COUNT($M$5:$M$24)&lt;$O7,0,MATCH(SMALL($M$5:$M$24,$O7),$M$5:$M$24,0)+4)</f>
        <v>7</v>
      </c>
      <c r="R7" s="124" t="inlineStr">
        <is>
          <t>Year-to-Date (words)</t>
        </is>
      </c>
      <c r="S7" s="121">
        <f>SUMIFS('Daily Writing Log'!$H$5:$H$34,'Daily Writing Log'!$A$5:$A$34,"&gt;="&amp;DATE(YEAR(Config!$A$2),1,1),'Daily Writing Log'!$A$5:$A$34,"&lt;="&amp;Config!$A$2)</f>
        <v>0</v>
      </c>
      <c r="U7" s="125" t="str">
        <f>IF($P7=0,"",INDEX('My Books'!$B$1:$B$24,$P7))</f>
        <v>Quest Fantasy 1</v>
      </c>
      <c r="V7" s="126">
        <f>IF($P7=0,0,N(INDEX('My Books'!$Q$1:$Q$24,$P7)))</f>
        <v>0</v>
      </c>
      <c r="W7" s="126">
        <f>IF($P7=0,0,MAX(0,N(INDEX('My Books'!$G$1:$G$24,$P7))-N(INDEX('My Books'!$Q$1:$Q$24,$P7))))</f>
        <v>200000</v>
      </c>
      <c r="X7" s="126">
        <f>IF($P7=0,0,N(INDEX('My Books'!$N$1:$N$24,$P7)))</f>
        <v>1653</v>
      </c>
      <c r="Y7" s="126">
        <f>IF($P7=0,0,N(INDEX('My Books'!$O$1:$O$24,$P7)))</f>
        <v>0</v>
      </c>
      <c r="Z7" s="126">
        <f>IF($P7=0,0,N(INDEX('My Books'!$H$1:$H$24,$P7)))</f>
        <v>0</v>
      </c>
      <c r="AB7" s="125">
        <f>IF('My Books'!$B7="","",ROW())</f>
        <v>7</v>
      </c>
      <c r="AC7" s="126" t="n">
        <v>3</v>
      </c>
      <c r="AD7" s="126">
        <f>IF(COUNT($AB$5:$AB$24)&lt;$AC7,0,MATCH(SMALL($AB$5:$AB$24,$AC7),$AB$5:$AB$24,0)+4)</f>
        <v>7</v>
      </c>
      <c r="AE7" s="125" t="str">
        <f>IF($AD7=0,"",INDEX('My Books'!$B$1:$B$24,$AD7))</f>
        <v>Quest Fantasy 1</v>
      </c>
      <c r="AF7" s="126">
        <f>IF($AD7=0,0,N(INDEX('My Books'!$G$1:$G$24,$AD7)))</f>
        <v>200000</v>
      </c>
      <c r="AG7" s="126">
        <f>IF($AD7=0,0,N(INDEX('My Books'!$H$1:$H$24,$AD7)))</f>
        <v>0</v>
      </c>
      <c r="AH7" s="126">
        <f>IF($AD7=0,0,N(INDEX('My Books'!$Q$1:$Q$24,$AD7)))</f>
        <v>0</v>
      </c>
      <c r="AI7" s="126">
        <f>IF($AD7=0,0,N(INDEX('My Books'!$N$1:$N$24,$AD7)))</f>
        <v>1653</v>
      </c>
      <c r="AJ7" s="126">
        <f>IF($AD7=0,0,N(INDEX('My Books'!$O$1:$O$24,$AD7)))</f>
        <v>0</v>
      </c>
      <c r="AL7" s="125">
        <f>IF('Universes &amp; Series'!$A7="","",ROW())</f>
        <v>7</v>
      </c>
      <c r="AM7" s="126" t="n">
        <v>3</v>
      </c>
      <c r="AN7" s="126">
        <f>IF(COUNT($AL$5:$AL$24)&lt;$AM7,0,MATCH(SMALL($AL$5:$AL$24,$AM7),$AL$5:$AL$24,0)+4)</f>
        <v>7</v>
      </c>
      <c r="AO7" s="125" t="str">
        <f>IF($AN7=0,"",INDEX('Universes &amp; Series'!$A$1:$A$24,$AN7))</f>
        <v>Classic Quest Fantasy</v>
      </c>
      <c r="AP7" s="126">
        <f>IF($AN7=0,0,N(INDEX('Universes &amp; Series'!$D$1:$D$24,$AN7)))</f>
        <v>0</v>
      </c>
      <c r="AQ7" s="126">
        <f>IF($AN7=0,0,N(INDEX('Universes &amp; Series'!$E$1:$E$24,$AN7)))</f>
        <v>1</v>
      </c>
      <c r="AR7" s="126">
        <f>IF($AN7=0,0,MAX(0,N(INDEX('Universes &amp; Series'!$C$1:$C$24,$AN7))-N(INDEX('Universes &amp; Series'!$D$1:$D$24,$AN7))-N(INDEX('Universes &amp; Series'!$E$1:$E$24,$AN7))))</f>
        <v>2</v>
      </c>
      <c r="AS7" s="126">
        <f>IF($AN7=0,0,SUMIF('My Books'!$E$5:$E$24,$AO7,'My Books'!$G$5:$G$24))</f>
        <v>200000</v>
      </c>
      <c r="AT7" s="126">
        <f>IF($AN7=0,0,N(INDEX('Universes &amp; Series'!$F$1:$F$24,$AN7)))</f>
        <v>0</v>
      </c>
      <c r="AV7" s="125" t="str">
        <f>"Year "&amp;(YEAR(Config!$A$2)+2)</f>
        <v>Year 2028</v>
      </c>
      <c r="AW7" s="126">
        <f>SUMIF('My Books'!$A$5:$A$24,YEAR(Config!$A$2)+2,'My Books'!$G$5:$G$24)</f>
        <v>550000</v>
      </c>
      <c r="AX7" s="126">
        <f>SUMIFS('Daily Writing Log'!$H$5:$H$34,'Daily Writing Log'!$A$5:$A$34,"&gt;="&amp;DATE(YEAR(Config!$A$2)+2,1,1),'Daily Writing Log'!$A$5:$A$34,"&lt;="&amp;DATE(YEAR(Config!$A$2)+2,12,31))</f>
        <v>0</v>
      </c>
      <c r="AY7" s="126">
        <f>Config!$B$7</f>
        <v>730000</v>
      </c>
      <c r="AZ7" s="125">
        <f>IF(ISNUMBER('Daily Writing Log'!$A7),WEEKDAY('Daily Writing Log'!$A7,2),0)</f>
        <v>0</v>
      </c>
      <c r="BA7" s="142" t="inlineStr">
        <is>
          <t>CON-* (Conlang Linter)</t>
        </is>
      </c>
      <c r="BB7" s="143">
        <f>SUM('Continuity &amp; Compilers'!$G$10:$G$29)</f>
        <v>0</v>
      </c>
      <c r="BC7" s="143">
        <f>COUNTIF('Continuity &amp; Compilers'!$D$10:$D$29,"&gt;0")</f>
        <v>6</v>
      </c>
    </row>
    <row r="8">
      <c r="A8" s="120" t="str">
        <f>A7+1</f>
        <v>2024-10-20 00:00:00</v>
      </c>
      <c r="B8" s="121">
        <f>SUMIFS('Daily Writing Log'!$H$5:$H$34,'Daily Writing Log'!$A$5:$A$34,$A8)</f>
        <v>0</v>
      </c>
      <c r="C8" s="121">
        <f>SUMIFS('Daily Writing Log'!$I$5:$I$34,'Daily Writing Log'!$A$5:$A$34,$A8)</f>
        <v>0</v>
      </c>
      <c r="D8" s="122">
        <f>IF($C8&gt;=Config!$B$5,1,0)</f>
        <v>0</v>
      </c>
      <c r="E8" s="122">
        <f>IF(MONTH($A8)&lt;&gt;MONTH($A7),0,$G7)</f>
        <v>0</v>
      </c>
      <c r="F8" s="122">
        <f>IF(AND($D8=0,$H7&gt;0,$E8&lt;Config!$B$8,$A8&lt;Config!$A$2),1,0)</f>
        <v>0</v>
      </c>
      <c r="G8" s="122">
        <f>$E8+$F8</f>
        <v>0</v>
      </c>
      <c r="H8" s="122">
        <f>IF($D8=1,$H7+1,IF($F8=1,$H7,IF($A8=Config!$A$2,$H7,0)))</f>
        <v>0</v>
      </c>
      <c r="J8" s="120" t="str">
        <f>J7+1</f>
        <v>2026-09-20 00:00:00</v>
      </c>
      <c r="K8" s="121">
        <f>SUMIFS('Daily Writing Log'!$H$5:$H$34,'Daily Writing Log'!$A$5:$A$34,$J8)</f>
        <v>0</v>
      </c>
      <c r="M8" s="123">
        <f>IF('My Books'!$B8="","",IF(OR('My Books'!$F8=Config!$F$14,AND(N('My Books'!$G8)&gt;0,N('My Books'!$Q8)&gt;=N('My Books'!$G8))),"",IF(ISNUMBER('My Books'!$L8),'My Books'!$L8,99999)+ROW()/100000))</f>
        <v>46997.00008</v>
      </c>
      <c r="O8" s="122" t="n">
        <v>4</v>
      </c>
      <c r="P8" s="122">
        <f>IF(COUNT($M$5:$M$24)&lt;$O8,0,MATCH(SMALL($M$5:$M$24,$O8),$M$5:$M$24,0)+4)</f>
        <v>8</v>
      </c>
      <c r="R8" s="124" t="inlineStr">
        <is>
          <t>Current Streak (days)</t>
        </is>
      </c>
      <c r="S8" s="122">
        <f>$H$734</f>
        <v>0</v>
      </c>
      <c r="U8" s="125" t="str">
        <f>IF($P8=0,"",INDEX('My Books'!$B$1:$B$24,$P8))</f>
        <v>Ruler of Sand Sea</v>
      </c>
      <c r="V8" s="126">
        <f>IF($P8=0,0,N(INDEX('My Books'!$Q$1:$Q$24,$P8)))</f>
        <v>0</v>
      </c>
      <c r="W8" s="126">
        <f>IF($P8=0,0,MAX(0,N(INDEX('My Books'!$G$1:$G$24,$P8))-N(INDEX('My Books'!$Q$1:$Q$24,$P8))))</f>
        <v>200000</v>
      </c>
      <c r="X8" s="126">
        <f>IF($P8=0,0,N(INDEX('My Books'!$N$1:$N$24,$P8)))</f>
        <v>1627</v>
      </c>
      <c r="Y8" s="126">
        <f>IF($P8=0,0,N(INDEX('My Books'!$O$1:$O$24,$P8)))</f>
        <v>0</v>
      </c>
      <c r="Z8" s="126">
        <f>IF($P8=0,0,N(INDEX('My Books'!$H$1:$H$24,$P8)))</f>
        <v>0</v>
      </c>
      <c r="AB8" s="125">
        <f>IF('My Books'!$B8="","",ROW())</f>
        <v>8</v>
      </c>
      <c r="AC8" s="126" t="n">
        <v>4</v>
      </c>
      <c r="AD8" s="126">
        <f>IF(COUNT($AB$5:$AB$24)&lt;$AC8,0,MATCH(SMALL($AB$5:$AB$24,$AC8),$AB$5:$AB$24,0)+4)</f>
        <v>8</v>
      </c>
      <c r="AE8" s="125" t="str">
        <f>IF($AD8=0,"",INDEX('My Books'!$B$1:$B$24,$AD8))</f>
        <v>Ruler of Sand Sea</v>
      </c>
      <c r="AF8" s="126">
        <f>IF($AD8=0,0,N(INDEX('My Books'!$G$1:$G$24,$AD8)))</f>
        <v>200000</v>
      </c>
      <c r="AG8" s="126">
        <f>IF($AD8=0,0,N(INDEX('My Books'!$H$1:$H$24,$AD8)))</f>
        <v>0</v>
      </c>
      <c r="AH8" s="126">
        <f>IF($AD8=0,0,N(INDEX('My Books'!$Q$1:$Q$24,$AD8)))</f>
        <v>0</v>
      </c>
      <c r="AI8" s="126">
        <f>IF($AD8=0,0,N(INDEX('My Books'!$N$1:$N$24,$AD8)))</f>
        <v>1627</v>
      </c>
      <c r="AJ8" s="126">
        <f>IF($AD8=0,0,N(INDEX('My Books'!$O$1:$O$24,$AD8)))</f>
        <v>0</v>
      </c>
      <c r="AL8" s="125">
        <f>IF('Universes &amp; Series'!$A8="","",ROW())</f>
        <v>8</v>
      </c>
      <c r="AM8" s="126" t="n">
        <v>4</v>
      </c>
      <c r="AN8" s="126">
        <f>IF(COUNT($AL$5:$AL$24)&lt;$AM8,0,MATCH(SMALL($AL$5:$AL$24,$AM8),$AL$5:$AL$24,0)+4)</f>
        <v>8</v>
      </c>
      <c r="AO8" s="125" t="str">
        <f>IF($AN8=0,"",INDEX('Universes &amp; Series'!$A$1:$A$24,$AN8))</f>
        <v>Stormbreaker Chronicles</v>
      </c>
      <c r="AP8" s="126">
        <f>IF($AN8=0,0,N(INDEX('Universes &amp; Series'!$D$1:$D$24,$AN8)))</f>
        <v>0</v>
      </c>
      <c r="AQ8" s="126">
        <f>IF($AN8=0,0,N(INDEX('Universes &amp; Series'!$E$1:$E$24,$AN8)))</f>
        <v>1</v>
      </c>
      <c r="AR8" s="126">
        <f>IF($AN8=0,0,MAX(0,N(INDEX('Universes &amp; Series'!$C$1:$C$24,$AN8))-N(INDEX('Universes &amp; Series'!$D$1:$D$24,$AN8))-N(INDEX('Universes &amp; Series'!$E$1:$E$24,$AN8))))</f>
        <v>7</v>
      </c>
      <c r="AS8" s="126">
        <f>IF($AN8=0,0,SUMIF('My Books'!$E$5:$E$24,$AO8,'My Books'!$G$5:$G$24))</f>
        <v>150000</v>
      </c>
      <c r="AT8" s="126">
        <f>IF($AN8=0,0,N(INDEX('Universes &amp; Series'!$F$1:$F$24,$AN8)))</f>
        <v>0</v>
      </c>
      <c r="AV8" s="125" t="str">
        <f>"Year "&amp;(YEAR(Config!$A$2)+3)</f>
        <v>Year 2029</v>
      </c>
      <c r="AW8" s="126">
        <f>SUMIF('My Books'!$A$5:$A$24,YEAR(Config!$A$2)+3,'My Books'!$G$5:$G$24)</f>
        <v>0</v>
      </c>
      <c r="AX8" s="126">
        <f>SUMIFS('Daily Writing Log'!$H$5:$H$34,'Daily Writing Log'!$A$5:$A$34,"&gt;="&amp;DATE(YEAR(Config!$A$2)+3,1,1),'Daily Writing Log'!$A$5:$A$34,"&lt;="&amp;DATE(YEAR(Config!$A$2)+3,12,31))</f>
        <v>0</v>
      </c>
      <c r="AY8" s="126">
        <f>Config!$B$7</f>
        <v>730000</v>
      </c>
      <c r="AZ8" s="125">
        <f>IF(ISNUMBER('Daily Writing Log'!$A8),WEEKDAY('Daily Writing Log'!$A8,2),0)</f>
        <v>0</v>
      </c>
      <c r="BA8" s="142" t="inlineStr">
        <is>
          <t>LED-* (Resource Ledger)</t>
        </is>
      </c>
      <c r="BB8" s="143">
        <f>SUM('Continuity &amp; Compilers'!$H$10:$H$29)</f>
        <v>0</v>
      </c>
      <c r="BC8" s="143">
        <f>COUNTIF('Continuity &amp; Compilers'!$D$10:$D$29,"&gt;0")</f>
        <v>6</v>
      </c>
    </row>
    <row r="9">
      <c r="A9" s="120" t="str">
        <f>A8+1</f>
        <v>2024-10-21 00:00:00</v>
      </c>
      <c r="B9" s="121">
        <f>SUMIFS('Daily Writing Log'!$H$5:$H$34,'Daily Writing Log'!$A$5:$A$34,$A9)</f>
        <v>0</v>
      </c>
      <c r="C9" s="121">
        <f>SUMIFS('Daily Writing Log'!$I$5:$I$34,'Daily Writing Log'!$A$5:$A$34,$A9)</f>
        <v>0</v>
      </c>
      <c r="D9" s="122">
        <f>IF($C9&gt;=Config!$B$5,1,0)</f>
        <v>0</v>
      </c>
      <c r="E9" s="122">
        <f>IF(MONTH($A9)&lt;&gt;MONTH($A8),0,$G8)</f>
        <v>0</v>
      </c>
      <c r="F9" s="122">
        <f>IF(AND($D9=0,$H8&gt;0,$E9&lt;Config!$B$8,$A9&lt;Config!$A$2),1,0)</f>
        <v>0</v>
      </c>
      <c r="G9" s="122">
        <f>$E9+$F9</f>
        <v>0</v>
      </c>
      <c r="H9" s="122">
        <f>IF($D9=1,$H8+1,IF($F9=1,$H8,IF($A9=Config!$A$2,$H8,0)))</f>
        <v>0</v>
      </c>
      <c r="J9" s="120" t="str">
        <f>J8+1</f>
        <v>2026-09-21 00:00:00</v>
      </c>
      <c r="K9" s="121">
        <f>SUMIFS('Daily Writing Log'!$H$5:$H$34,'Daily Writing Log'!$A$5:$A$34,$J9)</f>
        <v>0</v>
      </c>
      <c r="M9" s="123">
        <f>IF('My Books'!$B9="","",IF(OR('My Books'!$F9=Config!$F$14,AND(N('My Books'!$G9)&gt;0,N('My Books'!$Q9)&gt;=N('My Books'!$G9))),"",IF(ISNUMBER('My Books'!$L9),'My Books'!$L9,99999)+ROW()/100000))</f>
        <v>47119.00009</v>
      </c>
      <c r="O9" s="122" t="n">
        <v>5</v>
      </c>
      <c r="P9" s="122">
        <f>IF(COUNT($M$5:$M$24)&lt;$O9,0,MATCH(SMALL($M$5:$M$24,$O9),$M$5:$M$24,0)+4)</f>
        <v>9</v>
      </c>
      <c r="R9" s="124" t="inlineStr">
        <is>
          <t>Best Streak (last 730d)</t>
        </is>
      </c>
      <c r="S9" s="122">
        <f>MAX($H$5:$H$734)</f>
        <v>0</v>
      </c>
      <c r="U9" s="125" t="str">
        <f>IF($P9=0,"",INDEX('My Books'!$B$1:$B$24,$P9))</f>
        <v>Company of the Storm</v>
      </c>
      <c r="V9" s="126">
        <f>IF($P9=0,0,N(INDEX('My Books'!$Q$1:$Q$24,$P9)))</f>
        <v>0</v>
      </c>
      <c r="W9" s="126">
        <f>IF($P9=0,0,MAX(0,N(INDEX('My Books'!$G$1:$G$24,$P9))-N(INDEX('My Books'!$Q$1:$Q$24,$P9))))</f>
        <v>150000</v>
      </c>
      <c r="X9" s="126">
        <f>IF($P9=0,0,N(INDEX('My Books'!$N$1:$N$24,$P9)))</f>
        <v>1230</v>
      </c>
      <c r="Y9" s="126">
        <f>IF($P9=0,0,N(INDEX('My Books'!$O$1:$O$24,$P9)))</f>
        <v>0</v>
      </c>
      <c r="Z9" s="126">
        <f>IF($P9=0,0,N(INDEX('My Books'!$H$1:$H$24,$P9)))</f>
        <v>0</v>
      </c>
      <c r="AB9" s="125">
        <f>IF('My Books'!$B9="","",ROW())</f>
        <v>9</v>
      </c>
      <c r="AC9" s="126" t="n">
        <v>5</v>
      </c>
      <c r="AD9" s="126">
        <f>IF(COUNT($AB$5:$AB$24)&lt;$AC9,0,MATCH(SMALL($AB$5:$AB$24,$AC9),$AB$5:$AB$24,0)+4)</f>
        <v>9</v>
      </c>
      <c r="AE9" s="125" t="str">
        <f>IF($AD9=0,"",INDEX('My Books'!$B$1:$B$24,$AD9))</f>
        <v>Company of the Storm</v>
      </c>
      <c r="AF9" s="126">
        <f>IF($AD9=0,0,N(INDEX('My Books'!$G$1:$G$24,$AD9)))</f>
        <v>150000</v>
      </c>
      <c r="AG9" s="126">
        <f>IF($AD9=0,0,N(INDEX('My Books'!$H$1:$H$24,$AD9)))</f>
        <v>0</v>
      </c>
      <c r="AH9" s="126">
        <f>IF($AD9=0,0,N(INDEX('My Books'!$Q$1:$Q$24,$AD9)))</f>
        <v>0</v>
      </c>
      <c r="AI9" s="126">
        <f>IF($AD9=0,0,N(INDEX('My Books'!$N$1:$N$24,$AD9)))</f>
        <v>1230</v>
      </c>
      <c r="AJ9" s="126">
        <f>IF($AD9=0,0,N(INDEX('My Books'!$O$1:$O$24,$AD9)))</f>
        <v>0</v>
      </c>
      <c r="AL9" s="125">
        <f>IF('Universes &amp; Series'!$A9="","",ROW())</f>
        <v>9</v>
      </c>
      <c r="AM9" s="126" t="n">
        <v>5</v>
      </c>
      <c r="AN9" s="126">
        <f>IF(COUNT($AL$5:$AL$24)&lt;$AM9,0,MATCH(SMALL($AL$5:$AL$24,$AM9),$AL$5:$AL$24,0)+4)</f>
        <v>9</v>
      </c>
      <c r="AO9" s="125" t="str">
        <f>IF($AN9=0,"",INDEX('Universes &amp; Series'!$A$1:$A$24,$AN9))</f>
        <v>The Silver Chronicles</v>
      </c>
      <c r="AP9" s="126">
        <f>IF($AN9=0,0,N(INDEX('Universes &amp; Series'!$D$1:$D$24,$AN9)))</f>
        <v>0</v>
      </c>
      <c r="AQ9" s="126">
        <f>IF($AN9=0,0,N(INDEX('Universes &amp; Series'!$E$1:$E$24,$AN9)))</f>
        <v>1</v>
      </c>
      <c r="AR9" s="126">
        <f>IF($AN9=0,0,MAX(0,N(INDEX('Universes &amp; Series'!$C$1:$C$24,$AN9))-N(INDEX('Universes &amp; Series'!$D$1:$D$24,$AN9))-N(INDEX('Universes &amp; Series'!$E$1:$E$24,$AN9))))</f>
        <v>0</v>
      </c>
      <c r="AS9" s="126">
        <f>IF($AN9=0,0,SUMIF('My Books'!$E$5:$E$24,$AO9,'My Books'!$G$5:$G$24))</f>
        <v>120000</v>
      </c>
      <c r="AT9" s="126">
        <f>IF($AN9=0,0,N(INDEX('Universes &amp; Series'!$F$1:$F$24,$AN9)))</f>
        <v>4800</v>
      </c>
      <c r="AV9" s="125" t="str">
        <f>"Year "&amp;(YEAR(Config!$A$2)+4)</f>
        <v>Year 2030</v>
      </c>
      <c r="AW9" s="126">
        <f>SUMIF('My Books'!$A$5:$A$24,YEAR(Config!$A$2)+4,'My Books'!$G$5:$G$24)</f>
        <v>0</v>
      </c>
      <c r="AX9" s="126">
        <f>SUMIFS('Daily Writing Log'!$H$5:$H$34,'Daily Writing Log'!$A$5:$A$34,"&gt;="&amp;DATE(YEAR(Config!$A$2)+4,1,1),'Daily Writing Log'!$A$5:$A$34,"&lt;="&amp;DATE(YEAR(Config!$A$2)+4,12,31))</f>
        <v>0</v>
      </c>
      <c r="AY9" s="126">
        <f>Config!$B$7</f>
        <v>730000</v>
      </c>
      <c r="AZ9" s="125">
        <f>IF(ISNUMBER('Daily Writing Log'!$A9),WEEKDAY('Daily Writing Log'!$A9,2),0)</f>
        <v>0</v>
      </c>
      <c r="BA9" s="142" t="inlineStr">
        <is>
          <t>BRD-* (POV Droughts)</t>
        </is>
      </c>
      <c r="BB9" s="143">
        <f>SUM('Continuity &amp; Compilers'!$I$10:$I$29)</f>
        <v>0</v>
      </c>
      <c r="BC9" s="143">
        <f>COUNTIF('Continuity &amp; Compilers'!$D$10:$D$29,"&gt;0")</f>
        <v>6</v>
      </c>
    </row>
    <row r="10">
      <c r="A10" s="120" t="str">
        <f>A9+1</f>
        <v>2024-10-22 00:00:00</v>
      </c>
      <c r="B10" s="121">
        <f>SUMIFS('Daily Writing Log'!$H$5:$H$34,'Daily Writing Log'!$A$5:$A$34,$A10)</f>
        <v>0</v>
      </c>
      <c r="C10" s="121">
        <f>SUMIFS('Daily Writing Log'!$I$5:$I$34,'Daily Writing Log'!$A$5:$A$34,$A10)</f>
        <v>0</v>
      </c>
      <c r="D10" s="122">
        <f>IF($C10&gt;=Config!$B$5,1,0)</f>
        <v>0</v>
      </c>
      <c r="E10" s="122">
        <f>IF(MONTH($A10)&lt;&gt;MONTH($A9),0,$G9)</f>
        <v>0</v>
      </c>
      <c r="F10" s="122">
        <f>IF(AND($D10=0,$H9&gt;0,$E10&lt;Config!$B$8,$A10&lt;Config!$A$2),1,0)</f>
        <v>0</v>
      </c>
      <c r="G10" s="122">
        <f>$E10+$F10</f>
        <v>0</v>
      </c>
      <c r="H10" s="122">
        <f>IF($D10=1,$H9+1,IF($F10=1,$H9,IF($A10=Config!$A$2,$H9,0)))</f>
        <v>0</v>
      </c>
      <c r="J10" s="120" t="str">
        <f>J9+1</f>
        <v>2026-09-22 00:00:00</v>
      </c>
      <c r="K10" s="121">
        <f>SUMIFS('Daily Writing Log'!$H$5:$H$34,'Daily Writing Log'!$A$5:$A$34,$J10)</f>
        <v>0</v>
      </c>
      <c r="M10" s="123">
        <f>IF('My Books'!$B10="","",IF(OR('My Books'!$F10=Config!$F$14,AND(N('My Books'!$G10)&gt;0,N('My Books'!$Q10)&gt;=N('My Books'!$G10))),"",IF(ISNUMBER('My Books'!$L10),'My Books'!$L10,99999)+ROW()/100000))</f>
        <v>99999.0001</v>
      </c>
      <c r="O10" s="122" t="n">
        <v>6</v>
      </c>
      <c r="P10" s="122">
        <f>IF(COUNT($M$5:$M$24)&lt;$O10,0,MATCH(SMALL($M$5:$M$24,$O10),$M$5:$M$24,0)+4)</f>
        <v>10</v>
      </c>
      <c r="R10" s="124" t="inlineStr">
        <is>
          <t>Grace Days Left This Month</t>
        </is>
      </c>
      <c r="S10" s="122">
        <f>MAX(0,Config!$B$8-$G$734)</f>
        <v>3</v>
      </c>
      <c r="U10" s="125" t="str">
        <f>IF($P10=0,"",INDEX('My Books'!$B$1:$B$24,$P10))</f>
        <v>The Silver Chronicles</v>
      </c>
      <c r="V10" s="126">
        <f>IF($P10=0,0,N(INDEX('My Books'!$Q$1:$Q$24,$P10)))</f>
        <v>1900</v>
      </c>
      <c r="W10" s="126">
        <f>IF($P10=0,0,MAX(0,N(INDEX('My Books'!$G$1:$G$24,$P10))-N(INDEX('My Books'!$Q$1:$Q$24,$P10))))</f>
        <v>118100</v>
      </c>
      <c r="X10" s="126">
        <f>IF($P10=0,0,N(INDEX('My Books'!$N$1:$N$24,$P10)))</f>
        <v>0</v>
      </c>
      <c r="Y10" s="126">
        <f>IF($P10=0,0,N(INDEX('My Books'!$O$1:$O$24,$P10)))</f>
        <v>0</v>
      </c>
      <c r="Z10" s="126">
        <f>IF($P10=0,0,N(INDEX('My Books'!$H$1:$H$24,$P10)))</f>
        <v>4800</v>
      </c>
      <c r="AB10" s="125">
        <f>IF('My Books'!$B10="","",ROW())</f>
        <v>10</v>
      </c>
      <c r="AC10" s="126" t="n">
        <v>6</v>
      </c>
      <c r="AD10" s="126">
        <f>IF(COUNT($AB$5:$AB$24)&lt;$AC10,0,MATCH(SMALL($AB$5:$AB$24,$AC10),$AB$5:$AB$24,0)+4)</f>
        <v>10</v>
      </c>
      <c r="AE10" s="125" t="str">
        <f>IF($AD10=0,"",INDEX('My Books'!$B$1:$B$24,$AD10))</f>
        <v>The Silver Chronicles</v>
      </c>
      <c r="AF10" s="126">
        <f>IF($AD10=0,0,N(INDEX('My Books'!$G$1:$G$24,$AD10)))</f>
        <v>120000</v>
      </c>
      <c r="AG10" s="126">
        <f>IF($AD10=0,0,N(INDEX('My Books'!$H$1:$H$24,$AD10)))</f>
        <v>4800</v>
      </c>
      <c r="AH10" s="126">
        <f>IF($AD10=0,0,N(INDEX('My Books'!$Q$1:$Q$24,$AD10)))</f>
        <v>1900</v>
      </c>
      <c r="AI10" s="126">
        <f>IF($AD10=0,0,N(INDEX('My Books'!$N$1:$N$24,$AD10)))</f>
        <v>0</v>
      </c>
      <c r="AJ10" s="126">
        <f>IF($AD10=0,0,N(INDEX('My Books'!$O$1:$O$24,$AD10)))</f>
        <v>0</v>
      </c>
      <c r="AL10" s="125">
        <f>IF('Universes &amp; Series'!$A10="","",ROW())</f>
        <v/>
      </c>
      <c r="AM10" s="126" t="n">
        <v>6</v>
      </c>
      <c r="AN10" s="126">
        <f>IF(COUNT($AL$5:$AL$24)&lt;$AM10,0,MATCH(SMALL($AL$5:$AL$24,$AM10),$AL$5:$AL$24,0)+4)</f>
        <v>0</v>
      </c>
      <c r="AO10" s="125">
        <f>IF($AN10=0,"",INDEX('Universes &amp; Series'!$A$1:$A$24,$AN10))</f>
        <v/>
      </c>
      <c r="AP10" s="126">
        <f>IF($AN10=0,0,N(INDEX('Universes &amp; Series'!$D$1:$D$24,$AN10)))</f>
        <v>0</v>
      </c>
      <c r="AQ10" s="126">
        <f>IF($AN10=0,0,N(INDEX('Universes &amp; Series'!$E$1:$E$24,$AN10)))</f>
        <v>0</v>
      </c>
      <c r="AR10" s="126">
        <f>IF($AN10=0,0,MAX(0,N(INDEX('Universes &amp; Series'!$C$1:$C$24,$AN10))-N(INDEX('Universes &amp; Series'!$D$1:$D$24,$AN10))-N(INDEX('Universes &amp; Series'!$E$1:$E$24,$AN10))))</f>
        <v>0</v>
      </c>
      <c r="AS10" s="126">
        <f>IF($AN10=0,0,SUMIF('My Books'!$E$5:$E$24,$AO10,'My Books'!$G$5:$G$24))</f>
        <v>0</v>
      </c>
      <c r="AT10" s="126">
        <f>IF($AN10=0,0,N(INDEX('Universes &amp; Series'!$F$1:$F$24,$AN10)))</f>
        <v>0</v>
      </c>
      <c r="AZ10" s="125">
        <f>IF(ISNUMBER('Daily Writing Log'!$A10),WEEKDAY('Daily Writing Log'!$A10,2),0)</f>
        <v>0</v>
      </c>
    </row>
    <row r="11">
      <c r="A11" s="120" t="str">
        <f>A10+1</f>
        <v>2024-10-23 00:00:00</v>
      </c>
      <c r="B11" s="121">
        <f>SUMIFS('Daily Writing Log'!$H$5:$H$34,'Daily Writing Log'!$A$5:$A$34,$A11)</f>
        <v>0</v>
      </c>
      <c r="C11" s="121">
        <f>SUMIFS('Daily Writing Log'!$I$5:$I$34,'Daily Writing Log'!$A$5:$A$34,$A11)</f>
        <v>0</v>
      </c>
      <c r="D11" s="122">
        <f>IF($C11&gt;=Config!$B$5,1,0)</f>
        <v>0</v>
      </c>
      <c r="E11" s="122">
        <f>IF(MONTH($A11)&lt;&gt;MONTH($A10),0,$G10)</f>
        <v>0</v>
      </c>
      <c r="F11" s="122">
        <f>IF(AND($D11=0,$H10&gt;0,$E11&lt;Config!$B$8,$A11&lt;Config!$A$2),1,0)</f>
        <v>0</v>
      </c>
      <c r="G11" s="122">
        <f>$E11+$F11</f>
        <v>0</v>
      </c>
      <c r="H11" s="122">
        <f>IF($D11=1,$H10+1,IF($F11=1,$H10,IF($A11=Config!$A$2,$H10,0)))</f>
        <v>0</v>
      </c>
      <c r="J11" s="120" t="str">
        <f>J10+1</f>
        <v>2026-09-23 00:00:00</v>
      </c>
      <c r="K11" s="121">
        <f>SUMIFS('Daily Writing Log'!$H$5:$H$34,'Daily Writing Log'!$A$5:$A$34,$J11)</f>
        <v>0</v>
      </c>
      <c r="M11" s="123">
        <f>IF('My Books'!$B11="","",IF(OR('My Books'!$F11=Config!$F$14,AND(N('My Books'!$G11)&gt;0,N('My Books'!$Q11)&gt;=N('My Books'!$G11))),"",IF(ISNUMBER('My Books'!$L11),'My Books'!$L11,99999)+ROW()/100000))</f>
        <v/>
      </c>
      <c r="O11" s="122" t="n">
        <v>7</v>
      </c>
      <c r="P11" s="122">
        <f>IF(COUNT($M$5:$M$24)&lt;$O11,0,MATCH(SMALL($M$5:$M$24,$O11),$M$5:$M$24,0)+4)</f>
        <v>0</v>
      </c>
      <c r="R11" s="124" t="inlineStr">
        <is>
          <t>30D Avg Words / Day</t>
        </is>
      </c>
      <c r="S11" s="121">
        <f>ROUND(SUM($K$5:$K$34)/30,0)</f>
        <v>0</v>
      </c>
      <c r="U11" s="125">
        <f>IF($P11=0,"",INDEX('My Books'!$B$1:$B$24,$P11))</f>
        <v/>
      </c>
      <c r="V11" s="126">
        <f>IF($P11=0,0,N(INDEX('My Books'!$Q$1:$Q$24,$P11)))</f>
        <v>0</v>
      </c>
      <c r="W11" s="126">
        <f>IF($P11=0,0,MAX(0,N(INDEX('My Books'!$G$1:$G$24,$P11))-N(INDEX('My Books'!$Q$1:$Q$24,$P11))))</f>
        <v>0</v>
      </c>
      <c r="X11" s="126">
        <f>IF($P11=0,0,N(INDEX('My Books'!$N$1:$N$24,$P11)))</f>
        <v>0</v>
      </c>
      <c r="Y11" s="126">
        <f>IF($P11=0,0,N(INDEX('My Books'!$O$1:$O$24,$P11)))</f>
        <v>0</v>
      </c>
      <c r="Z11" s="126">
        <f>IF($P11=0,0,N(INDEX('My Books'!$H$1:$H$24,$P11)))</f>
        <v>0</v>
      </c>
      <c r="AB11" s="125">
        <f>IF('My Books'!$B11="","",ROW())</f>
        <v/>
      </c>
      <c r="AC11" s="126" t="n">
        <v>7</v>
      </c>
      <c r="AD11" s="126">
        <f>IF(COUNT($AB$5:$AB$24)&lt;$AC11,0,MATCH(SMALL($AB$5:$AB$24,$AC11),$AB$5:$AB$24,0)+4)</f>
        <v>0</v>
      </c>
      <c r="AE11" s="125">
        <f>IF($AD11=0,"",INDEX('My Books'!$B$1:$B$24,$AD11))</f>
        <v/>
      </c>
      <c r="AF11" s="126">
        <f>IF($AD11=0,0,N(INDEX('My Books'!$G$1:$G$24,$AD11)))</f>
        <v>0</v>
      </c>
      <c r="AG11" s="126">
        <f>IF($AD11=0,0,N(INDEX('My Books'!$H$1:$H$24,$AD11)))</f>
        <v>0</v>
      </c>
      <c r="AH11" s="126">
        <f>IF($AD11=0,0,N(INDEX('My Books'!$Q$1:$Q$24,$AD11)))</f>
        <v>0</v>
      </c>
      <c r="AI11" s="126">
        <f>IF($AD11=0,0,N(INDEX('My Books'!$N$1:$N$24,$AD11)))</f>
        <v>0</v>
      </c>
      <c r="AJ11" s="126">
        <f>IF($AD11=0,0,N(INDEX('My Books'!$O$1:$O$24,$AD11)))</f>
        <v>0</v>
      </c>
      <c r="AL11" s="125">
        <f>IF('Universes &amp; Series'!$A11="","",ROW())</f>
        <v/>
      </c>
      <c r="AZ11" s="125">
        <f>IF(ISNUMBER('Daily Writing Log'!$A11),WEEKDAY('Daily Writing Log'!$A11,2),0)</f>
        <v>0</v>
      </c>
    </row>
    <row r="12">
      <c r="A12" s="120" t="str">
        <f>A11+1</f>
        <v>2024-10-24 00:00:00</v>
      </c>
      <c r="B12" s="121">
        <f>SUMIFS('Daily Writing Log'!$H$5:$H$34,'Daily Writing Log'!$A$5:$A$34,$A12)</f>
        <v>0</v>
      </c>
      <c r="C12" s="121">
        <f>SUMIFS('Daily Writing Log'!$I$5:$I$34,'Daily Writing Log'!$A$5:$A$34,$A12)</f>
        <v>0</v>
      </c>
      <c r="D12" s="122">
        <f>IF($C12&gt;=Config!$B$5,1,0)</f>
        <v>0</v>
      </c>
      <c r="E12" s="122">
        <f>IF(MONTH($A12)&lt;&gt;MONTH($A11),0,$G11)</f>
        <v>0</v>
      </c>
      <c r="F12" s="122">
        <f>IF(AND($D12=0,$H11&gt;0,$E12&lt;Config!$B$8,$A12&lt;Config!$A$2),1,0)</f>
        <v>0</v>
      </c>
      <c r="G12" s="122">
        <f>$E12+$F12</f>
        <v>0</v>
      </c>
      <c r="H12" s="122">
        <f>IF($D12=1,$H11+1,IF($F12=1,$H11,IF($A12=Config!$A$2,$H11,0)))</f>
        <v>0</v>
      </c>
      <c r="J12" s="120" t="str">
        <f>J11+1</f>
        <v>2026-09-24 00:00:00</v>
      </c>
      <c r="K12" s="121">
        <f>SUMIFS('Daily Writing Log'!$H$5:$H$34,'Daily Writing Log'!$A$5:$A$34,$J12)</f>
        <v>0</v>
      </c>
      <c r="M12" s="123">
        <f>IF('My Books'!$B12="","",IF(OR('My Books'!$F12=Config!$F$14,AND(N('My Books'!$G12)&gt;0,N('My Books'!$Q12)&gt;=N('My Books'!$G12))),"",IF(ISNUMBER('My Books'!$L12),'My Books'!$L12,99999)+ROW()/100000))</f>
        <v/>
      </c>
      <c r="O12" s="122" t="n">
        <v>8</v>
      </c>
      <c r="P12" s="122">
        <f>IF(COUNT($M$5:$M$24)&lt;$O12,0,MATCH(SMALL($M$5:$M$24,$O12),$M$5:$M$24,0)+4)</f>
        <v>0</v>
      </c>
      <c r="R12" t="inlineStr">
        <is>
          <t>Total Goal-Met Days (730d)</t>
        </is>
      </c>
      <c r="S12" s="60">
        <f>SUM($D$5:$D$734)</f>
        <v>0</v>
      </c>
      <c r="U12" s="125">
        <f>IF($P12=0,"",INDEX('My Books'!$B$1:$B$24,$P12))</f>
        <v/>
      </c>
      <c r="V12" s="126">
        <f>IF($P12=0,0,N(INDEX('My Books'!$Q$1:$Q$24,$P12)))</f>
        <v>0</v>
      </c>
      <c r="W12" s="126">
        <f>IF($P12=0,0,MAX(0,N(INDEX('My Books'!$G$1:$G$24,$P12))-N(INDEX('My Books'!$Q$1:$Q$24,$P12))))</f>
        <v>0</v>
      </c>
      <c r="X12" s="126">
        <f>IF($P12=0,0,N(INDEX('My Books'!$N$1:$N$24,$P12)))</f>
        <v>0</v>
      </c>
      <c r="Y12" s="126">
        <f>IF($P12=0,0,N(INDEX('My Books'!$O$1:$O$24,$P12)))</f>
        <v>0</v>
      </c>
      <c r="Z12" s="126">
        <f>IF($P12=0,0,N(INDEX('My Books'!$H$1:$H$24,$P12)))</f>
        <v>0</v>
      </c>
      <c r="AB12" s="125">
        <f>IF('My Books'!$B12="","",ROW())</f>
        <v/>
      </c>
      <c r="AC12" s="126" t="n">
        <v>8</v>
      </c>
      <c r="AD12" s="126">
        <f>IF(COUNT($AB$5:$AB$24)&lt;$AC12,0,MATCH(SMALL($AB$5:$AB$24,$AC12),$AB$5:$AB$24,0)+4)</f>
        <v>0</v>
      </c>
      <c r="AE12" s="125">
        <f>IF($AD12=0,"",INDEX('My Books'!$B$1:$B$24,$AD12))</f>
        <v/>
      </c>
      <c r="AF12" s="126">
        <f>IF($AD12=0,0,N(INDEX('My Books'!$G$1:$G$24,$AD12)))</f>
        <v>0</v>
      </c>
      <c r="AG12" s="126">
        <f>IF($AD12=0,0,N(INDEX('My Books'!$H$1:$H$24,$AD12)))</f>
        <v>0</v>
      </c>
      <c r="AH12" s="126">
        <f>IF($AD12=0,0,N(INDEX('My Books'!$Q$1:$Q$24,$AD12)))</f>
        <v>0</v>
      </c>
      <c r="AI12" s="126">
        <f>IF($AD12=0,0,N(INDEX('My Books'!$N$1:$N$24,$AD12)))</f>
        <v>0</v>
      </c>
      <c r="AJ12" s="126">
        <f>IF($AD12=0,0,N(INDEX('My Books'!$O$1:$O$24,$AD12)))</f>
        <v>0</v>
      </c>
      <c r="AL12" s="125">
        <f>IF('Universes &amp; Series'!$A12="","",ROW())</f>
        <v/>
      </c>
      <c r="AV12" s="119" t="inlineStr">
        <is>
          <t>Project Stage</t>
        </is>
      </c>
      <c r="AW12" s="119" t="inlineStr">
        <is>
          <t>Books in Stage</t>
        </is>
      </c>
      <c r="AX12" s="119" t="inlineStr">
        <is>
          <t>Target Words (k)</t>
        </is>
      </c>
      <c r="AZ12" s="125">
        <f>IF(ISNUMBER('Daily Writing Log'!$A12),WEEKDAY('Daily Writing Log'!$A12,2),0)</f>
        <v>0</v>
      </c>
      <c r="BA12" s="141" t="inlineStr">
        <is>
          <t>Cataloged Book</t>
        </is>
      </c>
      <c r="BB12" s="141" t="inlineStr">
        <is>
          <t>Indexed Vault Docs</t>
        </is>
      </c>
      <c r="BC12" s="141" t="inlineStr">
        <is>
          <t>Excised Scraps</t>
        </is>
      </c>
    </row>
    <row r="13">
      <c r="A13" s="120" t="str">
        <f>A12+1</f>
        <v>2024-10-25 00:00:00</v>
      </c>
      <c r="B13" s="121">
        <f>SUMIFS('Daily Writing Log'!$H$5:$H$34,'Daily Writing Log'!$A$5:$A$34,$A13)</f>
        <v>0</v>
      </c>
      <c r="C13" s="121">
        <f>SUMIFS('Daily Writing Log'!$I$5:$I$34,'Daily Writing Log'!$A$5:$A$34,$A13)</f>
        <v>0</v>
      </c>
      <c r="D13" s="122">
        <f>IF($C13&gt;=Config!$B$5,1,0)</f>
        <v>0</v>
      </c>
      <c r="E13" s="122">
        <f>IF(MONTH($A13)&lt;&gt;MONTH($A12),0,$G12)</f>
        <v>0</v>
      </c>
      <c r="F13" s="122">
        <f>IF(AND($D13=0,$H12&gt;0,$E13&lt;Config!$B$8,$A13&lt;Config!$A$2),1,0)</f>
        <v>0</v>
      </c>
      <c r="G13" s="122">
        <f>$E13+$F13</f>
        <v>0</v>
      </c>
      <c r="H13" s="122">
        <f>IF($D13=1,$H12+1,IF($F13=1,$H12,IF($A13=Config!$A$2,$H12,0)))</f>
        <v>0</v>
      </c>
      <c r="J13" s="120" t="str">
        <f>J12+1</f>
        <v>2026-09-25 00:00:00</v>
      </c>
      <c r="K13" s="121">
        <f>SUMIFS('Daily Writing Log'!$H$5:$H$34,'Daily Writing Log'!$A$5:$A$34,$J13)</f>
        <v>0</v>
      </c>
      <c r="M13" s="123">
        <f>IF('My Books'!$B13="","",IF(OR('My Books'!$F13=Config!$F$14,AND(N('My Books'!$G13)&gt;0,N('My Books'!$Q13)&gt;=N('My Books'!$G13))),"",IF(ISNUMBER('My Books'!$L13),'My Books'!$L13,99999)+ROW()/100000))</f>
        <v/>
      </c>
      <c r="R13" t="inlineStr">
        <is>
          <t>Total Career Effort Points</t>
        </is>
      </c>
      <c r="S13" s="60">
        <f>SUM('Daily Writing Log'!$I$5:$I$34)</f>
        <v>4200</v>
      </c>
      <c r="AB13" s="125">
        <f>IF('My Books'!$B13="","",ROW())</f>
        <v/>
      </c>
      <c r="AL13" s="125">
        <f>IF('Universes &amp; Series'!$A13="","",ROW())</f>
        <v/>
      </c>
      <c r="AV13" s="125" t="str">
        <f>Config!$F$5</f>
        <v>Concept</v>
      </c>
      <c r="AW13" s="126">
        <f>COUNTIF('My Books'!$F$5:$F$24,$AV13)</f>
        <v>5</v>
      </c>
      <c r="AX13" s="126">
        <f>ROUND(SUMIF('My Books'!$F$5:$F$24,$AV13,'My Books'!$G$5:$G$24)/1000,1)</f>
        <v>900</v>
      </c>
      <c r="AZ13" s="125">
        <f>IF(ISNUMBER('Daily Writing Log'!$A13),WEEKDAY('Daily Writing Log'!$A13,2),0)</f>
        <v>0</v>
      </c>
      <c r="BA13" s="142" t="str">
        <f>'Continuity &amp; Compilers'!$A$10</f>
        <v>Prisoner of Sand Sea</v>
      </c>
      <c r="BB13" s="143">
        <f>N('Continuity &amp; Compilers'!$D$10)</f>
        <v>3</v>
      </c>
      <c r="BC13" s="143">
        <f>N('Continuity &amp; Compilers'!$L$10)</f>
        <v>0</v>
      </c>
    </row>
    <row r="14">
      <c r="A14" s="120" t="str">
        <f>A13+1</f>
        <v>2024-10-26 00:00:00</v>
      </c>
      <c r="B14" s="121">
        <f>SUMIFS('Daily Writing Log'!$H$5:$H$34,'Daily Writing Log'!$A$5:$A$34,$A14)</f>
        <v>0</v>
      </c>
      <c r="C14" s="121">
        <f>SUMIFS('Daily Writing Log'!$I$5:$I$34,'Daily Writing Log'!$A$5:$A$34,$A14)</f>
        <v>0</v>
      </c>
      <c r="D14" s="122">
        <f>IF($C14&gt;=Config!$B$5,1,0)</f>
        <v>0</v>
      </c>
      <c r="E14" s="122">
        <f>IF(MONTH($A14)&lt;&gt;MONTH($A13),0,$G13)</f>
        <v>0</v>
      </c>
      <c r="F14" s="122">
        <f>IF(AND($D14=0,$H13&gt;0,$E14&lt;Config!$B$8,$A14&lt;Config!$A$2),1,0)</f>
        <v>0</v>
      </c>
      <c r="G14" s="122">
        <f>$E14+$F14</f>
        <v>0</v>
      </c>
      <c r="H14" s="122">
        <f>IF($D14=1,$H13+1,IF($F14=1,$H13,IF($A14=Config!$A$2,$H13,0)))</f>
        <v>0</v>
      </c>
      <c r="J14" s="120" t="str">
        <f>J13+1</f>
        <v>2026-09-26 00:00:00</v>
      </c>
      <c r="K14" s="121">
        <f>SUMIFS('Daily Writing Log'!$H$5:$H$34,'Daily Writing Log'!$A$5:$A$34,$J14)</f>
        <v>0</v>
      </c>
      <c r="M14" s="123">
        <f>IF('My Books'!$B14="","",IF(OR('My Books'!$F14=Config!$F$14,AND(N('My Books'!$G14)&gt;0,N('My Books'!$Q14)&gt;=N('My Books'!$G14))),"",IF(ISNUMBER('My Books'!$L14),'My Books'!$L14,99999)+ROW()/100000))</f>
        <v/>
      </c>
      <c r="R14" t="inlineStr">
        <is>
          <t>Avg Words / Hour (Logged)</t>
        </is>
      </c>
      <c r="S14" s="60">
        <f>IF(SUM('Daily Writing Log'!$L$5:$L$34)&gt;0,ROUND(SUM('Daily Writing Log'!$H$5:$H$34)/(SUM('Daily Writing Log'!$L$5:$L$34)/60),0),0)</f>
        <v>1405</v>
      </c>
      <c r="AB14" s="125">
        <f>IF('My Books'!$B14="","",ROW())</f>
        <v/>
      </c>
      <c r="AL14" s="125">
        <f>IF('Universes &amp; Series'!$A14="","",ROW())</f>
        <v/>
      </c>
      <c r="AV14" s="125" t="str">
        <f>Config!$F$6</f>
        <v>Pre-Draft Outline</v>
      </c>
      <c r="AW14" s="126">
        <f>COUNTIF('My Books'!$F$5:$F$24,$AV14)</f>
        <v>0</v>
      </c>
      <c r="AX14" s="126">
        <f>ROUND(SUMIF('My Books'!$F$5:$F$24,$AV14,'My Books'!$G$5:$G$24)/1000,1)</f>
        <v>0</v>
      </c>
      <c r="AZ14" s="125">
        <f>IF(ISNUMBER('Daily Writing Log'!$A14),WEEKDAY('Daily Writing Log'!$A14,2),0)</f>
        <v>0</v>
      </c>
      <c r="BA14" s="142" t="str">
        <f>'Continuity &amp; Compilers'!$A$11</f>
        <v>Gothic Fantasy 1</v>
      </c>
      <c r="BB14" s="143">
        <f>N('Continuity &amp; Compilers'!$D$11)</f>
        <v>2</v>
      </c>
      <c r="BC14" s="143">
        <f>N('Continuity &amp; Compilers'!$L$11)</f>
        <v>0</v>
      </c>
    </row>
    <row r="15">
      <c r="A15" s="120" t="str">
        <f>A14+1</f>
        <v>2024-10-27 00:00:00</v>
      </c>
      <c r="B15" s="121">
        <f>SUMIFS('Daily Writing Log'!$H$5:$H$34,'Daily Writing Log'!$A$5:$A$34,$A15)</f>
        <v>0</v>
      </c>
      <c r="C15" s="121">
        <f>SUMIFS('Daily Writing Log'!$I$5:$I$34,'Daily Writing Log'!$A$5:$A$34,$A15)</f>
        <v>0</v>
      </c>
      <c r="D15" s="122">
        <f>IF($C15&gt;=Config!$B$5,1,0)</f>
        <v>0</v>
      </c>
      <c r="E15" s="122">
        <f>IF(MONTH($A15)&lt;&gt;MONTH($A14),0,$G14)</f>
        <v>0</v>
      </c>
      <c r="F15" s="122">
        <f>IF(AND($D15=0,$H14&gt;0,$E15&lt;Config!$B$8,$A15&lt;Config!$A$2),1,0)</f>
        <v>0</v>
      </c>
      <c r="G15" s="122">
        <f>$E15+$F15</f>
        <v>0</v>
      </c>
      <c r="H15" s="122">
        <f>IF($D15=1,$H14+1,IF($F15=1,$H14,IF($A15=Config!$A$2,$H14,0)))</f>
        <v>0</v>
      </c>
      <c r="J15" s="120" t="str">
        <f>J14+1</f>
        <v>2026-09-27 00:00:00</v>
      </c>
      <c r="K15" s="121">
        <f>SUMIFS('Daily Writing Log'!$H$5:$H$34,'Daily Writing Log'!$A$5:$A$34,$J15)</f>
        <v>0</v>
      </c>
      <c r="M15" s="123">
        <f>IF('My Books'!$B15="","",IF(OR('My Books'!$F15=Config!$F$14,AND(N('My Books'!$G15)&gt;0,N('My Books'!$Q15)&gt;=N('My Books'!$G15))),"",IF(ISNUMBER('My Books'!$L15),'My Books'!$L15,99999)+ROW()/100000))</f>
        <v/>
      </c>
      <c r="AB15" s="125">
        <f>IF('My Books'!$B15="","",ROW())</f>
        <v/>
      </c>
      <c r="AL15" s="125">
        <f>IF('Universes &amp; Series'!$A15="","",ROW())</f>
        <v/>
      </c>
      <c r="AV15" s="125" t="str">
        <f>Config!$F$7</f>
        <v>Drafting</v>
      </c>
      <c r="AW15" s="126">
        <f>COUNTIF('My Books'!$F$5:$F$24,$AV15)</f>
        <v>1</v>
      </c>
      <c r="AX15" s="126">
        <f>ROUND(SUMIF('My Books'!$F$5:$F$24,$AV15,'My Books'!$G$5:$G$24)/1000,1)</f>
        <v>120</v>
      </c>
      <c r="AZ15" s="125">
        <f>IF(ISNUMBER('Daily Writing Log'!$A15),WEEKDAY('Daily Writing Log'!$A15,2),0)</f>
        <v>0</v>
      </c>
      <c r="BA15" s="142" t="str">
        <f>'Continuity &amp; Compilers'!$A$12</f>
        <v>Quest Fantasy 1</v>
      </c>
      <c r="BB15" s="143">
        <f>N('Continuity &amp; Compilers'!$D$12)</f>
        <v>1</v>
      </c>
      <c r="BC15" s="143">
        <f>N('Continuity &amp; Compilers'!$L$12)</f>
        <v>0</v>
      </c>
    </row>
    <row r="16">
      <c r="A16" s="120" t="str">
        <f>A15+1</f>
        <v>2024-10-28 00:00:00</v>
      </c>
      <c r="B16" s="121">
        <f>SUMIFS('Daily Writing Log'!$H$5:$H$34,'Daily Writing Log'!$A$5:$A$34,$A16)</f>
        <v>0</v>
      </c>
      <c r="C16" s="121">
        <f>SUMIFS('Daily Writing Log'!$I$5:$I$34,'Daily Writing Log'!$A$5:$A$34,$A16)</f>
        <v>0</v>
      </c>
      <c r="D16" s="122">
        <f>IF($C16&gt;=Config!$B$5,1,0)</f>
        <v>0</v>
      </c>
      <c r="E16" s="122">
        <f>IF(MONTH($A16)&lt;&gt;MONTH($A15),0,$G15)</f>
        <v>0</v>
      </c>
      <c r="F16" s="122">
        <f>IF(AND($D16=0,$H15&gt;0,$E16&lt;Config!$B$8,$A16&lt;Config!$A$2),1,0)</f>
        <v>0</v>
      </c>
      <c r="G16" s="122">
        <f>$E16+$F16</f>
        <v>0</v>
      </c>
      <c r="H16" s="122">
        <f>IF($D16=1,$H15+1,IF($F16=1,$H15,IF($A16=Config!$A$2,$H15,0)))</f>
        <v>0</v>
      </c>
      <c r="J16" s="120" t="str">
        <f>J15+1</f>
        <v>2026-09-28 00:00:00</v>
      </c>
      <c r="K16" s="121">
        <f>SUMIFS('Daily Writing Log'!$H$5:$H$34,'Daily Writing Log'!$A$5:$A$34,$J16)</f>
        <v>0</v>
      </c>
      <c r="M16" s="123">
        <f>IF('My Books'!$B16="","",IF(OR('My Books'!$F16=Config!$F$14,AND(N('My Books'!$G16)&gt;0,N('My Books'!$Q16)&gt;=N('My Books'!$G16))),"",IF(ISNUMBER('My Books'!$L16),'My Books'!$L16,99999)+ROW()/100000))</f>
        <v/>
      </c>
      <c r="AB16" s="125">
        <f>IF('My Books'!$B16="","",ROW())</f>
        <v/>
      </c>
      <c r="AL16" s="125">
        <f>IF('Universes &amp; Series'!$A16="","",ROW())</f>
        <v/>
      </c>
      <c r="AV16" s="125" t="str">
        <f>Config!$F$8</f>
        <v>Pre-Revision Outline</v>
      </c>
      <c r="AW16" s="126">
        <f>COUNTIF('My Books'!$F$5:$F$24,$AV16)</f>
        <v>0</v>
      </c>
      <c r="AX16" s="126">
        <f>ROUND(SUMIF('My Books'!$F$5:$F$24,$AV16,'My Books'!$G$5:$G$24)/1000,1)</f>
        <v>0</v>
      </c>
      <c r="AZ16" s="125">
        <f>IF(ISNUMBER('Daily Writing Log'!$A16),WEEKDAY('Daily Writing Log'!$A16,2),0)</f>
        <v>0</v>
      </c>
      <c r="BA16" s="142" t="str">
        <f>'Continuity &amp; Compilers'!$A$13</f>
        <v>Ruler of Sand Sea</v>
      </c>
      <c r="BB16" s="143">
        <f>N('Continuity &amp; Compilers'!$D$13)</f>
        <v>1</v>
      </c>
      <c r="BC16" s="143">
        <f>N('Continuity &amp; Compilers'!$L$13)</f>
        <v>0</v>
      </c>
    </row>
    <row r="17">
      <c r="A17" s="120" t="str">
        <f>A16+1</f>
        <v>2024-10-29 00:00:00</v>
      </c>
      <c r="B17" s="121">
        <f>SUMIFS('Daily Writing Log'!$H$5:$H$34,'Daily Writing Log'!$A$5:$A$34,$A17)</f>
        <v>0</v>
      </c>
      <c r="C17" s="121">
        <f>SUMIFS('Daily Writing Log'!$I$5:$I$34,'Daily Writing Log'!$A$5:$A$34,$A17)</f>
        <v>0</v>
      </c>
      <c r="D17" s="122">
        <f>IF($C17&gt;=Config!$B$5,1,0)</f>
        <v>0</v>
      </c>
      <c r="E17" s="122">
        <f>IF(MONTH($A17)&lt;&gt;MONTH($A16),0,$G16)</f>
        <v>0</v>
      </c>
      <c r="F17" s="122">
        <f>IF(AND($D17=0,$H16&gt;0,$E17&lt;Config!$B$8,$A17&lt;Config!$A$2),1,0)</f>
        <v>0</v>
      </c>
      <c r="G17" s="122">
        <f>$E17+$F17</f>
        <v>0</v>
      </c>
      <c r="H17" s="122">
        <f>IF($D17=1,$H16+1,IF($F17=1,$H16,IF($A17=Config!$A$2,$H16,0)))</f>
        <v>0</v>
      </c>
      <c r="J17" s="120" t="str">
        <f>J16+1</f>
        <v>2026-09-29 00:00:00</v>
      </c>
      <c r="K17" s="121">
        <f>SUMIFS('Daily Writing Log'!$H$5:$H$34,'Daily Writing Log'!$A$5:$A$34,$J17)</f>
        <v>0</v>
      </c>
      <c r="M17" s="123">
        <f>IF('My Books'!$B17="","",IF(OR('My Books'!$F17=Config!$F$14,AND(N('My Books'!$G17)&gt;0,N('My Books'!$Q17)&gt;=N('My Books'!$G17))),"",IF(ISNUMBER('My Books'!$L17),'My Books'!$L17,99999)+ROW()/100000))</f>
        <v/>
      </c>
      <c r="AB17" s="125">
        <f>IF('My Books'!$B17="","",ROW())</f>
        <v/>
      </c>
      <c r="AL17" s="125">
        <f>IF('Universes &amp; Series'!$A17="","",ROW())</f>
        <v/>
      </c>
      <c r="AV17" s="125" t="str">
        <f>Config!$F$9</f>
        <v>Revision</v>
      </c>
      <c r="AW17" s="126">
        <f>COUNTIF('My Books'!$F$5:$F$24,$AV17)</f>
        <v>0</v>
      </c>
      <c r="AX17" s="126">
        <f>ROUND(SUMIF('My Books'!$F$5:$F$24,$AV17,'My Books'!$G$5:$G$24)/1000,1)</f>
        <v>0</v>
      </c>
      <c r="AZ17" s="125">
        <f>IF(ISNUMBER('Daily Writing Log'!$A17),WEEKDAY('Daily Writing Log'!$A17,2),0)</f>
        <v>0</v>
      </c>
      <c r="BA17" s="142" t="str">
        <f>'Continuity &amp; Compilers'!$A$14</f>
        <v>Company of the Storm</v>
      </c>
      <c r="BB17" s="143">
        <f>N('Continuity &amp; Compilers'!$D$14)</f>
        <v>1</v>
      </c>
      <c r="BC17" s="143">
        <f>N('Continuity &amp; Compilers'!$L$14)</f>
        <v>0</v>
      </c>
    </row>
    <row r="18">
      <c r="A18" s="120" t="str">
        <f>A17+1</f>
        <v>2024-10-30 00:00:00</v>
      </c>
      <c r="B18" s="121">
        <f>SUMIFS('Daily Writing Log'!$H$5:$H$34,'Daily Writing Log'!$A$5:$A$34,$A18)</f>
        <v>0</v>
      </c>
      <c r="C18" s="121">
        <f>SUMIFS('Daily Writing Log'!$I$5:$I$34,'Daily Writing Log'!$A$5:$A$34,$A18)</f>
        <v>0</v>
      </c>
      <c r="D18" s="122">
        <f>IF($C18&gt;=Config!$B$5,1,0)</f>
        <v>0</v>
      </c>
      <c r="E18" s="122">
        <f>IF(MONTH($A18)&lt;&gt;MONTH($A17),0,$G17)</f>
        <v>0</v>
      </c>
      <c r="F18" s="122">
        <f>IF(AND($D18=0,$H17&gt;0,$E18&lt;Config!$B$8,$A18&lt;Config!$A$2),1,0)</f>
        <v>0</v>
      </c>
      <c r="G18" s="122">
        <f>$E18+$F18</f>
        <v>0</v>
      </c>
      <c r="H18" s="122">
        <f>IF($D18=1,$H17+1,IF($F18=1,$H17,IF($A18=Config!$A$2,$H17,0)))</f>
        <v>0</v>
      </c>
      <c r="J18" s="120" t="str">
        <f>J17+1</f>
        <v>2026-09-30 00:00:00</v>
      </c>
      <c r="K18" s="121">
        <f>SUMIFS('Daily Writing Log'!$H$5:$H$34,'Daily Writing Log'!$A$5:$A$34,$J18)</f>
        <v>0</v>
      </c>
      <c r="M18" s="123">
        <f>IF('My Books'!$B18="","",IF(OR('My Books'!$F18=Config!$F$14,AND(N('My Books'!$G18)&gt;0,N('My Books'!$Q18)&gt;=N('My Books'!$G18))),"",IF(ISNUMBER('My Books'!$L18),'My Books'!$L18,99999)+ROW()/100000))</f>
        <v/>
      </c>
      <c r="AB18" s="125">
        <f>IF('My Books'!$B18="","",ROW())</f>
        <v/>
      </c>
      <c r="AL18" s="125">
        <f>IF('Universes &amp; Series'!$A18="","",ROW())</f>
        <v/>
      </c>
      <c r="AV18" s="125" t="str">
        <f>Config!$F$10</f>
        <v>Beta Review</v>
      </c>
      <c r="AW18" s="126">
        <f>COUNTIF('My Books'!$F$5:$F$24,$AV18)</f>
        <v>0</v>
      </c>
      <c r="AX18" s="126">
        <f>ROUND(SUMIF('My Books'!$F$5:$F$24,$AV18,'My Books'!$G$5:$G$24)/1000,1)</f>
        <v>0</v>
      </c>
      <c r="AZ18" s="125">
        <f>IF(ISNUMBER('Daily Writing Log'!$A18),WEEKDAY('Daily Writing Log'!$A18,2),0)</f>
        <v>0</v>
      </c>
      <c r="BA18" s="142" t="str">
        <f>'Continuity &amp; Compilers'!$A$15</f>
        <v>The Silver Chronicles</v>
      </c>
      <c r="BB18" s="143">
        <f>N('Continuity &amp; Compilers'!$D$15)</f>
        <v>17</v>
      </c>
      <c r="BC18" s="143">
        <f>N('Continuity &amp; Compilers'!$L$15)</f>
        <v>1</v>
      </c>
    </row>
    <row r="19">
      <c r="A19" s="120" t="str">
        <f>A18+1</f>
        <v>2024-10-31 00:00:00</v>
      </c>
      <c r="B19" s="121">
        <f>SUMIFS('Daily Writing Log'!$H$5:$H$34,'Daily Writing Log'!$A$5:$A$34,$A19)</f>
        <v>0</v>
      </c>
      <c r="C19" s="121">
        <f>SUMIFS('Daily Writing Log'!$I$5:$I$34,'Daily Writing Log'!$A$5:$A$34,$A19)</f>
        <v>0</v>
      </c>
      <c r="D19" s="122">
        <f>IF($C19&gt;=Config!$B$5,1,0)</f>
        <v>0</v>
      </c>
      <c r="E19" s="122">
        <f>IF(MONTH($A19)&lt;&gt;MONTH($A18),0,$G18)</f>
        <v>0</v>
      </c>
      <c r="F19" s="122">
        <f>IF(AND($D19=0,$H18&gt;0,$E19&lt;Config!$B$8,$A19&lt;Config!$A$2),1,0)</f>
        <v>0</v>
      </c>
      <c r="G19" s="122">
        <f>$E19+$F19</f>
        <v>0</v>
      </c>
      <c r="H19" s="122">
        <f>IF($D19=1,$H18+1,IF($F19=1,$H18,IF($A19=Config!$A$2,$H18,0)))</f>
        <v>0</v>
      </c>
      <c r="J19" s="120" t="str">
        <f>J18+1</f>
        <v>2026-10-01 00:00:00</v>
      </c>
      <c r="K19" s="121">
        <f>SUMIFS('Daily Writing Log'!$H$5:$H$34,'Daily Writing Log'!$A$5:$A$34,$J19)</f>
        <v>0</v>
      </c>
      <c r="M19" s="123">
        <f>IF('My Books'!$B19="","",IF(OR('My Books'!$F19=Config!$F$14,AND(N('My Books'!$G19)&gt;0,N('My Books'!$Q19)&gt;=N('My Books'!$G19))),"",IF(ISNUMBER('My Books'!$L19),'My Books'!$L19,99999)+ROW()/100000))</f>
        <v/>
      </c>
      <c r="AB19" s="125">
        <f>IF('My Books'!$B19="","",ROW())</f>
        <v/>
      </c>
      <c r="AL19" s="125">
        <f>IF('Universes &amp; Series'!$A19="","",ROW())</f>
        <v/>
      </c>
      <c r="AV19" s="125" t="str">
        <f>Config!$F$11</f>
        <v>Proofing</v>
      </c>
      <c r="AW19" s="126">
        <f>COUNTIF('My Books'!$F$5:$F$24,$AV19)</f>
        <v>0</v>
      </c>
      <c r="AX19" s="126">
        <f>ROUND(SUMIF('My Books'!$F$5:$F$24,$AV19,'My Books'!$G$5:$G$24)/1000,1)</f>
        <v>0</v>
      </c>
      <c r="AZ19" s="125">
        <f>IF(ISNUMBER('Daily Writing Log'!$A19),WEEKDAY('Daily Writing Log'!$A19,2),0)</f>
        <v>0</v>
      </c>
    </row>
    <row r="20">
      <c r="A20" s="120" t="str">
        <f>A19+1</f>
        <v>2024-11-01 00:00:00</v>
      </c>
      <c r="B20" s="121">
        <f>SUMIFS('Daily Writing Log'!$H$5:$H$34,'Daily Writing Log'!$A$5:$A$34,$A20)</f>
        <v>0</v>
      </c>
      <c r="C20" s="121">
        <f>SUMIFS('Daily Writing Log'!$I$5:$I$34,'Daily Writing Log'!$A$5:$A$34,$A20)</f>
        <v>0</v>
      </c>
      <c r="D20" s="122">
        <f>IF($C20&gt;=Config!$B$5,1,0)</f>
        <v>0</v>
      </c>
      <c r="E20" s="122">
        <f>IF(MONTH($A20)&lt;&gt;MONTH($A19),0,$G19)</f>
        <v>0</v>
      </c>
      <c r="F20" s="122">
        <f>IF(AND($D20=0,$H19&gt;0,$E20&lt;Config!$B$8,$A20&lt;Config!$A$2),1,0)</f>
        <v>0</v>
      </c>
      <c r="G20" s="122">
        <f>$E20+$F20</f>
        <v>0</v>
      </c>
      <c r="H20" s="122">
        <f>IF($D20=1,$H19+1,IF($F20=1,$H19,IF($A20=Config!$A$2,$H19,0)))</f>
        <v>0</v>
      </c>
      <c r="J20" s="120" t="str">
        <f>J19+1</f>
        <v>2026-10-02 00:00:00</v>
      </c>
      <c r="K20" s="121">
        <f>SUMIFS('Daily Writing Log'!$H$5:$H$34,'Daily Writing Log'!$A$5:$A$34,$J20)</f>
        <v>0</v>
      </c>
      <c r="M20" s="123">
        <f>IF('My Books'!$B20="","",IF(OR('My Books'!$F20=Config!$F$14,AND(N('My Books'!$G20)&gt;0,N('My Books'!$Q20)&gt;=N('My Books'!$G20))),"",IF(ISNUMBER('My Books'!$L20),'My Books'!$L20,99999)+ROW()/100000))</f>
        <v/>
      </c>
      <c r="AB20" s="125">
        <f>IF('My Books'!$B20="","",ROW())</f>
        <v/>
      </c>
      <c r="AL20" s="125">
        <f>IF('Universes &amp; Series'!$A20="","",ROW())</f>
        <v/>
      </c>
      <c r="AV20" s="125" t="str">
        <f>Config!$F$12</f>
        <v>Querying</v>
      </c>
      <c r="AW20" s="126">
        <f>COUNTIF('My Books'!$F$5:$F$24,$AV20)</f>
        <v>0</v>
      </c>
      <c r="AX20" s="126">
        <f>ROUND(SUMIF('My Books'!$F$5:$F$24,$AV20,'My Books'!$G$5:$G$24)/1000,1)</f>
        <v>0</v>
      </c>
      <c r="AZ20" s="125">
        <f>IF(ISNUMBER('Daily Writing Log'!$A20),WEEKDAY('Daily Writing Log'!$A20,2),0)</f>
        <v>0</v>
      </c>
    </row>
    <row r="21">
      <c r="A21" s="120" t="str">
        <f>A20+1</f>
        <v>2024-11-02 00:00:00</v>
      </c>
      <c r="B21" s="121">
        <f>SUMIFS('Daily Writing Log'!$H$5:$H$34,'Daily Writing Log'!$A$5:$A$34,$A21)</f>
        <v>0</v>
      </c>
      <c r="C21" s="121">
        <f>SUMIFS('Daily Writing Log'!$I$5:$I$34,'Daily Writing Log'!$A$5:$A$34,$A21)</f>
        <v>0</v>
      </c>
      <c r="D21" s="122">
        <f>IF($C21&gt;=Config!$B$5,1,0)</f>
        <v>0</v>
      </c>
      <c r="E21" s="122">
        <f>IF(MONTH($A21)&lt;&gt;MONTH($A20),0,$G20)</f>
        <v>0</v>
      </c>
      <c r="F21" s="122">
        <f>IF(AND($D21=0,$H20&gt;0,$E21&lt;Config!$B$8,$A21&lt;Config!$A$2),1,0)</f>
        <v>0</v>
      </c>
      <c r="G21" s="122">
        <f>$E21+$F21</f>
        <v>0</v>
      </c>
      <c r="H21" s="122">
        <f>IF($D21=1,$H20+1,IF($F21=1,$H20,IF($A21=Config!$A$2,$H20,0)))</f>
        <v>0</v>
      </c>
      <c r="J21" s="120" t="str">
        <f>J20+1</f>
        <v>2026-10-03 00:00:00</v>
      </c>
      <c r="K21" s="121">
        <f>SUMIFS('Daily Writing Log'!$H$5:$H$34,'Daily Writing Log'!$A$5:$A$34,$J21)</f>
        <v>0</v>
      </c>
      <c r="M21" s="123">
        <f>IF('My Books'!$B21="","",IF(OR('My Books'!$F21=Config!$F$14,AND(N('My Books'!$G21)&gt;0,N('My Books'!$Q21)&gt;=N('My Books'!$G21))),"",IF(ISNUMBER('My Books'!$L21),'My Books'!$L21,99999)+ROW()/100000))</f>
        <v/>
      </c>
      <c r="AB21" s="125">
        <f>IF('My Books'!$B21="","",ROW())</f>
        <v/>
      </c>
      <c r="AL21" s="125">
        <f>IF('Universes &amp; Series'!$A21="","",ROW())</f>
        <v/>
      </c>
      <c r="AV21" s="125" t="str">
        <f>Config!$F$13</f>
        <v>Publishing</v>
      </c>
      <c r="AW21" s="126">
        <f>COUNTIF('My Books'!$F$5:$F$24,$AV21)</f>
        <v>0</v>
      </c>
      <c r="AX21" s="126">
        <f>ROUND(SUMIF('My Books'!$F$5:$F$24,$AV21,'My Books'!$G$5:$G$24)/1000,1)</f>
        <v>0</v>
      </c>
      <c r="AZ21" s="125">
        <f>IF(ISNUMBER('Daily Writing Log'!$A21),WEEKDAY('Daily Writing Log'!$A21,2),0)</f>
        <v>0</v>
      </c>
      <c r="BA21" s="141" t="inlineStr">
        <is>
          <t>World Bible Domain</t>
        </is>
      </c>
      <c r="BB21" s="141" t="inlineStr">
        <is>
          <t>Canonical Entities</t>
        </is>
      </c>
    </row>
    <row r="22">
      <c r="A22" s="120" t="str">
        <f>A21+1</f>
        <v>2024-11-03 00:00:00</v>
      </c>
      <c r="B22" s="121">
        <f>SUMIFS('Daily Writing Log'!$H$5:$H$34,'Daily Writing Log'!$A$5:$A$34,$A22)</f>
        <v>0</v>
      </c>
      <c r="C22" s="121">
        <f>SUMIFS('Daily Writing Log'!$I$5:$I$34,'Daily Writing Log'!$A$5:$A$34,$A22)</f>
        <v>0</v>
      </c>
      <c r="D22" s="122">
        <f>IF($C22&gt;=Config!$B$5,1,0)</f>
        <v>0</v>
      </c>
      <c r="E22" s="122">
        <f>IF(MONTH($A22)&lt;&gt;MONTH($A21),0,$G21)</f>
        <v>0</v>
      </c>
      <c r="F22" s="122">
        <f>IF(AND($D22=0,$H21&gt;0,$E22&lt;Config!$B$8,$A22&lt;Config!$A$2),1,0)</f>
        <v>0</v>
      </c>
      <c r="G22" s="122">
        <f>$E22+$F22</f>
        <v>0</v>
      </c>
      <c r="H22" s="122">
        <f>IF($D22=1,$H21+1,IF($F22=1,$H21,IF($A22=Config!$A$2,$H21,0)))</f>
        <v>0</v>
      </c>
      <c r="J22" s="120" t="str">
        <f>J21+1</f>
        <v>2026-10-04 00:00:00</v>
      </c>
      <c r="K22" s="121">
        <f>SUMIFS('Daily Writing Log'!$H$5:$H$34,'Daily Writing Log'!$A$5:$A$34,$J22)</f>
        <v>0</v>
      </c>
      <c r="M22" s="123">
        <f>IF('My Books'!$B22="","",IF(OR('My Books'!$F22=Config!$F$14,AND(N('My Books'!$G22)&gt;0,N('My Books'!$Q22)&gt;=N('My Books'!$G22))),"",IF(ISNUMBER('My Books'!$L22),'My Books'!$L22,99999)+ROW()/100000))</f>
        <v/>
      </c>
      <c r="AB22" s="125">
        <f>IF('My Books'!$B22="","",ROW())</f>
        <v/>
      </c>
      <c r="AL22" s="125">
        <f>IF('Universes &amp; Series'!$A22="","",ROW())</f>
        <v/>
      </c>
      <c r="AV22" s="125" t="str">
        <f>Config!$F$14</f>
        <v>Published</v>
      </c>
      <c r="AW22" s="126">
        <f>COUNTIF('My Books'!$F$5:$F$24,$AV22)</f>
        <v>0</v>
      </c>
      <c r="AX22" s="126">
        <f>ROUND(SUMIF('My Books'!$F$5:$F$24,$AV22,'My Books'!$G$5:$G$24)/1000,1)</f>
        <v>0</v>
      </c>
      <c r="AZ22" s="125">
        <f>IF(ISNUMBER('Daily Writing Log'!$A22),WEEKDAY('Daily Writing Log'!$A22,2),0)</f>
        <v>0</v>
      </c>
      <c r="BA22" s="142" t="inlineStr">
        <is>
          <t>Characters</t>
        </is>
      </c>
      <c r="BB22" s="143">
        <f>SUM('World Bible &amp; Lore'!$C$10:$C$29)</f>
        <v>18</v>
      </c>
    </row>
    <row r="23">
      <c r="A23" s="120" t="str">
        <f>A22+1</f>
        <v>2024-11-04 00:00:00</v>
      </c>
      <c r="B23" s="121">
        <f>SUMIFS('Daily Writing Log'!$H$5:$H$34,'Daily Writing Log'!$A$5:$A$34,$A23)</f>
        <v>0</v>
      </c>
      <c r="C23" s="121">
        <f>SUMIFS('Daily Writing Log'!$I$5:$I$34,'Daily Writing Log'!$A$5:$A$34,$A23)</f>
        <v>0</v>
      </c>
      <c r="D23" s="122">
        <f>IF($C23&gt;=Config!$B$5,1,0)</f>
        <v>0</v>
      </c>
      <c r="E23" s="122">
        <f>IF(MONTH($A23)&lt;&gt;MONTH($A22),0,$G22)</f>
        <v>0</v>
      </c>
      <c r="F23" s="122">
        <f>IF(AND($D23=0,$H22&gt;0,$E23&lt;Config!$B$8,$A23&lt;Config!$A$2),1,0)</f>
        <v>0</v>
      </c>
      <c r="G23" s="122">
        <f>$E23+$F23</f>
        <v>0</v>
      </c>
      <c r="H23" s="122">
        <f>IF($D23=1,$H22+1,IF($F23=1,$H22,IF($A23=Config!$A$2,$H22,0)))</f>
        <v>0</v>
      </c>
      <c r="J23" s="120" t="str">
        <f>J22+1</f>
        <v>2026-10-05 00:00:00</v>
      </c>
      <c r="K23" s="121">
        <f>SUMIFS('Daily Writing Log'!$H$5:$H$34,'Daily Writing Log'!$A$5:$A$34,$J23)</f>
        <v>0</v>
      </c>
      <c r="M23" s="123">
        <f>IF('My Books'!$B23="","",IF(OR('My Books'!$F23=Config!$F$14,AND(N('My Books'!$G23)&gt;0,N('My Books'!$Q23)&gt;=N('My Books'!$G23))),"",IF(ISNUMBER('My Books'!$L23),'My Books'!$L23,99999)+ROW()/100000))</f>
        <v/>
      </c>
      <c r="AB23" s="125">
        <f>IF('My Books'!$B23="","",ROW())</f>
        <v/>
      </c>
      <c r="AL23" s="125">
        <f>IF('Universes &amp; Series'!$A23="","",ROW())</f>
        <v/>
      </c>
      <c r="AZ23" s="125">
        <f>IF(ISNUMBER('Daily Writing Log'!$A23),WEEKDAY('Daily Writing Log'!$A23,2),0)</f>
        <v>0</v>
      </c>
      <c r="BA23" s="142" t="inlineStr">
        <is>
          <t>Locations &amp; Routes</t>
        </is>
      </c>
      <c r="BB23" s="143">
        <f>SUM('World Bible &amp; Lore'!$D$10:$D$29)</f>
        <v>19</v>
      </c>
    </row>
    <row r="24">
      <c r="A24" s="120" t="str">
        <f>A23+1</f>
        <v>2024-11-05 00:00:00</v>
      </c>
      <c r="B24" s="121">
        <f>SUMIFS('Daily Writing Log'!$H$5:$H$34,'Daily Writing Log'!$A$5:$A$34,$A24)</f>
        <v>0</v>
      </c>
      <c r="C24" s="121">
        <f>SUMIFS('Daily Writing Log'!$I$5:$I$34,'Daily Writing Log'!$A$5:$A$34,$A24)</f>
        <v>0</v>
      </c>
      <c r="D24" s="122">
        <f>IF($C24&gt;=Config!$B$5,1,0)</f>
        <v>0</v>
      </c>
      <c r="E24" s="122">
        <f>IF(MONTH($A24)&lt;&gt;MONTH($A23),0,$G23)</f>
        <v>0</v>
      </c>
      <c r="F24" s="122">
        <f>IF(AND($D24=0,$H23&gt;0,$E24&lt;Config!$B$8,$A24&lt;Config!$A$2),1,0)</f>
        <v>0</v>
      </c>
      <c r="G24" s="122">
        <f>$E24+$F24</f>
        <v>0</v>
      </c>
      <c r="H24" s="122">
        <f>IF($D24=1,$H23+1,IF($F24=1,$H23,IF($A24=Config!$A$2,$H23,0)))</f>
        <v>0</v>
      </c>
      <c r="J24" s="120" t="str">
        <f>J23+1</f>
        <v>2026-10-06 00:00:00</v>
      </c>
      <c r="K24" s="121">
        <f>SUMIFS('Daily Writing Log'!$H$5:$H$34,'Daily Writing Log'!$A$5:$A$34,$J24)</f>
        <v>0</v>
      </c>
      <c r="M24" s="123">
        <f>IF('My Books'!$B24="","",IF(OR('My Books'!$F24=Config!$F$14,AND(N('My Books'!$G24)&gt;0,N('My Books'!$Q24)&gt;=N('My Books'!$G24))),"",IF(ISNUMBER('My Books'!$L24),'My Books'!$L24,99999)+ROW()/100000))</f>
        <v/>
      </c>
      <c r="AB24" s="125">
        <f>IF('My Books'!$B24="","",ROW())</f>
        <v/>
      </c>
      <c r="AL24" s="125">
        <f>IF('Universes &amp; Series'!$A24="","",ROW())</f>
        <v/>
      </c>
      <c r="AZ24" s="125">
        <f>IF(ISNUMBER('Daily Writing Log'!$A24),WEEKDAY('Daily Writing Log'!$A24,2),0)</f>
        <v>0</v>
      </c>
      <c r="BA24" s="142" t="inlineStr">
        <is>
          <t>Magic &amp; Technology</t>
        </is>
      </c>
      <c r="BB24" s="143">
        <f>SUM('World Bible &amp; Lore'!$E$10:$E$29)</f>
        <v>9</v>
      </c>
    </row>
    <row r="25">
      <c r="A25" s="120" t="str">
        <f>A24+1</f>
        <v>2024-11-06 00:00:00</v>
      </c>
      <c r="B25" s="121">
        <f>SUMIFS('Daily Writing Log'!$H$5:$H$34,'Daily Writing Log'!$A$5:$A$34,$A25)</f>
        <v>0</v>
      </c>
      <c r="C25" s="121">
        <f>SUMIFS('Daily Writing Log'!$I$5:$I$34,'Daily Writing Log'!$A$5:$A$34,$A25)</f>
        <v>0</v>
      </c>
      <c r="D25" s="122">
        <f>IF($C25&gt;=Config!$B$5,1,0)</f>
        <v>0</v>
      </c>
      <c r="E25" s="122">
        <f>IF(MONTH($A25)&lt;&gt;MONTH($A24),0,$G24)</f>
        <v>0</v>
      </c>
      <c r="F25" s="122">
        <f>IF(AND($D25=0,$H24&gt;0,$E25&lt;Config!$B$8,$A25&lt;Config!$A$2),1,0)</f>
        <v>0</v>
      </c>
      <c r="G25" s="122">
        <f>$E25+$F25</f>
        <v>0</v>
      </c>
      <c r="H25" s="122">
        <f>IF($D25=1,$H24+1,IF($F25=1,$H24,IF($A25=Config!$A$2,$H24,0)))</f>
        <v>0</v>
      </c>
      <c r="J25" s="120" t="str">
        <f>J24+1</f>
        <v>2026-10-07 00:00:00</v>
      </c>
      <c r="K25" s="121">
        <f>SUMIFS('Daily Writing Log'!$H$5:$H$34,'Daily Writing Log'!$A$5:$A$34,$J25)</f>
        <v>0</v>
      </c>
      <c r="M25" s="123" t="n"/>
      <c r="AV25" s="119" t="inlineStr">
        <is>
          <t>Creative Pillar</t>
        </is>
      </c>
      <c r="AW25" s="119" t="inlineStr">
        <is>
          <t>Raw Words Logged</t>
        </is>
      </c>
      <c r="AX25" s="119" t="inlineStr">
        <is>
          <t>Weighted Effort Points</t>
        </is>
      </c>
      <c r="AZ25" s="125">
        <f>IF(ISNUMBER('Daily Writing Log'!$A25),WEEKDAY('Daily Writing Log'!$A25,2),0)</f>
        <v>0</v>
      </c>
      <c r="BA25" s="142" t="inlineStr">
        <is>
          <t>Conlang Lexemes</t>
        </is>
      </c>
      <c r="BB25" s="143">
        <f>SUM('World Bible &amp; Lore'!$F$10:$F$29)</f>
        <v>15</v>
      </c>
    </row>
    <row r="26">
      <c r="A26" s="120" t="str">
        <f>A25+1</f>
        <v>2024-11-07 00:00:00</v>
      </c>
      <c r="B26" s="121">
        <f>SUMIFS('Daily Writing Log'!$H$5:$H$34,'Daily Writing Log'!$A$5:$A$34,$A26)</f>
        <v>0</v>
      </c>
      <c r="C26" s="121">
        <f>SUMIFS('Daily Writing Log'!$I$5:$I$34,'Daily Writing Log'!$A$5:$A$34,$A26)</f>
        <v>0</v>
      </c>
      <c r="D26" s="122">
        <f>IF($C26&gt;=Config!$B$5,1,0)</f>
        <v>0</v>
      </c>
      <c r="E26" s="122">
        <f>IF(MONTH($A26)&lt;&gt;MONTH($A25),0,$G25)</f>
        <v>0</v>
      </c>
      <c r="F26" s="122">
        <f>IF(AND($D26=0,$H25&gt;0,$E26&lt;Config!$B$8,$A26&lt;Config!$A$2),1,0)</f>
        <v>0</v>
      </c>
      <c r="G26" s="122">
        <f>$E26+$F26</f>
        <v>0</v>
      </c>
      <c r="H26" s="122">
        <f>IF($D26=1,$H25+1,IF($F26=1,$H25,IF($A26=Config!$A$2,$H25,0)))</f>
        <v>0</v>
      </c>
      <c r="J26" s="120" t="str">
        <f>J25+1</f>
        <v>2026-10-08 00:00:00</v>
      </c>
      <c r="K26" s="121">
        <f>SUMIFS('Daily Writing Log'!$H$5:$H$34,'Daily Writing Log'!$A$5:$A$34,$J26)</f>
        <v>0</v>
      </c>
      <c r="M26" s="123" t="n"/>
      <c r="AV26" s="125" t="inlineStr">
        <is>
          <t>Worldbuilding</t>
        </is>
      </c>
      <c r="AW26" s="126">
        <f>SUM('Daily Writing Log'!$D$5:$D$34)</f>
        <v>600</v>
      </c>
      <c r="AX26" s="126">
        <f>ROUND(SUM('Daily Writing Log'!$D$5:$D$34)*Config!$B$14,0)</f>
        <v>300</v>
      </c>
      <c r="AZ26" s="125">
        <f>IF(ISNUMBER('Daily Writing Log'!$A26),WEEKDAY('Daily Writing Log'!$A26,2),0)</f>
        <v>0</v>
      </c>
      <c r="BA26" s="142" t="inlineStr">
        <is>
          <t>Factions &amp; Lineages</t>
        </is>
      </c>
      <c r="BB26" s="143">
        <f>SUM('World Bible &amp; Lore'!$G$10:$G$29)</f>
        <v>12</v>
      </c>
    </row>
    <row r="27">
      <c r="A27" s="120" t="str">
        <f>A26+1</f>
        <v>2024-11-08 00:00:00</v>
      </c>
      <c r="B27" s="121">
        <f>SUMIFS('Daily Writing Log'!$H$5:$H$34,'Daily Writing Log'!$A$5:$A$34,$A27)</f>
        <v>0</v>
      </c>
      <c r="C27" s="121">
        <f>SUMIFS('Daily Writing Log'!$I$5:$I$34,'Daily Writing Log'!$A$5:$A$34,$A27)</f>
        <v>0</v>
      </c>
      <c r="D27" s="122">
        <f>IF($C27&gt;=Config!$B$5,1,0)</f>
        <v>0</v>
      </c>
      <c r="E27" s="122">
        <f>IF(MONTH($A27)&lt;&gt;MONTH($A26),0,$G26)</f>
        <v>0</v>
      </c>
      <c r="F27" s="122">
        <f>IF(AND($D27=0,$H26&gt;0,$E27&lt;Config!$B$8,$A27&lt;Config!$A$2),1,0)</f>
        <v>0</v>
      </c>
      <c r="G27" s="122">
        <f>$E27+$F27</f>
        <v>0</v>
      </c>
      <c r="H27" s="122">
        <f>IF($D27=1,$H26+1,IF($F27=1,$H26,IF($A27=Config!$A$2,$H26,0)))</f>
        <v>0</v>
      </c>
      <c r="J27" s="120" t="str">
        <f>J26+1</f>
        <v>2026-10-09 00:00:00</v>
      </c>
      <c r="K27" s="121">
        <f>SUMIFS('Daily Writing Log'!$H$5:$H$34,'Daily Writing Log'!$A$5:$A$34,$J27)</f>
        <v>0</v>
      </c>
      <c r="M27" s="123" t="n"/>
      <c r="AV27" s="125" t="inlineStr">
        <is>
          <t>Outlining</t>
        </is>
      </c>
      <c r="AW27" s="126">
        <f>SUM('Daily Writing Log'!$E$5:$E$34)</f>
        <v>2000</v>
      </c>
      <c r="AX27" s="126">
        <f>ROUND(SUMIFS('Daily Writing Log'!$E$5:$E$34,'Daily Writing Log'!$C$5:$C$34,"Pre-Draft Outline")*Config!$B$11+SUMIFS('Daily Writing Log'!$E$5:$E$34,'Daily Writing Log'!$C$5:$C$34,"Pre-Revision Outline")*Config!$B$12+(SUM('Daily Writing Log'!$E$5:$E$34)-SUMIFS('Daily Writing Log'!$E$5:$E$34,'Daily Writing Log'!$C$5:$C$34,"Pre-Draft Outline")-SUMIFS('Daily Writing Log'!$E$5:$E$34,'Daily Writing Log'!$C$5:$C$34,"Pre-Revision Outline"))*Config!$B$13,0)</f>
        <v>2000</v>
      </c>
      <c r="AZ27" s="125">
        <f>IF(ISNUMBER('Daily Writing Log'!$A27),WEEKDAY('Daily Writing Log'!$A27,2),0)</f>
        <v>0</v>
      </c>
      <c r="BA27" s="142" t="inlineStr">
        <is>
          <t>Artifacts &amp; Bestiary</t>
        </is>
      </c>
      <c r="BB27" s="143">
        <f>SUM('World Bible &amp; Lore'!$H$10:$H$29)</f>
        <v>13</v>
      </c>
    </row>
    <row r="28">
      <c r="A28" s="120" t="str">
        <f>A27+1</f>
        <v>2024-11-09 00:00:00</v>
      </c>
      <c r="B28" s="121">
        <f>SUMIFS('Daily Writing Log'!$H$5:$H$34,'Daily Writing Log'!$A$5:$A$34,$A28)</f>
        <v>0</v>
      </c>
      <c r="C28" s="121">
        <f>SUMIFS('Daily Writing Log'!$I$5:$I$34,'Daily Writing Log'!$A$5:$A$34,$A28)</f>
        <v>0</v>
      </c>
      <c r="D28" s="122">
        <f>IF($C28&gt;=Config!$B$5,1,0)</f>
        <v>0</v>
      </c>
      <c r="E28" s="122">
        <f>IF(MONTH($A28)&lt;&gt;MONTH($A27),0,$G27)</f>
        <v>0</v>
      </c>
      <c r="F28" s="122">
        <f>IF(AND($D28=0,$H27&gt;0,$E28&lt;Config!$B$8,$A28&lt;Config!$A$2),1,0)</f>
        <v>0</v>
      </c>
      <c r="G28" s="122">
        <f>$E28+$F28</f>
        <v>0</v>
      </c>
      <c r="H28" s="122">
        <f>IF($D28=1,$H27+1,IF($F28=1,$H27,IF($A28=Config!$A$2,$H27,0)))</f>
        <v>0</v>
      </c>
      <c r="J28" s="120" t="str">
        <f>J27+1</f>
        <v>2026-10-10 00:00:00</v>
      </c>
      <c r="K28" s="121">
        <f>SUMIFS('Daily Writing Log'!$H$5:$H$34,'Daily Writing Log'!$A$5:$A$34,$J28)</f>
        <v>0</v>
      </c>
      <c r="M28" s="123" t="n"/>
      <c r="AV28" s="125" t="inlineStr">
        <is>
          <t>First Draft Prose</t>
        </is>
      </c>
      <c r="AW28" s="126">
        <f>SUM('Daily Writing Log'!$F$5:$F$34)</f>
        <v>1900</v>
      </c>
      <c r="AX28" s="126">
        <f>ROUND(SUM('Daily Writing Log'!$F$5:$F$34)*Config!$B$10,0)</f>
        <v>1900</v>
      </c>
      <c r="AZ28" s="125">
        <f>IF(ISNUMBER('Daily Writing Log'!$A28),WEEKDAY('Daily Writing Log'!$A28,2),0)</f>
        <v>0</v>
      </c>
      <c r="BA28" s="142" t="inlineStr">
        <is>
          <t>History &amp; Cosmology</t>
        </is>
      </c>
      <c r="BB28" s="143">
        <f>SUM('World Bible &amp; Lore'!$I$10:$I$29)</f>
        <v>12</v>
      </c>
    </row>
    <row r="29">
      <c r="A29" s="120" t="str">
        <f>A28+1</f>
        <v>2024-11-10 00:00:00</v>
      </c>
      <c r="B29" s="121">
        <f>SUMIFS('Daily Writing Log'!$H$5:$H$34,'Daily Writing Log'!$A$5:$A$34,$A29)</f>
        <v>0</v>
      </c>
      <c r="C29" s="121">
        <f>SUMIFS('Daily Writing Log'!$I$5:$I$34,'Daily Writing Log'!$A$5:$A$34,$A29)</f>
        <v>0</v>
      </c>
      <c r="D29" s="122">
        <f>IF($C29&gt;=Config!$B$5,1,0)</f>
        <v>0</v>
      </c>
      <c r="E29" s="122">
        <f>IF(MONTH($A29)&lt;&gt;MONTH($A28),0,$G28)</f>
        <v>0</v>
      </c>
      <c r="F29" s="122">
        <f>IF(AND($D29=0,$H28&gt;0,$E29&lt;Config!$B$8,$A29&lt;Config!$A$2),1,0)</f>
        <v>0</v>
      </c>
      <c r="G29" s="122">
        <f>$E29+$F29</f>
        <v>0</v>
      </c>
      <c r="H29" s="122">
        <f>IF($D29=1,$H28+1,IF($F29=1,$H28,IF($A29=Config!$A$2,$H28,0)))</f>
        <v>0</v>
      </c>
      <c r="J29" s="120" t="str">
        <f>J28+1</f>
        <v>2026-10-11 00:00:00</v>
      </c>
      <c r="K29" s="121">
        <f>SUMIFS('Daily Writing Log'!$H$5:$H$34,'Daily Writing Log'!$A$5:$A$34,$J29)</f>
        <v>0</v>
      </c>
      <c r="M29" s="123" t="n"/>
      <c r="AV29" s="125" t="inlineStr">
        <is>
          <t>Revisions</t>
        </is>
      </c>
      <c r="AW29" s="126">
        <f>SUM('Daily Writing Log'!$G$5:$G$34)</f>
        <v>300</v>
      </c>
      <c r="AX29" s="126">
        <f>ROUND(SUMIFS('Daily Writing Log'!$G$5:$G$34,'Daily Writing Log'!$C$5:$C$34,"Revision")*Config!$B$15+(SUM('Daily Writing Log'!$G$5:$G$34)-SUMIFS('Daily Writing Log'!$G$5:$G$34,'Daily Writing Log'!$C$5:$C$34,"Revision"))*Config!$B$16,0)</f>
        <v>0</v>
      </c>
      <c r="AZ29" s="125">
        <f>IF(ISNUMBER('Daily Writing Log'!$A29),WEEKDAY('Daily Writing Log'!$A29,2),0)</f>
        <v>0</v>
      </c>
    </row>
    <row r="30">
      <c r="A30" s="120" t="str">
        <f>A29+1</f>
        <v>2024-11-11 00:00:00</v>
      </c>
      <c r="B30" s="121">
        <f>SUMIFS('Daily Writing Log'!$H$5:$H$34,'Daily Writing Log'!$A$5:$A$34,$A30)</f>
        <v>0</v>
      </c>
      <c r="C30" s="121">
        <f>SUMIFS('Daily Writing Log'!$I$5:$I$34,'Daily Writing Log'!$A$5:$A$34,$A30)</f>
        <v>0</v>
      </c>
      <c r="D30" s="122">
        <f>IF($C30&gt;=Config!$B$5,1,0)</f>
        <v>0</v>
      </c>
      <c r="E30" s="122">
        <f>IF(MONTH($A30)&lt;&gt;MONTH($A29),0,$G29)</f>
        <v>0</v>
      </c>
      <c r="F30" s="122">
        <f>IF(AND($D30=0,$H29&gt;0,$E30&lt;Config!$B$8,$A30&lt;Config!$A$2),1,0)</f>
        <v>0</v>
      </c>
      <c r="G30" s="122">
        <f>$E30+$F30</f>
        <v>0</v>
      </c>
      <c r="H30" s="122">
        <f>IF($D30=1,$H29+1,IF($F30=1,$H29,IF($A30=Config!$A$2,$H29,0)))</f>
        <v>0</v>
      </c>
      <c r="J30" s="120" t="str">
        <f>J29+1</f>
        <v>2026-10-12 00:00:00</v>
      </c>
      <c r="K30" s="121">
        <f>SUMIFS('Daily Writing Log'!$H$5:$H$34,'Daily Writing Log'!$A$5:$A$34,$J30)</f>
        <v>0</v>
      </c>
      <c r="M30" s="123" t="n"/>
      <c r="AZ30" s="125">
        <f>IF(ISNUMBER('Daily Writing Log'!$A30),WEEKDAY('Daily Writing Log'!$A30,2),0)</f>
        <v>0</v>
      </c>
    </row>
    <row r="31">
      <c r="A31" s="120" t="str">
        <f>A30+1</f>
        <v>2024-11-12 00:00:00</v>
      </c>
      <c r="B31" s="121">
        <f>SUMIFS('Daily Writing Log'!$H$5:$H$34,'Daily Writing Log'!$A$5:$A$34,$A31)</f>
        <v>0</v>
      </c>
      <c r="C31" s="121">
        <f>SUMIFS('Daily Writing Log'!$I$5:$I$34,'Daily Writing Log'!$A$5:$A$34,$A31)</f>
        <v>0</v>
      </c>
      <c r="D31" s="122">
        <f>IF($C31&gt;=Config!$B$5,1,0)</f>
        <v>0</v>
      </c>
      <c r="E31" s="122">
        <f>IF(MONTH($A31)&lt;&gt;MONTH($A30),0,$G30)</f>
        <v>0</v>
      </c>
      <c r="F31" s="122">
        <f>IF(AND($D31=0,$H30&gt;0,$E31&lt;Config!$B$8,$A31&lt;Config!$A$2),1,0)</f>
        <v>0</v>
      </c>
      <c r="G31" s="122">
        <f>$E31+$F31</f>
        <v>0</v>
      </c>
      <c r="H31" s="122">
        <f>IF($D31=1,$H30+1,IF($F31=1,$H30,IF($A31=Config!$A$2,$H30,0)))</f>
        <v>0</v>
      </c>
      <c r="J31" s="120" t="str">
        <f>J30+1</f>
        <v>2026-10-13 00:00:00</v>
      </c>
      <c r="K31" s="121">
        <f>SUMIFS('Daily Writing Log'!$H$5:$H$34,'Daily Writing Log'!$A$5:$A$34,$J31)</f>
        <v>0</v>
      </c>
      <c r="M31" s="123" t="n"/>
      <c r="AZ31" s="125">
        <f>IF(ISNUMBER('Daily Writing Log'!$A31),WEEKDAY('Daily Writing Log'!$A31,2),0)</f>
        <v>0</v>
      </c>
      <c r="BA31" s="141" t="inlineStr">
        <is>
          <t>Series / World</t>
        </is>
      </c>
      <c r="BB31" s="141" t="inlineStr">
        <is>
          <t>Total Lore Entities</t>
        </is>
      </c>
      <c r="BC31" s="141" t="inlineStr">
        <is>
          <t>Wikilink Edges</t>
        </is>
      </c>
    </row>
    <row r="32">
      <c r="A32" s="120" t="str">
        <f>A31+1</f>
        <v>2024-11-13 00:00:00</v>
      </c>
      <c r="B32" s="121">
        <f>SUMIFS('Daily Writing Log'!$H$5:$H$34,'Daily Writing Log'!$A$5:$A$34,$A32)</f>
        <v>0</v>
      </c>
      <c r="C32" s="121">
        <f>SUMIFS('Daily Writing Log'!$I$5:$I$34,'Daily Writing Log'!$A$5:$A$34,$A32)</f>
        <v>0</v>
      </c>
      <c r="D32" s="122">
        <f>IF($C32&gt;=Config!$B$5,1,0)</f>
        <v>0</v>
      </c>
      <c r="E32" s="122">
        <f>IF(MONTH($A32)&lt;&gt;MONTH($A31),0,$G31)</f>
        <v>0</v>
      </c>
      <c r="F32" s="122">
        <f>IF(AND($D32=0,$H31&gt;0,$E32&lt;Config!$B$8,$A32&lt;Config!$A$2),1,0)</f>
        <v>0</v>
      </c>
      <c r="G32" s="122">
        <f>$E32+$F32</f>
        <v>0</v>
      </c>
      <c r="H32" s="122">
        <f>IF($D32=1,$H31+1,IF($F32=1,$H31,IF($A32=Config!$A$2,$H31,0)))</f>
        <v>0</v>
      </c>
      <c r="J32" s="120" t="str">
        <f>J31+1</f>
        <v>2026-10-14 00:00:00</v>
      </c>
      <c r="K32" s="121">
        <f>SUMIFS('Daily Writing Log'!$H$5:$H$34,'Daily Writing Log'!$A$5:$A$34,$J32)</f>
        <v>0</v>
      </c>
      <c r="M32" s="123" t="n"/>
      <c r="AV32" s="119" t="inlineStr">
        <is>
          <t>Day of Week</t>
        </is>
      </c>
      <c r="AW32" s="119" t="inlineStr">
        <is>
          <t>Words Added</t>
        </is>
      </c>
      <c r="AX32" s="119" t="inlineStr">
        <is>
          <t>Effort Points</t>
        </is>
      </c>
      <c r="AY32" s="119" t="inlineStr">
        <is>
          <t>Time Spent (Mins)</t>
        </is>
      </c>
      <c r="AZ32" s="125">
        <f>IF(ISNUMBER('Daily Writing Log'!$A32),WEEKDAY('Daily Writing Log'!$A32,2),0)</f>
        <v>0</v>
      </c>
      <c r="BA32" s="142" t="str">
        <f>'World Bible &amp; Lore'!$A$10</f>
        <v>Sand Sea Saga</v>
      </c>
      <c r="BB32" s="143">
        <f>SUM('World Bible &amp; Lore'!$C$10:$I$10)</f>
        <v>34</v>
      </c>
      <c r="BC32" s="143">
        <f>N('World Bible &amp; Lore'!$J$10)</f>
        <v>28</v>
      </c>
    </row>
    <row r="33">
      <c r="A33" s="120" t="str">
        <f>A32+1</f>
        <v>2024-11-14 00:00:00</v>
      </c>
      <c r="B33" s="121">
        <f>SUMIFS('Daily Writing Log'!$H$5:$H$34,'Daily Writing Log'!$A$5:$A$34,$A33)</f>
        <v>0</v>
      </c>
      <c r="C33" s="121">
        <f>SUMIFS('Daily Writing Log'!$I$5:$I$34,'Daily Writing Log'!$A$5:$A$34,$A33)</f>
        <v>0</v>
      </c>
      <c r="D33" s="122">
        <f>IF($C33&gt;=Config!$B$5,1,0)</f>
        <v>0</v>
      </c>
      <c r="E33" s="122">
        <f>IF(MONTH($A33)&lt;&gt;MONTH($A32),0,$G32)</f>
        <v>0</v>
      </c>
      <c r="F33" s="122">
        <f>IF(AND($D33=0,$H32&gt;0,$E33&lt;Config!$B$8,$A33&lt;Config!$A$2),1,0)</f>
        <v>0</v>
      </c>
      <c r="G33" s="122">
        <f>$E33+$F33</f>
        <v>0</v>
      </c>
      <c r="H33" s="122">
        <f>IF($D33=1,$H32+1,IF($F33=1,$H32,IF($A33=Config!$A$2,$H32,0)))</f>
        <v>0</v>
      </c>
      <c r="J33" s="120" t="str">
        <f>J32+1</f>
        <v>2026-10-15 00:00:00</v>
      </c>
      <c r="K33" s="121">
        <f>SUMIFS('Daily Writing Log'!$H$5:$H$34,'Daily Writing Log'!$A$5:$A$34,$J33)</f>
        <v>0</v>
      </c>
      <c r="M33" s="123" t="n"/>
      <c r="AV33" s="125" t="inlineStr">
        <is>
          <t>Mon</t>
        </is>
      </c>
      <c r="AW33" s="126">
        <f>SUMIFS('Daily Writing Log'!$H$5:$H$34,$AZ$5:$AZ$34,1)</f>
        <v>0</v>
      </c>
      <c r="AX33" s="126">
        <f>SUMIFS('Daily Writing Log'!$I$5:$I$34,$AZ$5:$AZ$34,1)</f>
        <v>0</v>
      </c>
      <c r="AY33" s="126">
        <f>SUMIFS('Daily Writing Log'!$L$5:$L$34,$AZ$5:$AZ$34,1)</f>
        <v>0</v>
      </c>
      <c r="AZ33" s="125">
        <f>IF(ISNUMBER('Daily Writing Log'!$A33),WEEKDAY('Daily Writing Log'!$A33,2),0)</f>
        <v>0</v>
      </c>
      <c r="BA33" s="142" t="str">
        <f>'World Bible &amp; Lore'!$A$11</f>
        <v>Gothic Fantasy Series</v>
      </c>
      <c r="BB33" s="143">
        <f>SUM('World Bible &amp; Lore'!$C$11:$I$11)</f>
        <v>15</v>
      </c>
      <c r="BC33" s="143">
        <f>N('World Bible &amp; Lore'!$J$11)</f>
        <v>16</v>
      </c>
    </row>
    <row r="34">
      <c r="A34" s="120" t="str">
        <f>A33+1</f>
        <v>2024-11-15 00:00:00</v>
      </c>
      <c r="B34" s="121">
        <f>SUMIFS('Daily Writing Log'!$H$5:$H$34,'Daily Writing Log'!$A$5:$A$34,$A34)</f>
        <v>0</v>
      </c>
      <c r="C34" s="121">
        <f>SUMIFS('Daily Writing Log'!$I$5:$I$34,'Daily Writing Log'!$A$5:$A$34,$A34)</f>
        <v>0</v>
      </c>
      <c r="D34" s="122">
        <f>IF($C34&gt;=Config!$B$5,1,0)</f>
        <v>0</v>
      </c>
      <c r="E34" s="122">
        <f>IF(MONTH($A34)&lt;&gt;MONTH($A33),0,$G33)</f>
        <v>0</v>
      </c>
      <c r="F34" s="122">
        <f>IF(AND($D34=0,$H33&gt;0,$E34&lt;Config!$B$8,$A34&lt;Config!$A$2),1,0)</f>
        <v>0</v>
      </c>
      <c r="G34" s="122">
        <f>$E34+$F34</f>
        <v>0</v>
      </c>
      <c r="H34" s="122">
        <f>IF($D34=1,$H33+1,IF($F34=1,$H33,IF($A34=Config!$A$2,$H33,0)))</f>
        <v>0</v>
      </c>
      <c r="J34" s="120" t="str">
        <f>J33+1</f>
        <v>2026-10-16 00:00:00</v>
      </c>
      <c r="K34" s="121">
        <f>SUMIFS('Daily Writing Log'!$H$5:$H$34,'Daily Writing Log'!$A$5:$A$34,$J34)</f>
        <v>0</v>
      </c>
      <c r="M34" s="123" t="n"/>
      <c r="AV34" s="125" t="inlineStr">
        <is>
          <t>Tue</t>
        </is>
      </c>
      <c r="AW34" s="126">
        <f>SUMIFS('Daily Writing Log'!$H$5:$H$34,$AZ$5:$AZ$34,2)</f>
        <v>0</v>
      </c>
      <c r="AX34" s="126">
        <f>SUMIFS('Daily Writing Log'!$I$5:$I$34,$AZ$5:$AZ$34,2)</f>
        <v>0</v>
      </c>
      <c r="AY34" s="126">
        <f>SUMIFS('Daily Writing Log'!$L$5:$L$34,$AZ$5:$AZ$34,2)</f>
        <v>0</v>
      </c>
      <c r="AZ34" s="125">
        <f>IF(ISNUMBER('Daily Writing Log'!$A34),WEEKDAY('Daily Writing Log'!$A34,2),0)</f>
        <v>0</v>
      </c>
      <c r="BA34" s="142" t="str">
        <f>'World Bible &amp; Lore'!$A$12</f>
        <v>Classic Quest Fantasy</v>
      </c>
      <c r="BB34" s="143">
        <f>SUM('World Bible &amp; Lore'!$C$12:$I$12)</f>
        <v>15</v>
      </c>
      <c r="BC34" s="143">
        <f>N('World Bible &amp; Lore'!$J$12)</f>
        <v>15</v>
      </c>
    </row>
    <row r="35">
      <c r="A35" s="120" t="str">
        <f>A34+1</f>
        <v>2024-11-16 00:00:00</v>
      </c>
      <c r="B35" s="121">
        <f>SUMIFS('Daily Writing Log'!$H$5:$H$34,'Daily Writing Log'!$A$5:$A$34,$A35)</f>
        <v>0</v>
      </c>
      <c r="C35" s="121">
        <f>SUMIFS('Daily Writing Log'!$I$5:$I$34,'Daily Writing Log'!$A$5:$A$34,$A35)</f>
        <v>0</v>
      </c>
      <c r="D35" s="122">
        <f>IF($C35&gt;=Config!$B$5,1,0)</f>
        <v>0</v>
      </c>
      <c r="E35" s="122">
        <f>IF(MONTH($A35)&lt;&gt;MONTH($A34),0,$G34)</f>
        <v>0</v>
      </c>
      <c r="F35" s="122">
        <f>IF(AND($D35=0,$H34&gt;0,$E35&lt;Config!$B$8,$A35&lt;Config!$A$2),1,0)</f>
        <v>0</v>
      </c>
      <c r="G35" s="122">
        <f>$E35+$F35</f>
        <v>0</v>
      </c>
      <c r="H35" s="122">
        <f>IF($D35=1,$H34+1,IF($F35=1,$H34,IF($A35=Config!$A$2,$H34,0)))</f>
        <v>0</v>
      </c>
      <c r="M35" s="123" t="n"/>
      <c r="AV35" s="125" t="inlineStr">
        <is>
          <t>Wed</t>
        </is>
      </c>
      <c r="AW35" s="126">
        <f>SUMIFS('Daily Writing Log'!$H$5:$H$34,$AZ$5:$AZ$34,3)</f>
        <v>0</v>
      </c>
      <c r="AX35" s="126">
        <f>SUMIFS('Daily Writing Log'!$I$5:$I$34,$AZ$5:$AZ$34,3)</f>
        <v>0</v>
      </c>
      <c r="AY35" s="126">
        <f>SUMIFS('Daily Writing Log'!$L$5:$L$34,$AZ$5:$AZ$34,3)</f>
        <v>0</v>
      </c>
      <c r="BA35" s="142" t="str">
        <f>'World Bible &amp; Lore'!$A$13</f>
        <v>Stormbreaker Chronicles</v>
      </c>
      <c r="BB35" s="143">
        <f>SUM('World Bible &amp; Lore'!$C$13:$I$13)</f>
        <v>18</v>
      </c>
      <c r="BC35" s="143">
        <f>N('World Bible &amp; Lore'!$J$13)</f>
        <v>19</v>
      </c>
    </row>
    <row r="36">
      <c r="A36" s="120" t="str">
        <f>A35+1</f>
        <v>2024-11-17 00:00:00</v>
      </c>
      <c r="B36" s="121">
        <f>SUMIFS('Daily Writing Log'!$H$5:$H$34,'Daily Writing Log'!$A$5:$A$34,$A36)</f>
        <v>0</v>
      </c>
      <c r="C36" s="121">
        <f>SUMIFS('Daily Writing Log'!$I$5:$I$34,'Daily Writing Log'!$A$5:$A$34,$A36)</f>
        <v>0</v>
      </c>
      <c r="D36" s="122">
        <f>IF($C36&gt;=Config!$B$5,1,0)</f>
        <v>0</v>
      </c>
      <c r="E36" s="122">
        <f>IF(MONTH($A36)&lt;&gt;MONTH($A35),0,$G35)</f>
        <v>0</v>
      </c>
      <c r="F36" s="122">
        <f>IF(AND($D36=0,$H35&gt;0,$E36&lt;Config!$B$8,$A36&lt;Config!$A$2),1,0)</f>
        <v>0</v>
      </c>
      <c r="G36" s="122">
        <f>$E36+$F36</f>
        <v>0</v>
      </c>
      <c r="H36" s="122">
        <f>IF($D36=1,$H35+1,IF($F36=1,$H35,IF($A36=Config!$A$2,$H35,0)))</f>
        <v>0</v>
      </c>
      <c r="M36" s="123" t="n"/>
      <c r="AV36" s="125" t="inlineStr">
        <is>
          <t>Thu</t>
        </is>
      </c>
      <c r="AW36" s="126">
        <f>SUMIFS('Daily Writing Log'!$H$5:$H$34,$AZ$5:$AZ$34,4)</f>
        <v>0</v>
      </c>
      <c r="AX36" s="126">
        <f>SUMIFS('Daily Writing Log'!$I$5:$I$34,$AZ$5:$AZ$34,4)</f>
        <v>0</v>
      </c>
      <c r="AY36" s="126">
        <f>SUMIFS('Daily Writing Log'!$L$5:$L$34,$AZ$5:$AZ$34,4)</f>
        <v>0</v>
      </c>
      <c r="BA36" s="142" t="str">
        <f>'World Bible &amp; Lore'!$A$14</f>
        <v>The Silver Chronicles</v>
      </c>
      <c r="BB36" s="143">
        <f>SUM('World Bible &amp; Lore'!$C$14:$I$14)</f>
        <v>16</v>
      </c>
      <c r="BC36" s="143">
        <f>N('World Bible &amp; Lore'!$J$14)</f>
        <v>34</v>
      </c>
    </row>
    <row r="37">
      <c r="A37" s="120" t="str">
        <f>A36+1</f>
        <v>2024-11-18 00:00:00</v>
      </c>
      <c r="B37" s="121">
        <f>SUMIFS('Daily Writing Log'!$H$5:$H$34,'Daily Writing Log'!$A$5:$A$34,$A37)</f>
        <v>0</v>
      </c>
      <c r="C37" s="121">
        <f>SUMIFS('Daily Writing Log'!$I$5:$I$34,'Daily Writing Log'!$A$5:$A$34,$A37)</f>
        <v>0</v>
      </c>
      <c r="D37" s="122">
        <f>IF($C37&gt;=Config!$B$5,1,0)</f>
        <v>0</v>
      </c>
      <c r="E37" s="122">
        <f>IF(MONTH($A37)&lt;&gt;MONTH($A36),0,$G36)</f>
        <v>0</v>
      </c>
      <c r="F37" s="122">
        <f>IF(AND($D37=0,$H36&gt;0,$E37&lt;Config!$B$8,$A37&lt;Config!$A$2),1,0)</f>
        <v>0</v>
      </c>
      <c r="G37" s="122">
        <f>$E37+$F37</f>
        <v>0</v>
      </c>
      <c r="H37" s="122">
        <f>IF($D37=1,$H36+1,IF($F37=1,$H36,IF($A37=Config!$A$2,$H36,0)))</f>
        <v>0</v>
      </c>
      <c r="M37" s="123" t="n"/>
      <c r="AV37" s="125" t="inlineStr">
        <is>
          <t>Fri</t>
        </is>
      </c>
      <c r="AW37" s="126">
        <f>SUMIFS('Daily Writing Log'!$H$5:$H$34,$AZ$5:$AZ$34,5)</f>
        <v>0</v>
      </c>
      <c r="AX37" s="126">
        <f>SUMIFS('Daily Writing Log'!$I$5:$I$34,$AZ$5:$AZ$34,5)</f>
        <v>0</v>
      </c>
      <c r="AY37" s="126">
        <f>SUMIFS('Daily Writing Log'!$L$5:$L$34,$AZ$5:$AZ$34,5)</f>
        <v>0</v>
      </c>
    </row>
    <row r="38">
      <c r="A38" s="120" t="str">
        <f>A37+1</f>
        <v>2024-11-19 00:00:00</v>
      </c>
      <c r="B38" s="121">
        <f>SUMIFS('Daily Writing Log'!$H$5:$H$34,'Daily Writing Log'!$A$5:$A$34,$A38)</f>
        <v>0</v>
      </c>
      <c r="C38" s="121">
        <f>SUMIFS('Daily Writing Log'!$I$5:$I$34,'Daily Writing Log'!$A$5:$A$34,$A38)</f>
        <v>0</v>
      </c>
      <c r="D38" s="122">
        <f>IF($C38&gt;=Config!$B$5,1,0)</f>
        <v>0</v>
      </c>
      <c r="E38" s="122">
        <f>IF(MONTH($A38)&lt;&gt;MONTH($A37),0,$G37)</f>
        <v>0</v>
      </c>
      <c r="F38" s="122">
        <f>IF(AND($D38=0,$H37&gt;0,$E38&lt;Config!$B$8,$A38&lt;Config!$A$2),1,0)</f>
        <v>0</v>
      </c>
      <c r="G38" s="122">
        <f>$E38+$F38</f>
        <v>0</v>
      </c>
      <c r="H38" s="122">
        <f>IF($D38=1,$H37+1,IF($F38=1,$H37,IF($A38=Config!$A$2,$H37,0)))</f>
        <v>0</v>
      </c>
      <c r="M38" s="123" t="n"/>
      <c r="AV38" s="125" t="inlineStr">
        <is>
          <t>Sat</t>
        </is>
      </c>
      <c r="AW38" s="126">
        <f>SUMIFS('Daily Writing Log'!$H$5:$H$34,$AZ$5:$AZ$34,6)</f>
        <v>0</v>
      </c>
      <c r="AX38" s="126">
        <f>SUMIFS('Daily Writing Log'!$I$5:$I$34,$AZ$5:$AZ$34,6)</f>
        <v>0</v>
      </c>
      <c r="AY38" s="126">
        <f>SUMIFS('Daily Writing Log'!$L$5:$L$34,$AZ$5:$AZ$34,6)</f>
        <v>0</v>
      </c>
    </row>
    <row r="39">
      <c r="A39" s="120" t="str">
        <f>A38+1</f>
        <v>2024-11-20 00:00:00</v>
      </c>
      <c r="B39" s="121">
        <f>SUMIFS('Daily Writing Log'!$H$5:$H$34,'Daily Writing Log'!$A$5:$A$34,$A39)</f>
        <v>0</v>
      </c>
      <c r="C39" s="121">
        <f>SUMIFS('Daily Writing Log'!$I$5:$I$34,'Daily Writing Log'!$A$5:$A$34,$A39)</f>
        <v>0</v>
      </c>
      <c r="D39" s="122">
        <f>IF($C39&gt;=Config!$B$5,1,0)</f>
        <v>0</v>
      </c>
      <c r="E39" s="122">
        <f>IF(MONTH($A39)&lt;&gt;MONTH($A38),0,$G38)</f>
        <v>0</v>
      </c>
      <c r="F39" s="122">
        <f>IF(AND($D39=0,$H38&gt;0,$E39&lt;Config!$B$8,$A39&lt;Config!$A$2),1,0)</f>
        <v>0</v>
      </c>
      <c r="G39" s="122">
        <f>$E39+$F39</f>
        <v>0</v>
      </c>
      <c r="H39" s="122">
        <f>IF($D39=1,$H38+1,IF($F39=1,$H38,IF($A39=Config!$A$2,$H38,0)))</f>
        <v>0</v>
      </c>
      <c r="M39" s="123" t="n"/>
      <c r="AV39" s="125" t="inlineStr">
        <is>
          <t>Sun</t>
        </is>
      </c>
      <c r="AW39" s="126">
        <f>SUMIFS('Daily Writing Log'!$H$5:$H$34,$AZ$5:$AZ$34,7)</f>
        <v>0</v>
      </c>
      <c r="AX39" s="126">
        <f>SUMIFS('Daily Writing Log'!$I$5:$I$34,$AZ$5:$AZ$34,7)</f>
        <v>0</v>
      </c>
      <c r="AY39" s="126">
        <f>SUMIFS('Daily Writing Log'!$L$5:$L$34,$AZ$5:$AZ$34,7)</f>
        <v>0</v>
      </c>
    </row>
    <row r="40">
      <c r="A40" s="120" t="str">
        <f>A39+1</f>
        <v>2024-11-21 00:00:00</v>
      </c>
      <c r="B40" s="121">
        <f>SUMIFS('Daily Writing Log'!$H$5:$H$34,'Daily Writing Log'!$A$5:$A$34,$A40)</f>
        <v>0</v>
      </c>
      <c r="C40" s="121">
        <f>SUMIFS('Daily Writing Log'!$I$5:$I$34,'Daily Writing Log'!$A$5:$A$34,$A40)</f>
        <v>0</v>
      </c>
      <c r="D40" s="122">
        <f>IF($C40&gt;=Config!$B$5,1,0)</f>
        <v>0</v>
      </c>
      <c r="E40" s="122">
        <f>IF(MONTH($A40)&lt;&gt;MONTH($A39),0,$G39)</f>
        <v>0</v>
      </c>
      <c r="F40" s="122">
        <f>IF(AND($D40=0,$H39&gt;0,$E40&lt;Config!$B$8,$A40&lt;Config!$A$2),1,0)</f>
        <v>0</v>
      </c>
      <c r="G40" s="122">
        <f>$E40+$F40</f>
        <v>0</v>
      </c>
      <c r="H40" s="122">
        <f>IF($D40=1,$H39+1,IF($F40=1,$H39,IF($A40=Config!$A$2,$H39,0)))</f>
        <v>0</v>
      </c>
      <c r="M40" s="123" t="n"/>
    </row>
    <row r="41">
      <c r="A41" s="120" t="str">
        <f>A40+1</f>
        <v>2024-11-22 00:00:00</v>
      </c>
      <c r="B41" s="121">
        <f>SUMIFS('Daily Writing Log'!$H$5:$H$34,'Daily Writing Log'!$A$5:$A$34,$A41)</f>
        <v>0</v>
      </c>
      <c r="C41" s="121">
        <f>SUMIFS('Daily Writing Log'!$I$5:$I$34,'Daily Writing Log'!$A$5:$A$34,$A41)</f>
        <v>0</v>
      </c>
      <c r="D41" s="122">
        <f>IF($C41&gt;=Config!$B$5,1,0)</f>
        <v>0</v>
      </c>
      <c r="E41" s="122">
        <f>IF(MONTH($A41)&lt;&gt;MONTH($A40),0,$G40)</f>
        <v>0</v>
      </c>
      <c r="F41" s="122">
        <f>IF(AND($D41=0,$H40&gt;0,$E41&lt;Config!$B$8,$A41&lt;Config!$A$2),1,0)</f>
        <v>0</v>
      </c>
      <c r="G41" s="122">
        <f>$E41+$F41</f>
        <v>0</v>
      </c>
      <c r="H41" s="122">
        <f>IF($D41=1,$H40+1,IF($F41=1,$H40,IF($A41=Config!$A$2,$H40,0)))</f>
        <v>0</v>
      </c>
      <c r="M41" s="123" t="n"/>
    </row>
    <row r="42">
      <c r="A42" s="120" t="str">
        <f>A41+1</f>
        <v>2024-11-23 00:00:00</v>
      </c>
      <c r="B42" s="121">
        <f>SUMIFS('Daily Writing Log'!$H$5:$H$34,'Daily Writing Log'!$A$5:$A$34,$A42)</f>
        <v>0</v>
      </c>
      <c r="C42" s="121">
        <f>SUMIFS('Daily Writing Log'!$I$5:$I$34,'Daily Writing Log'!$A$5:$A$34,$A42)</f>
        <v>0</v>
      </c>
      <c r="D42" s="122">
        <f>IF($C42&gt;=Config!$B$5,1,0)</f>
        <v>0</v>
      </c>
      <c r="E42" s="122">
        <f>IF(MONTH($A42)&lt;&gt;MONTH($A41),0,$G41)</f>
        <v>0</v>
      </c>
      <c r="F42" s="122">
        <f>IF(AND($D42=0,$H41&gt;0,$E42&lt;Config!$B$8,$A42&lt;Config!$A$2),1,0)</f>
        <v>0</v>
      </c>
      <c r="G42" s="122">
        <f>$E42+$F42</f>
        <v>0</v>
      </c>
      <c r="H42" s="122">
        <f>IF($D42=1,$H41+1,IF($F42=1,$H41,IF($A42=Config!$A$2,$H41,0)))</f>
        <v>0</v>
      </c>
      <c r="M42" s="123" t="n"/>
    </row>
    <row r="43">
      <c r="A43" s="120" t="str">
        <f>A42+1</f>
        <v>2024-11-24 00:00:00</v>
      </c>
      <c r="B43" s="121">
        <f>SUMIFS('Daily Writing Log'!$H$5:$H$34,'Daily Writing Log'!$A$5:$A$34,$A43)</f>
        <v>0</v>
      </c>
      <c r="C43" s="121">
        <f>SUMIFS('Daily Writing Log'!$I$5:$I$34,'Daily Writing Log'!$A$5:$A$34,$A43)</f>
        <v>0</v>
      </c>
      <c r="D43" s="122">
        <f>IF($C43&gt;=Config!$B$5,1,0)</f>
        <v>0</v>
      </c>
      <c r="E43" s="122">
        <f>IF(MONTH($A43)&lt;&gt;MONTH($A42),0,$G42)</f>
        <v>0</v>
      </c>
      <c r="F43" s="122">
        <f>IF(AND($D43=0,$H42&gt;0,$E43&lt;Config!$B$8,$A43&lt;Config!$A$2),1,0)</f>
        <v>0</v>
      </c>
      <c r="G43" s="122">
        <f>$E43+$F43</f>
        <v>0</v>
      </c>
      <c r="H43" s="122">
        <f>IF($D43=1,$H42+1,IF($F43=1,$H42,IF($A43=Config!$A$2,$H42,0)))</f>
        <v>0</v>
      </c>
      <c r="M43" s="123" t="n"/>
    </row>
    <row r="44">
      <c r="A44" s="120" t="str">
        <f>A43+1</f>
        <v>2024-11-25 00:00:00</v>
      </c>
      <c r="B44" s="121">
        <f>SUMIFS('Daily Writing Log'!$H$5:$H$34,'Daily Writing Log'!$A$5:$A$34,$A44)</f>
        <v>0</v>
      </c>
      <c r="C44" s="121">
        <f>SUMIFS('Daily Writing Log'!$I$5:$I$34,'Daily Writing Log'!$A$5:$A$34,$A44)</f>
        <v>0</v>
      </c>
      <c r="D44" s="122">
        <f>IF($C44&gt;=Config!$B$5,1,0)</f>
        <v>0</v>
      </c>
      <c r="E44" s="122">
        <f>IF(MONTH($A44)&lt;&gt;MONTH($A43),0,$G43)</f>
        <v>0</v>
      </c>
      <c r="F44" s="122">
        <f>IF(AND($D44=0,$H43&gt;0,$E44&lt;Config!$B$8,$A44&lt;Config!$A$2),1,0)</f>
        <v>0</v>
      </c>
      <c r="G44" s="122">
        <f>$E44+$F44</f>
        <v>0</v>
      </c>
      <c r="H44" s="122">
        <f>IF($D44=1,$H43+1,IF($F44=1,$H43,IF($A44=Config!$A$2,$H43,0)))</f>
        <v>0</v>
      </c>
      <c r="M44" s="123" t="n"/>
    </row>
    <row r="45">
      <c r="A45" s="120" t="str">
        <f>A44+1</f>
        <v>2024-11-26 00:00:00</v>
      </c>
      <c r="B45" s="121">
        <f>SUMIFS('Daily Writing Log'!$H$5:$H$34,'Daily Writing Log'!$A$5:$A$34,$A45)</f>
        <v>0</v>
      </c>
      <c r="C45" s="121">
        <f>SUMIFS('Daily Writing Log'!$I$5:$I$34,'Daily Writing Log'!$A$5:$A$34,$A45)</f>
        <v>0</v>
      </c>
      <c r="D45" s="122">
        <f>IF($C45&gt;=Config!$B$5,1,0)</f>
        <v>0</v>
      </c>
      <c r="E45" s="122">
        <f>IF(MONTH($A45)&lt;&gt;MONTH($A44),0,$G44)</f>
        <v>0</v>
      </c>
      <c r="F45" s="122">
        <f>IF(AND($D45=0,$H44&gt;0,$E45&lt;Config!$B$8,$A45&lt;Config!$A$2),1,0)</f>
        <v>0</v>
      </c>
      <c r="G45" s="122">
        <f>$E45+$F45</f>
        <v>0</v>
      </c>
      <c r="H45" s="122">
        <f>IF($D45=1,$H44+1,IF($F45=1,$H44,IF($A45=Config!$A$2,$H44,0)))</f>
        <v>0</v>
      </c>
      <c r="M45" s="123" t="n"/>
    </row>
    <row r="46">
      <c r="A46" s="120" t="str">
        <f>A45+1</f>
        <v>2024-11-27 00:00:00</v>
      </c>
      <c r="B46" s="121">
        <f>SUMIFS('Daily Writing Log'!$H$5:$H$34,'Daily Writing Log'!$A$5:$A$34,$A46)</f>
        <v>0</v>
      </c>
      <c r="C46" s="121">
        <f>SUMIFS('Daily Writing Log'!$I$5:$I$34,'Daily Writing Log'!$A$5:$A$34,$A46)</f>
        <v>0</v>
      </c>
      <c r="D46" s="122">
        <f>IF($C46&gt;=Config!$B$5,1,0)</f>
        <v>0</v>
      </c>
      <c r="E46" s="122">
        <f>IF(MONTH($A46)&lt;&gt;MONTH($A45),0,$G45)</f>
        <v>0</v>
      </c>
      <c r="F46" s="122">
        <f>IF(AND($D46=0,$H45&gt;0,$E46&lt;Config!$B$8,$A46&lt;Config!$A$2),1,0)</f>
        <v>0</v>
      </c>
      <c r="G46" s="122">
        <f>$E46+$F46</f>
        <v>0</v>
      </c>
      <c r="H46" s="122">
        <f>IF($D46=1,$H45+1,IF($F46=1,$H45,IF($A46=Config!$A$2,$H45,0)))</f>
        <v>0</v>
      </c>
      <c r="M46" s="123" t="n"/>
    </row>
    <row r="47">
      <c r="A47" s="120" t="str">
        <f>A46+1</f>
        <v>2024-11-28 00:00:00</v>
      </c>
      <c r="B47" s="121">
        <f>SUMIFS('Daily Writing Log'!$H$5:$H$34,'Daily Writing Log'!$A$5:$A$34,$A47)</f>
        <v>0</v>
      </c>
      <c r="C47" s="121">
        <f>SUMIFS('Daily Writing Log'!$I$5:$I$34,'Daily Writing Log'!$A$5:$A$34,$A47)</f>
        <v>0</v>
      </c>
      <c r="D47" s="122">
        <f>IF($C47&gt;=Config!$B$5,1,0)</f>
        <v>0</v>
      </c>
      <c r="E47" s="122">
        <f>IF(MONTH($A47)&lt;&gt;MONTH($A46),0,$G46)</f>
        <v>0</v>
      </c>
      <c r="F47" s="122">
        <f>IF(AND($D47=0,$H46&gt;0,$E47&lt;Config!$B$8,$A47&lt;Config!$A$2),1,0)</f>
        <v>0</v>
      </c>
      <c r="G47" s="122">
        <f>$E47+$F47</f>
        <v>0</v>
      </c>
      <c r="H47" s="122">
        <f>IF($D47=1,$H46+1,IF($F47=1,$H46,IF($A47=Config!$A$2,$H46,0)))</f>
        <v>0</v>
      </c>
      <c r="M47" s="123" t="n"/>
    </row>
    <row r="48">
      <c r="A48" s="120" t="str">
        <f>A47+1</f>
        <v>2024-11-29 00:00:00</v>
      </c>
      <c r="B48" s="121">
        <f>SUMIFS('Daily Writing Log'!$H$5:$H$34,'Daily Writing Log'!$A$5:$A$34,$A48)</f>
        <v>0</v>
      </c>
      <c r="C48" s="121">
        <f>SUMIFS('Daily Writing Log'!$I$5:$I$34,'Daily Writing Log'!$A$5:$A$34,$A48)</f>
        <v>0</v>
      </c>
      <c r="D48" s="122">
        <f>IF($C48&gt;=Config!$B$5,1,0)</f>
        <v>0</v>
      </c>
      <c r="E48" s="122">
        <f>IF(MONTH($A48)&lt;&gt;MONTH($A47),0,$G47)</f>
        <v>0</v>
      </c>
      <c r="F48" s="122">
        <f>IF(AND($D48=0,$H47&gt;0,$E48&lt;Config!$B$8,$A48&lt;Config!$A$2),1,0)</f>
        <v>0</v>
      </c>
      <c r="G48" s="122">
        <f>$E48+$F48</f>
        <v>0</v>
      </c>
      <c r="H48" s="122">
        <f>IF($D48=1,$H47+1,IF($F48=1,$H47,IF($A48=Config!$A$2,$H47,0)))</f>
        <v>0</v>
      </c>
      <c r="M48" s="123" t="n"/>
    </row>
    <row r="49">
      <c r="A49" s="120" t="str">
        <f>A48+1</f>
        <v>2024-11-30 00:00:00</v>
      </c>
      <c r="B49" s="121">
        <f>SUMIFS('Daily Writing Log'!$H$5:$H$34,'Daily Writing Log'!$A$5:$A$34,$A49)</f>
        <v>0</v>
      </c>
      <c r="C49" s="121">
        <f>SUMIFS('Daily Writing Log'!$I$5:$I$34,'Daily Writing Log'!$A$5:$A$34,$A49)</f>
        <v>0</v>
      </c>
      <c r="D49" s="122">
        <f>IF($C49&gt;=Config!$B$5,1,0)</f>
        <v>0</v>
      </c>
      <c r="E49" s="122">
        <f>IF(MONTH($A49)&lt;&gt;MONTH($A48),0,$G48)</f>
        <v>0</v>
      </c>
      <c r="F49" s="122">
        <f>IF(AND($D49=0,$H48&gt;0,$E49&lt;Config!$B$8,$A49&lt;Config!$A$2),1,0)</f>
        <v>0</v>
      </c>
      <c r="G49" s="122">
        <f>$E49+$F49</f>
        <v>0</v>
      </c>
      <c r="H49" s="122">
        <f>IF($D49=1,$H48+1,IF($F49=1,$H48,IF($A49=Config!$A$2,$H48,0)))</f>
        <v>0</v>
      </c>
      <c r="M49" s="123" t="n"/>
    </row>
    <row r="50">
      <c r="A50" s="120" t="str">
        <f>A49+1</f>
        <v>2024-12-01 00:00:00</v>
      </c>
      <c r="B50" s="121">
        <f>SUMIFS('Daily Writing Log'!$H$5:$H$34,'Daily Writing Log'!$A$5:$A$34,$A50)</f>
        <v>0</v>
      </c>
      <c r="C50" s="121">
        <f>SUMIFS('Daily Writing Log'!$I$5:$I$34,'Daily Writing Log'!$A$5:$A$34,$A50)</f>
        <v>0</v>
      </c>
      <c r="D50" s="122">
        <f>IF($C50&gt;=Config!$B$5,1,0)</f>
        <v>0</v>
      </c>
      <c r="E50" s="122">
        <f>IF(MONTH($A50)&lt;&gt;MONTH($A49),0,$G49)</f>
        <v>0</v>
      </c>
      <c r="F50" s="122">
        <f>IF(AND($D50=0,$H49&gt;0,$E50&lt;Config!$B$8,$A50&lt;Config!$A$2),1,0)</f>
        <v>0</v>
      </c>
      <c r="G50" s="122">
        <f>$E50+$F50</f>
        <v>0</v>
      </c>
      <c r="H50" s="122">
        <f>IF($D50=1,$H49+1,IF($F50=1,$H49,IF($A50=Config!$A$2,$H49,0)))</f>
        <v>0</v>
      </c>
      <c r="M50" s="123" t="n"/>
    </row>
    <row r="51">
      <c r="A51" s="120" t="str">
        <f>A50+1</f>
        <v>2024-12-02 00:00:00</v>
      </c>
      <c r="B51" s="121">
        <f>SUMIFS('Daily Writing Log'!$H$5:$H$34,'Daily Writing Log'!$A$5:$A$34,$A51)</f>
        <v>0</v>
      </c>
      <c r="C51" s="121">
        <f>SUMIFS('Daily Writing Log'!$I$5:$I$34,'Daily Writing Log'!$A$5:$A$34,$A51)</f>
        <v>0</v>
      </c>
      <c r="D51" s="122">
        <f>IF($C51&gt;=Config!$B$5,1,0)</f>
        <v>0</v>
      </c>
      <c r="E51" s="122">
        <f>IF(MONTH($A51)&lt;&gt;MONTH($A50),0,$G50)</f>
        <v>0</v>
      </c>
      <c r="F51" s="122">
        <f>IF(AND($D51=0,$H50&gt;0,$E51&lt;Config!$B$8,$A51&lt;Config!$A$2),1,0)</f>
        <v>0</v>
      </c>
      <c r="G51" s="122">
        <f>$E51+$F51</f>
        <v>0</v>
      </c>
      <c r="H51" s="122">
        <f>IF($D51=1,$H50+1,IF($F51=1,$H50,IF($A51=Config!$A$2,$H50,0)))</f>
        <v>0</v>
      </c>
      <c r="M51" s="123" t="n"/>
    </row>
    <row r="52">
      <c r="A52" s="120" t="str">
        <f>A51+1</f>
        <v>2024-12-03 00:00:00</v>
      </c>
      <c r="B52" s="121">
        <f>SUMIFS('Daily Writing Log'!$H$5:$H$34,'Daily Writing Log'!$A$5:$A$34,$A52)</f>
        <v>0</v>
      </c>
      <c r="C52" s="121">
        <f>SUMIFS('Daily Writing Log'!$I$5:$I$34,'Daily Writing Log'!$A$5:$A$34,$A52)</f>
        <v>0</v>
      </c>
      <c r="D52" s="122">
        <f>IF($C52&gt;=Config!$B$5,1,0)</f>
        <v>0</v>
      </c>
      <c r="E52" s="122">
        <f>IF(MONTH($A52)&lt;&gt;MONTH($A51),0,$G51)</f>
        <v>0</v>
      </c>
      <c r="F52" s="122">
        <f>IF(AND($D52=0,$H51&gt;0,$E52&lt;Config!$B$8,$A52&lt;Config!$A$2),1,0)</f>
        <v>0</v>
      </c>
      <c r="G52" s="122">
        <f>$E52+$F52</f>
        <v>0</v>
      </c>
      <c r="H52" s="122">
        <f>IF($D52=1,$H51+1,IF($F52=1,$H51,IF($A52=Config!$A$2,$H51,0)))</f>
        <v>0</v>
      </c>
      <c r="M52" s="123" t="n"/>
    </row>
    <row r="53">
      <c r="A53" s="120" t="str">
        <f>A52+1</f>
        <v>2024-12-04 00:00:00</v>
      </c>
      <c r="B53" s="121">
        <f>SUMIFS('Daily Writing Log'!$H$5:$H$34,'Daily Writing Log'!$A$5:$A$34,$A53)</f>
        <v>0</v>
      </c>
      <c r="C53" s="121">
        <f>SUMIFS('Daily Writing Log'!$I$5:$I$34,'Daily Writing Log'!$A$5:$A$34,$A53)</f>
        <v>0</v>
      </c>
      <c r="D53" s="122">
        <f>IF($C53&gt;=Config!$B$5,1,0)</f>
        <v>0</v>
      </c>
      <c r="E53" s="122">
        <f>IF(MONTH($A53)&lt;&gt;MONTH($A52),0,$G52)</f>
        <v>0</v>
      </c>
      <c r="F53" s="122">
        <f>IF(AND($D53=0,$H52&gt;0,$E53&lt;Config!$B$8,$A53&lt;Config!$A$2),1,0)</f>
        <v>0</v>
      </c>
      <c r="G53" s="122">
        <f>$E53+$F53</f>
        <v>0</v>
      </c>
      <c r="H53" s="122">
        <f>IF($D53=1,$H52+1,IF($F53=1,$H52,IF($A53=Config!$A$2,$H52,0)))</f>
        <v>0</v>
      </c>
      <c r="M53" s="123" t="n"/>
    </row>
    <row r="54">
      <c r="A54" s="120" t="str">
        <f>A53+1</f>
        <v>2024-12-05 00:00:00</v>
      </c>
      <c r="B54" s="121">
        <f>SUMIFS('Daily Writing Log'!$H$5:$H$34,'Daily Writing Log'!$A$5:$A$34,$A54)</f>
        <v>0</v>
      </c>
      <c r="C54" s="121">
        <f>SUMIFS('Daily Writing Log'!$I$5:$I$34,'Daily Writing Log'!$A$5:$A$34,$A54)</f>
        <v>0</v>
      </c>
      <c r="D54" s="122">
        <f>IF($C54&gt;=Config!$B$5,1,0)</f>
        <v>0</v>
      </c>
      <c r="E54" s="122">
        <f>IF(MONTH($A54)&lt;&gt;MONTH($A53),0,$G53)</f>
        <v>0</v>
      </c>
      <c r="F54" s="122">
        <f>IF(AND($D54=0,$H53&gt;0,$E54&lt;Config!$B$8,$A54&lt;Config!$A$2),1,0)</f>
        <v>0</v>
      </c>
      <c r="G54" s="122">
        <f>$E54+$F54</f>
        <v>0</v>
      </c>
      <c r="H54" s="122">
        <f>IF($D54=1,$H53+1,IF($F54=1,$H53,IF($A54=Config!$A$2,$H53,0)))</f>
        <v>0</v>
      </c>
      <c r="M54" s="123" t="n"/>
    </row>
    <row r="55">
      <c r="A55" s="120" t="str">
        <f>A54+1</f>
        <v>2024-12-06 00:00:00</v>
      </c>
      <c r="B55" s="121">
        <f>SUMIFS('Daily Writing Log'!$H$5:$H$34,'Daily Writing Log'!$A$5:$A$34,$A55)</f>
        <v>0</v>
      </c>
      <c r="C55" s="121">
        <f>SUMIFS('Daily Writing Log'!$I$5:$I$34,'Daily Writing Log'!$A$5:$A$34,$A55)</f>
        <v>0</v>
      </c>
      <c r="D55" s="122">
        <f>IF($C55&gt;=Config!$B$5,1,0)</f>
        <v>0</v>
      </c>
      <c r="E55" s="122">
        <f>IF(MONTH($A55)&lt;&gt;MONTH($A54),0,$G54)</f>
        <v>0</v>
      </c>
      <c r="F55" s="122">
        <f>IF(AND($D55=0,$H54&gt;0,$E55&lt;Config!$B$8,$A55&lt;Config!$A$2),1,0)</f>
        <v>0</v>
      </c>
      <c r="G55" s="122">
        <f>$E55+$F55</f>
        <v>0</v>
      </c>
      <c r="H55" s="122">
        <f>IF($D55=1,$H54+1,IF($F55=1,$H54,IF($A55=Config!$A$2,$H54,0)))</f>
        <v>0</v>
      </c>
      <c r="M55" s="123" t="n"/>
    </row>
    <row r="56">
      <c r="A56" s="120" t="str">
        <f>A55+1</f>
        <v>2024-12-07 00:00:00</v>
      </c>
      <c r="B56" s="121">
        <f>SUMIFS('Daily Writing Log'!$H$5:$H$34,'Daily Writing Log'!$A$5:$A$34,$A56)</f>
        <v>0</v>
      </c>
      <c r="C56" s="121">
        <f>SUMIFS('Daily Writing Log'!$I$5:$I$34,'Daily Writing Log'!$A$5:$A$34,$A56)</f>
        <v>0</v>
      </c>
      <c r="D56" s="122">
        <f>IF($C56&gt;=Config!$B$5,1,0)</f>
        <v>0</v>
      </c>
      <c r="E56" s="122">
        <f>IF(MONTH($A56)&lt;&gt;MONTH($A55),0,$G55)</f>
        <v>0</v>
      </c>
      <c r="F56" s="122">
        <f>IF(AND($D56=0,$H55&gt;0,$E56&lt;Config!$B$8,$A56&lt;Config!$A$2),1,0)</f>
        <v>0</v>
      </c>
      <c r="G56" s="122">
        <f>$E56+$F56</f>
        <v>0</v>
      </c>
      <c r="H56" s="122">
        <f>IF($D56=1,$H55+1,IF($F56=1,$H55,IF($A56=Config!$A$2,$H55,0)))</f>
        <v>0</v>
      </c>
      <c r="M56" s="123" t="n"/>
    </row>
    <row r="57">
      <c r="A57" s="120" t="str">
        <f>A56+1</f>
        <v>2024-12-08 00:00:00</v>
      </c>
      <c r="B57" s="121">
        <f>SUMIFS('Daily Writing Log'!$H$5:$H$34,'Daily Writing Log'!$A$5:$A$34,$A57)</f>
        <v>0</v>
      </c>
      <c r="C57" s="121">
        <f>SUMIFS('Daily Writing Log'!$I$5:$I$34,'Daily Writing Log'!$A$5:$A$34,$A57)</f>
        <v>0</v>
      </c>
      <c r="D57" s="122">
        <f>IF($C57&gt;=Config!$B$5,1,0)</f>
        <v>0</v>
      </c>
      <c r="E57" s="122">
        <f>IF(MONTH($A57)&lt;&gt;MONTH($A56),0,$G56)</f>
        <v>0</v>
      </c>
      <c r="F57" s="122">
        <f>IF(AND($D57=0,$H56&gt;0,$E57&lt;Config!$B$8,$A57&lt;Config!$A$2),1,0)</f>
        <v>0</v>
      </c>
      <c r="G57" s="122">
        <f>$E57+$F57</f>
        <v>0</v>
      </c>
      <c r="H57" s="122">
        <f>IF($D57=1,$H56+1,IF($F57=1,$H56,IF($A57=Config!$A$2,$H56,0)))</f>
        <v>0</v>
      </c>
      <c r="M57" s="123" t="n"/>
    </row>
    <row r="58">
      <c r="A58" s="120" t="str">
        <f>A57+1</f>
        <v>2024-12-09 00:00:00</v>
      </c>
      <c r="B58" s="121">
        <f>SUMIFS('Daily Writing Log'!$H$5:$H$34,'Daily Writing Log'!$A$5:$A$34,$A58)</f>
        <v>0</v>
      </c>
      <c r="C58" s="121">
        <f>SUMIFS('Daily Writing Log'!$I$5:$I$34,'Daily Writing Log'!$A$5:$A$34,$A58)</f>
        <v>0</v>
      </c>
      <c r="D58" s="122">
        <f>IF($C58&gt;=Config!$B$5,1,0)</f>
        <v>0</v>
      </c>
      <c r="E58" s="122">
        <f>IF(MONTH($A58)&lt;&gt;MONTH($A57),0,$G57)</f>
        <v>0</v>
      </c>
      <c r="F58" s="122">
        <f>IF(AND($D58=0,$H57&gt;0,$E58&lt;Config!$B$8,$A58&lt;Config!$A$2),1,0)</f>
        <v>0</v>
      </c>
      <c r="G58" s="122">
        <f>$E58+$F58</f>
        <v>0</v>
      </c>
      <c r="H58" s="122">
        <f>IF($D58=1,$H57+1,IF($F58=1,$H57,IF($A58=Config!$A$2,$H57,0)))</f>
        <v>0</v>
      </c>
      <c r="M58" s="123" t="n"/>
    </row>
    <row r="59">
      <c r="A59" s="120" t="str">
        <f>A58+1</f>
        <v>2024-12-10 00:00:00</v>
      </c>
      <c r="B59" s="121">
        <f>SUMIFS('Daily Writing Log'!$H$5:$H$34,'Daily Writing Log'!$A$5:$A$34,$A59)</f>
        <v>0</v>
      </c>
      <c r="C59" s="121">
        <f>SUMIFS('Daily Writing Log'!$I$5:$I$34,'Daily Writing Log'!$A$5:$A$34,$A59)</f>
        <v>0</v>
      </c>
      <c r="D59" s="122">
        <f>IF($C59&gt;=Config!$B$5,1,0)</f>
        <v>0</v>
      </c>
      <c r="E59" s="122">
        <f>IF(MONTH($A59)&lt;&gt;MONTH($A58),0,$G58)</f>
        <v>0</v>
      </c>
      <c r="F59" s="122">
        <f>IF(AND($D59=0,$H58&gt;0,$E59&lt;Config!$B$8,$A59&lt;Config!$A$2),1,0)</f>
        <v>0</v>
      </c>
      <c r="G59" s="122">
        <f>$E59+$F59</f>
        <v>0</v>
      </c>
      <c r="H59" s="122">
        <f>IF($D59=1,$H58+1,IF($F59=1,$H58,IF($A59=Config!$A$2,$H58,0)))</f>
        <v>0</v>
      </c>
      <c r="M59" s="123" t="n"/>
    </row>
    <row r="60">
      <c r="A60" s="120" t="str">
        <f>A59+1</f>
        <v>2024-12-11 00:00:00</v>
      </c>
      <c r="B60" s="121">
        <f>SUMIFS('Daily Writing Log'!$H$5:$H$34,'Daily Writing Log'!$A$5:$A$34,$A60)</f>
        <v>0</v>
      </c>
      <c r="C60" s="121">
        <f>SUMIFS('Daily Writing Log'!$I$5:$I$34,'Daily Writing Log'!$A$5:$A$34,$A60)</f>
        <v>0</v>
      </c>
      <c r="D60" s="122">
        <f>IF($C60&gt;=Config!$B$5,1,0)</f>
        <v>0</v>
      </c>
      <c r="E60" s="122">
        <f>IF(MONTH($A60)&lt;&gt;MONTH($A59),0,$G59)</f>
        <v>0</v>
      </c>
      <c r="F60" s="122">
        <f>IF(AND($D60=0,$H59&gt;0,$E60&lt;Config!$B$8,$A60&lt;Config!$A$2),1,0)</f>
        <v>0</v>
      </c>
      <c r="G60" s="122">
        <f>$E60+$F60</f>
        <v>0</v>
      </c>
      <c r="H60" s="122">
        <f>IF($D60=1,$H59+1,IF($F60=1,$H59,IF($A60=Config!$A$2,$H59,0)))</f>
        <v>0</v>
      </c>
      <c r="M60" s="123" t="n"/>
    </row>
    <row r="61">
      <c r="A61" s="120" t="str">
        <f>A60+1</f>
        <v>2024-12-12 00:00:00</v>
      </c>
      <c r="B61" s="121">
        <f>SUMIFS('Daily Writing Log'!$H$5:$H$34,'Daily Writing Log'!$A$5:$A$34,$A61)</f>
        <v>0</v>
      </c>
      <c r="C61" s="121">
        <f>SUMIFS('Daily Writing Log'!$I$5:$I$34,'Daily Writing Log'!$A$5:$A$34,$A61)</f>
        <v>0</v>
      </c>
      <c r="D61" s="122">
        <f>IF($C61&gt;=Config!$B$5,1,0)</f>
        <v>0</v>
      </c>
      <c r="E61" s="122">
        <f>IF(MONTH($A61)&lt;&gt;MONTH($A60),0,$G60)</f>
        <v>0</v>
      </c>
      <c r="F61" s="122">
        <f>IF(AND($D61=0,$H60&gt;0,$E61&lt;Config!$B$8,$A61&lt;Config!$A$2),1,0)</f>
        <v>0</v>
      </c>
      <c r="G61" s="122">
        <f>$E61+$F61</f>
        <v>0</v>
      </c>
      <c r="H61" s="122">
        <f>IF($D61=1,$H60+1,IF($F61=1,$H60,IF($A61=Config!$A$2,$H60,0)))</f>
        <v>0</v>
      </c>
      <c r="M61" s="123" t="n"/>
    </row>
    <row r="62">
      <c r="A62" s="120" t="str">
        <f>A61+1</f>
        <v>2024-12-13 00:00:00</v>
      </c>
      <c r="B62" s="121">
        <f>SUMIFS('Daily Writing Log'!$H$5:$H$34,'Daily Writing Log'!$A$5:$A$34,$A62)</f>
        <v>0</v>
      </c>
      <c r="C62" s="121">
        <f>SUMIFS('Daily Writing Log'!$I$5:$I$34,'Daily Writing Log'!$A$5:$A$34,$A62)</f>
        <v>0</v>
      </c>
      <c r="D62" s="122">
        <f>IF($C62&gt;=Config!$B$5,1,0)</f>
        <v>0</v>
      </c>
      <c r="E62" s="122">
        <f>IF(MONTH($A62)&lt;&gt;MONTH($A61),0,$G61)</f>
        <v>0</v>
      </c>
      <c r="F62" s="122">
        <f>IF(AND($D62=0,$H61&gt;0,$E62&lt;Config!$B$8,$A62&lt;Config!$A$2),1,0)</f>
        <v>0</v>
      </c>
      <c r="G62" s="122">
        <f>$E62+$F62</f>
        <v>0</v>
      </c>
      <c r="H62" s="122">
        <f>IF($D62=1,$H61+1,IF($F62=1,$H61,IF($A62=Config!$A$2,$H61,0)))</f>
        <v>0</v>
      </c>
      <c r="M62" s="123" t="n"/>
    </row>
    <row r="63">
      <c r="A63" s="120" t="str">
        <f>A62+1</f>
        <v>2024-12-14 00:00:00</v>
      </c>
      <c r="B63" s="121">
        <f>SUMIFS('Daily Writing Log'!$H$5:$H$34,'Daily Writing Log'!$A$5:$A$34,$A63)</f>
        <v>0</v>
      </c>
      <c r="C63" s="121">
        <f>SUMIFS('Daily Writing Log'!$I$5:$I$34,'Daily Writing Log'!$A$5:$A$34,$A63)</f>
        <v>0</v>
      </c>
      <c r="D63" s="122">
        <f>IF($C63&gt;=Config!$B$5,1,0)</f>
        <v>0</v>
      </c>
      <c r="E63" s="122">
        <f>IF(MONTH($A63)&lt;&gt;MONTH($A62),0,$G62)</f>
        <v>0</v>
      </c>
      <c r="F63" s="122">
        <f>IF(AND($D63=0,$H62&gt;0,$E63&lt;Config!$B$8,$A63&lt;Config!$A$2),1,0)</f>
        <v>0</v>
      </c>
      <c r="G63" s="122">
        <f>$E63+$F63</f>
        <v>0</v>
      </c>
      <c r="H63" s="122">
        <f>IF($D63=1,$H62+1,IF($F63=1,$H62,IF($A63=Config!$A$2,$H62,0)))</f>
        <v>0</v>
      </c>
      <c r="M63" s="123" t="n"/>
    </row>
    <row r="64">
      <c r="A64" s="120" t="str">
        <f>A63+1</f>
        <v>2024-12-15 00:00:00</v>
      </c>
      <c r="B64" s="121">
        <f>SUMIFS('Daily Writing Log'!$H$5:$H$34,'Daily Writing Log'!$A$5:$A$34,$A64)</f>
        <v>0</v>
      </c>
      <c r="C64" s="121">
        <f>SUMIFS('Daily Writing Log'!$I$5:$I$34,'Daily Writing Log'!$A$5:$A$34,$A64)</f>
        <v>0</v>
      </c>
      <c r="D64" s="122">
        <f>IF($C64&gt;=Config!$B$5,1,0)</f>
        <v>0</v>
      </c>
      <c r="E64" s="122">
        <f>IF(MONTH($A64)&lt;&gt;MONTH($A63),0,$G63)</f>
        <v>0</v>
      </c>
      <c r="F64" s="122">
        <f>IF(AND($D64=0,$H63&gt;0,$E64&lt;Config!$B$8,$A64&lt;Config!$A$2),1,0)</f>
        <v>0</v>
      </c>
      <c r="G64" s="122">
        <f>$E64+$F64</f>
        <v>0</v>
      </c>
      <c r="H64" s="122">
        <f>IF($D64=1,$H63+1,IF($F64=1,$H63,IF($A64=Config!$A$2,$H63,0)))</f>
        <v>0</v>
      </c>
      <c r="M64" s="123" t="n"/>
    </row>
    <row r="65">
      <c r="A65" s="120" t="str">
        <f>A64+1</f>
        <v>2024-12-16 00:00:00</v>
      </c>
      <c r="B65" s="121">
        <f>SUMIFS('Daily Writing Log'!$H$5:$H$34,'Daily Writing Log'!$A$5:$A$34,$A65)</f>
        <v>0</v>
      </c>
      <c r="C65" s="121">
        <f>SUMIFS('Daily Writing Log'!$I$5:$I$34,'Daily Writing Log'!$A$5:$A$34,$A65)</f>
        <v>0</v>
      </c>
      <c r="D65" s="122">
        <f>IF($C65&gt;=Config!$B$5,1,0)</f>
        <v>0</v>
      </c>
      <c r="E65" s="122">
        <f>IF(MONTH($A65)&lt;&gt;MONTH($A64),0,$G64)</f>
        <v>0</v>
      </c>
      <c r="F65" s="122">
        <f>IF(AND($D65=0,$H64&gt;0,$E65&lt;Config!$B$8,$A65&lt;Config!$A$2),1,0)</f>
        <v>0</v>
      </c>
      <c r="G65" s="122">
        <f>$E65+$F65</f>
        <v>0</v>
      </c>
      <c r="H65" s="122">
        <f>IF($D65=1,$H64+1,IF($F65=1,$H64,IF($A65=Config!$A$2,$H64,0)))</f>
        <v>0</v>
      </c>
      <c r="M65" s="123" t="n"/>
    </row>
    <row r="66">
      <c r="A66" s="120" t="str">
        <f>A65+1</f>
        <v>2024-12-17 00:00:00</v>
      </c>
      <c r="B66" s="121">
        <f>SUMIFS('Daily Writing Log'!$H$5:$H$34,'Daily Writing Log'!$A$5:$A$34,$A66)</f>
        <v>0</v>
      </c>
      <c r="C66" s="121">
        <f>SUMIFS('Daily Writing Log'!$I$5:$I$34,'Daily Writing Log'!$A$5:$A$34,$A66)</f>
        <v>0</v>
      </c>
      <c r="D66" s="122">
        <f>IF($C66&gt;=Config!$B$5,1,0)</f>
        <v>0</v>
      </c>
      <c r="E66" s="122">
        <f>IF(MONTH($A66)&lt;&gt;MONTH($A65),0,$G65)</f>
        <v>0</v>
      </c>
      <c r="F66" s="122">
        <f>IF(AND($D66=0,$H65&gt;0,$E66&lt;Config!$B$8,$A66&lt;Config!$A$2),1,0)</f>
        <v>0</v>
      </c>
      <c r="G66" s="122">
        <f>$E66+$F66</f>
        <v>0</v>
      </c>
      <c r="H66" s="122">
        <f>IF($D66=1,$H65+1,IF($F66=1,$H65,IF($A66=Config!$A$2,$H65,0)))</f>
        <v>0</v>
      </c>
      <c r="M66" s="123" t="n"/>
    </row>
    <row r="67">
      <c r="A67" s="120" t="str">
        <f>A66+1</f>
        <v>2024-12-18 00:00:00</v>
      </c>
      <c r="B67" s="121">
        <f>SUMIFS('Daily Writing Log'!$H$5:$H$34,'Daily Writing Log'!$A$5:$A$34,$A67)</f>
        <v>0</v>
      </c>
      <c r="C67" s="121">
        <f>SUMIFS('Daily Writing Log'!$I$5:$I$34,'Daily Writing Log'!$A$5:$A$34,$A67)</f>
        <v>0</v>
      </c>
      <c r="D67" s="122">
        <f>IF($C67&gt;=Config!$B$5,1,0)</f>
        <v>0</v>
      </c>
      <c r="E67" s="122">
        <f>IF(MONTH($A67)&lt;&gt;MONTH($A66),0,$G66)</f>
        <v>0</v>
      </c>
      <c r="F67" s="122">
        <f>IF(AND($D67=0,$H66&gt;0,$E67&lt;Config!$B$8,$A67&lt;Config!$A$2),1,0)</f>
        <v>0</v>
      </c>
      <c r="G67" s="122">
        <f>$E67+$F67</f>
        <v>0</v>
      </c>
      <c r="H67" s="122">
        <f>IF($D67=1,$H66+1,IF($F67=1,$H66,IF($A67=Config!$A$2,$H66,0)))</f>
        <v>0</v>
      </c>
      <c r="M67" s="123" t="n"/>
    </row>
    <row r="68">
      <c r="A68" s="120" t="str">
        <f>A67+1</f>
        <v>2024-12-19 00:00:00</v>
      </c>
      <c r="B68" s="121">
        <f>SUMIFS('Daily Writing Log'!$H$5:$H$34,'Daily Writing Log'!$A$5:$A$34,$A68)</f>
        <v>0</v>
      </c>
      <c r="C68" s="121">
        <f>SUMIFS('Daily Writing Log'!$I$5:$I$34,'Daily Writing Log'!$A$5:$A$34,$A68)</f>
        <v>0</v>
      </c>
      <c r="D68" s="122">
        <f>IF($C68&gt;=Config!$B$5,1,0)</f>
        <v>0</v>
      </c>
      <c r="E68" s="122">
        <f>IF(MONTH($A68)&lt;&gt;MONTH($A67),0,$G67)</f>
        <v>0</v>
      </c>
      <c r="F68" s="122">
        <f>IF(AND($D68=0,$H67&gt;0,$E68&lt;Config!$B$8,$A68&lt;Config!$A$2),1,0)</f>
        <v>0</v>
      </c>
      <c r="G68" s="122">
        <f>$E68+$F68</f>
        <v>0</v>
      </c>
      <c r="H68" s="122">
        <f>IF($D68=1,$H67+1,IF($F68=1,$H67,IF($A68=Config!$A$2,$H67,0)))</f>
        <v>0</v>
      </c>
      <c r="M68" s="123" t="n"/>
    </row>
    <row r="69">
      <c r="A69" s="120" t="str">
        <f>A68+1</f>
        <v>2024-12-20 00:00:00</v>
      </c>
      <c r="B69" s="121">
        <f>SUMIFS('Daily Writing Log'!$H$5:$H$34,'Daily Writing Log'!$A$5:$A$34,$A69)</f>
        <v>0</v>
      </c>
      <c r="C69" s="121">
        <f>SUMIFS('Daily Writing Log'!$I$5:$I$34,'Daily Writing Log'!$A$5:$A$34,$A69)</f>
        <v>0</v>
      </c>
      <c r="D69" s="122">
        <f>IF($C69&gt;=Config!$B$5,1,0)</f>
        <v>0</v>
      </c>
      <c r="E69" s="122">
        <f>IF(MONTH($A69)&lt;&gt;MONTH($A68),0,$G68)</f>
        <v>0</v>
      </c>
      <c r="F69" s="122">
        <f>IF(AND($D69=0,$H68&gt;0,$E69&lt;Config!$B$8,$A69&lt;Config!$A$2),1,0)</f>
        <v>0</v>
      </c>
      <c r="G69" s="122">
        <f>$E69+$F69</f>
        <v>0</v>
      </c>
      <c r="H69" s="122">
        <f>IF($D69=1,$H68+1,IF($F69=1,$H68,IF($A69=Config!$A$2,$H68,0)))</f>
        <v>0</v>
      </c>
      <c r="M69" s="123" t="n"/>
    </row>
    <row r="70">
      <c r="A70" s="120" t="str">
        <f>A69+1</f>
        <v>2024-12-21 00:00:00</v>
      </c>
      <c r="B70" s="121">
        <f>SUMIFS('Daily Writing Log'!$H$5:$H$34,'Daily Writing Log'!$A$5:$A$34,$A70)</f>
        <v>0</v>
      </c>
      <c r="C70" s="121">
        <f>SUMIFS('Daily Writing Log'!$I$5:$I$34,'Daily Writing Log'!$A$5:$A$34,$A70)</f>
        <v>0</v>
      </c>
      <c r="D70" s="122">
        <f>IF($C70&gt;=Config!$B$5,1,0)</f>
        <v>0</v>
      </c>
      <c r="E70" s="122">
        <f>IF(MONTH($A70)&lt;&gt;MONTH($A69),0,$G69)</f>
        <v>0</v>
      </c>
      <c r="F70" s="122">
        <f>IF(AND($D70=0,$H69&gt;0,$E70&lt;Config!$B$8,$A70&lt;Config!$A$2),1,0)</f>
        <v>0</v>
      </c>
      <c r="G70" s="122">
        <f>$E70+$F70</f>
        <v>0</v>
      </c>
      <c r="H70" s="122">
        <f>IF($D70=1,$H69+1,IF($F70=1,$H69,IF($A70=Config!$A$2,$H69,0)))</f>
        <v>0</v>
      </c>
      <c r="M70" s="123" t="n"/>
    </row>
    <row r="71">
      <c r="A71" s="120" t="str">
        <f>A70+1</f>
        <v>2024-12-22 00:00:00</v>
      </c>
      <c r="B71" s="121">
        <f>SUMIFS('Daily Writing Log'!$H$5:$H$34,'Daily Writing Log'!$A$5:$A$34,$A71)</f>
        <v>0</v>
      </c>
      <c r="C71" s="121">
        <f>SUMIFS('Daily Writing Log'!$I$5:$I$34,'Daily Writing Log'!$A$5:$A$34,$A71)</f>
        <v>0</v>
      </c>
      <c r="D71" s="122">
        <f>IF($C71&gt;=Config!$B$5,1,0)</f>
        <v>0</v>
      </c>
      <c r="E71" s="122">
        <f>IF(MONTH($A71)&lt;&gt;MONTH($A70),0,$G70)</f>
        <v>0</v>
      </c>
      <c r="F71" s="122">
        <f>IF(AND($D71=0,$H70&gt;0,$E71&lt;Config!$B$8,$A71&lt;Config!$A$2),1,0)</f>
        <v>0</v>
      </c>
      <c r="G71" s="122">
        <f>$E71+$F71</f>
        <v>0</v>
      </c>
      <c r="H71" s="122">
        <f>IF($D71=1,$H70+1,IF($F71=1,$H70,IF($A71=Config!$A$2,$H70,0)))</f>
        <v>0</v>
      </c>
      <c r="M71" s="123" t="n"/>
    </row>
    <row r="72">
      <c r="A72" s="120" t="str">
        <f>A71+1</f>
        <v>2024-12-23 00:00:00</v>
      </c>
      <c r="B72" s="121">
        <f>SUMIFS('Daily Writing Log'!$H$5:$H$34,'Daily Writing Log'!$A$5:$A$34,$A72)</f>
        <v>0</v>
      </c>
      <c r="C72" s="121">
        <f>SUMIFS('Daily Writing Log'!$I$5:$I$34,'Daily Writing Log'!$A$5:$A$34,$A72)</f>
        <v>0</v>
      </c>
      <c r="D72" s="122">
        <f>IF($C72&gt;=Config!$B$5,1,0)</f>
        <v>0</v>
      </c>
      <c r="E72" s="122">
        <f>IF(MONTH($A72)&lt;&gt;MONTH($A71),0,$G71)</f>
        <v>0</v>
      </c>
      <c r="F72" s="122">
        <f>IF(AND($D72=0,$H71&gt;0,$E72&lt;Config!$B$8,$A72&lt;Config!$A$2),1,0)</f>
        <v>0</v>
      </c>
      <c r="G72" s="122">
        <f>$E72+$F72</f>
        <v>0</v>
      </c>
      <c r="H72" s="122">
        <f>IF($D72=1,$H71+1,IF($F72=1,$H71,IF($A72=Config!$A$2,$H71,0)))</f>
        <v>0</v>
      </c>
      <c r="M72" s="123" t="n"/>
    </row>
    <row r="73">
      <c r="A73" s="120" t="str">
        <f>A72+1</f>
        <v>2024-12-24 00:00:00</v>
      </c>
      <c r="B73" s="121">
        <f>SUMIFS('Daily Writing Log'!$H$5:$H$34,'Daily Writing Log'!$A$5:$A$34,$A73)</f>
        <v>0</v>
      </c>
      <c r="C73" s="121">
        <f>SUMIFS('Daily Writing Log'!$I$5:$I$34,'Daily Writing Log'!$A$5:$A$34,$A73)</f>
        <v>0</v>
      </c>
      <c r="D73" s="122">
        <f>IF($C73&gt;=Config!$B$5,1,0)</f>
        <v>0</v>
      </c>
      <c r="E73" s="122">
        <f>IF(MONTH($A73)&lt;&gt;MONTH($A72),0,$G72)</f>
        <v>0</v>
      </c>
      <c r="F73" s="122">
        <f>IF(AND($D73=0,$H72&gt;0,$E73&lt;Config!$B$8,$A73&lt;Config!$A$2),1,0)</f>
        <v>0</v>
      </c>
      <c r="G73" s="122">
        <f>$E73+$F73</f>
        <v>0</v>
      </c>
      <c r="H73" s="122">
        <f>IF($D73=1,$H72+1,IF($F73=1,$H72,IF($A73=Config!$A$2,$H72,0)))</f>
        <v>0</v>
      </c>
      <c r="M73" s="123" t="n"/>
    </row>
    <row r="74">
      <c r="A74" s="120" t="str">
        <f>A73+1</f>
        <v>2024-12-25 00:00:00</v>
      </c>
      <c r="B74" s="121">
        <f>SUMIFS('Daily Writing Log'!$H$5:$H$34,'Daily Writing Log'!$A$5:$A$34,$A74)</f>
        <v>0</v>
      </c>
      <c r="C74" s="121">
        <f>SUMIFS('Daily Writing Log'!$I$5:$I$34,'Daily Writing Log'!$A$5:$A$34,$A74)</f>
        <v>0</v>
      </c>
      <c r="D74" s="122">
        <f>IF($C74&gt;=Config!$B$5,1,0)</f>
        <v>0</v>
      </c>
      <c r="E74" s="122">
        <f>IF(MONTH($A74)&lt;&gt;MONTH($A73),0,$G73)</f>
        <v>0</v>
      </c>
      <c r="F74" s="122">
        <f>IF(AND($D74=0,$H73&gt;0,$E74&lt;Config!$B$8,$A74&lt;Config!$A$2),1,0)</f>
        <v>0</v>
      </c>
      <c r="G74" s="122">
        <f>$E74+$F74</f>
        <v>0</v>
      </c>
      <c r="H74" s="122">
        <f>IF($D74=1,$H73+1,IF($F74=1,$H73,IF($A74=Config!$A$2,$H73,0)))</f>
        <v>0</v>
      </c>
      <c r="M74" s="123" t="n"/>
    </row>
    <row r="75">
      <c r="A75" s="120" t="str">
        <f>A74+1</f>
        <v>2024-12-26 00:00:00</v>
      </c>
      <c r="B75" s="121">
        <f>SUMIFS('Daily Writing Log'!$H$5:$H$34,'Daily Writing Log'!$A$5:$A$34,$A75)</f>
        <v>0</v>
      </c>
      <c r="C75" s="121">
        <f>SUMIFS('Daily Writing Log'!$I$5:$I$34,'Daily Writing Log'!$A$5:$A$34,$A75)</f>
        <v>0</v>
      </c>
      <c r="D75" s="122">
        <f>IF($C75&gt;=Config!$B$5,1,0)</f>
        <v>0</v>
      </c>
      <c r="E75" s="122">
        <f>IF(MONTH($A75)&lt;&gt;MONTH($A74),0,$G74)</f>
        <v>0</v>
      </c>
      <c r="F75" s="122">
        <f>IF(AND($D75=0,$H74&gt;0,$E75&lt;Config!$B$8,$A75&lt;Config!$A$2),1,0)</f>
        <v>0</v>
      </c>
      <c r="G75" s="122">
        <f>$E75+$F75</f>
        <v>0</v>
      </c>
      <c r="H75" s="122">
        <f>IF($D75=1,$H74+1,IF($F75=1,$H74,IF($A75=Config!$A$2,$H74,0)))</f>
        <v>0</v>
      </c>
      <c r="M75" s="123" t="n"/>
    </row>
    <row r="76">
      <c r="A76" s="120" t="str">
        <f>A75+1</f>
        <v>2024-12-27 00:00:00</v>
      </c>
      <c r="B76" s="121">
        <f>SUMIFS('Daily Writing Log'!$H$5:$H$34,'Daily Writing Log'!$A$5:$A$34,$A76)</f>
        <v>0</v>
      </c>
      <c r="C76" s="121">
        <f>SUMIFS('Daily Writing Log'!$I$5:$I$34,'Daily Writing Log'!$A$5:$A$34,$A76)</f>
        <v>0</v>
      </c>
      <c r="D76" s="122">
        <f>IF($C76&gt;=Config!$B$5,1,0)</f>
        <v>0</v>
      </c>
      <c r="E76" s="122">
        <f>IF(MONTH($A76)&lt;&gt;MONTH($A75),0,$G75)</f>
        <v>0</v>
      </c>
      <c r="F76" s="122">
        <f>IF(AND($D76=0,$H75&gt;0,$E76&lt;Config!$B$8,$A76&lt;Config!$A$2),1,0)</f>
        <v>0</v>
      </c>
      <c r="G76" s="122">
        <f>$E76+$F76</f>
        <v>0</v>
      </c>
      <c r="H76" s="122">
        <f>IF($D76=1,$H75+1,IF($F76=1,$H75,IF($A76=Config!$A$2,$H75,0)))</f>
        <v>0</v>
      </c>
      <c r="M76" s="123" t="n"/>
    </row>
    <row r="77">
      <c r="A77" s="120" t="str">
        <f>A76+1</f>
        <v>2024-12-28 00:00:00</v>
      </c>
      <c r="B77" s="121">
        <f>SUMIFS('Daily Writing Log'!$H$5:$H$34,'Daily Writing Log'!$A$5:$A$34,$A77)</f>
        <v>0</v>
      </c>
      <c r="C77" s="121">
        <f>SUMIFS('Daily Writing Log'!$I$5:$I$34,'Daily Writing Log'!$A$5:$A$34,$A77)</f>
        <v>0</v>
      </c>
      <c r="D77" s="122">
        <f>IF($C77&gt;=Config!$B$5,1,0)</f>
        <v>0</v>
      </c>
      <c r="E77" s="122">
        <f>IF(MONTH($A77)&lt;&gt;MONTH($A76),0,$G76)</f>
        <v>0</v>
      </c>
      <c r="F77" s="122">
        <f>IF(AND($D77=0,$H76&gt;0,$E77&lt;Config!$B$8,$A77&lt;Config!$A$2),1,0)</f>
        <v>0</v>
      </c>
      <c r="G77" s="122">
        <f>$E77+$F77</f>
        <v>0</v>
      </c>
      <c r="H77" s="122">
        <f>IF($D77=1,$H76+1,IF($F77=1,$H76,IF($A77=Config!$A$2,$H76,0)))</f>
        <v>0</v>
      </c>
      <c r="M77" s="123" t="n"/>
    </row>
    <row r="78">
      <c r="A78" s="120" t="str">
        <f>A77+1</f>
        <v>2024-12-29 00:00:00</v>
      </c>
      <c r="B78" s="121">
        <f>SUMIFS('Daily Writing Log'!$H$5:$H$34,'Daily Writing Log'!$A$5:$A$34,$A78)</f>
        <v>0</v>
      </c>
      <c r="C78" s="121">
        <f>SUMIFS('Daily Writing Log'!$I$5:$I$34,'Daily Writing Log'!$A$5:$A$34,$A78)</f>
        <v>0</v>
      </c>
      <c r="D78" s="122">
        <f>IF($C78&gt;=Config!$B$5,1,0)</f>
        <v>0</v>
      </c>
      <c r="E78" s="122">
        <f>IF(MONTH($A78)&lt;&gt;MONTH($A77),0,$G77)</f>
        <v>0</v>
      </c>
      <c r="F78" s="122">
        <f>IF(AND($D78=0,$H77&gt;0,$E78&lt;Config!$B$8,$A78&lt;Config!$A$2),1,0)</f>
        <v>0</v>
      </c>
      <c r="G78" s="122">
        <f>$E78+$F78</f>
        <v>0</v>
      </c>
      <c r="H78" s="122">
        <f>IF($D78=1,$H77+1,IF($F78=1,$H77,IF($A78=Config!$A$2,$H77,0)))</f>
        <v>0</v>
      </c>
      <c r="M78" s="123" t="n"/>
    </row>
    <row r="79">
      <c r="A79" s="120" t="str">
        <f>A78+1</f>
        <v>2024-12-30 00:00:00</v>
      </c>
      <c r="B79" s="121">
        <f>SUMIFS('Daily Writing Log'!$H$5:$H$34,'Daily Writing Log'!$A$5:$A$34,$A79)</f>
        <v>0</v>
      </c>
      <c r="C79" s="121">
        <f>SUMIFS('Daily Writing Log'!$I$5:$I$34,'Daily Writing Log'!$A$5:$A$34,$A79)</f>
        <v>0</v>
      </c>
      <c r="D79" s="122">
        <f>IF($C79&gt;=Config!$B$5,1,0)</f>
        <v>0</v>
      </c>
      <c r="E79" s="122">
        <f>IF(MONTH($A79)&lt;&gt;MONTH($A78),0,$G78)</f>
        <v>0</v>
      </c>
      <c r="F79" s="122">
        <f>IF(AND($D79=0,$H78&gt;0,$E79&lt;Config!$B$8,$A79&lt;Config!$A$2),1,0)</f>
        <v>0</v>
      </c>
      <c r="G79" s="122">
        <f>$E79+$F79</f>
        <v>0</v>
      </c>
      <c r="H79" s="122">
        <f>IF($D79=1,$H78+1,IF($F79=1,$H78,IF($A79=Config!$A$2,$H78,0)))</f>
        <v>0</v>
      </c>
      <c r="M79" s="123" t="n"/>
    </row>
    <row r="80">
      <c r="A80" s="120" t="str">
        <f>A79+1</f>
        <v>2024-12-31 00:00:00</v>
      </c>
      <c r="B80" s="121">
        <f>SUMIFS('Daily Writing Log'!$H$5:$H$34,'Daily Writing Log'!$A$5:$A$34,$A80)</f>
        <v>0</v>
      </c>
      <c r="C80" s="121">
        <f>SUMIFS('Daily Writing Log'!$I$5:$I$34,'Daily Writing Log'!$A$5:$A$34,$A80)</f>
        <v>0</v>
      </c>
      <c r="D80" s="122">
        <f>IF($C80&gt;=Config!$B$5,1,0)</f>
        <v>0</v>
      </c>
      <c r="E80" s="122">
        <f>IF(MONTH($A80)&lt;&gt;MONTH($A79),0,$G79)</f>
        <v>0</v>
      </c>
      <c r="F80" s="122">
        <f>IF(AND($D80=0,$H79&gt;0,$E80&lt;Config!$B$8,$A80&lt;Config!$A$2),1,0)</f>
        <v>0</v>
      </c>
      <c r="G80" s="122">
        <f>$E80+$F80</f>
        <v>0</v>
      </c>
      <c r="H80" s="122">
        <f>IF($D80=1,$H79+1,IF($F80=1,$H79,IF($A80=Config!$A$2,$H79,0)))</f>
        <v>0</v>
      </c>
      <c r="M80" s="123" t="n"/>
    </row>
    <row r="81">
      <c r="A81" s="120" t="str">
        <f>A80+1</f>
        <v>2025-01-01 00:00:00</v>
      </c>
      <c r="B81" s="121">
        <f>SUMIFS('Daily Writing Log'!$H$5:$H$34,'Daily Writing Log'!$A$5:$A$34,$A81)</f>
        <v>0</v>
      </c>
      <c r="C81" s="121">
        <f>SUMIFS('Daily Writing Log'!$I$5:$I$34,'Daily Writing Log'!$A$5:$A$34,$A81)</f>
        <v>0</v>
      </c>
      <c r="D81" s="122">
        <f>IF($C81&gt;=Config!$B$5,1,0)</f>
        <v>0</v>
      </c>
      <c r="E81" s="122">
        <f>IF(MONTH($A81)&lt;&gt;MONTH($A80),0,$G80)</f>
        <v>0</v>
      </c>
      <c r="F81" s="122">
        <f>IF(AND($D81=0,$H80&gt;0,$E81&lt;Config!$B$8,$A81&lt;Config!$A$2),1,0)</f>
        <v>0</v>
      </c>
      <c r="G81" s="122">
        <f>$E81+$F81</f>
        <v>0</v>
      </c>
      <c r="H81" s="122">
        <f>IF($D81=1,$H80+1,IF($F81=1,$H80,IF($A81=Config!$A$2,$H80,0)))</f>
        <v>0</v>
      </c>
      <c r="M81" s="123" t="n"/>
    </row>
    <row r="82">
      <c r="A82" s="120" t="str">
        <f>A81+1</f>
        <v>2025-01-02 00:00:00</v>
      </c>
      <c r="B82" s="121">
        <f>SUMIFS('Daily Writing Log'!$H$5:$H$34,'Daily Writing Log'!$A$5:$A$34,$A82)</f>
        <v>0</v>
      </c>
      <c r="C82" s="121">
        <f>SUMIFS('Daily Writing Log'!$I$5:$I$34,'Daily Writing Log'!$A$5:$A$34,$A82)</f>
        <v>0</v>
      </c>
      <c r="D82" s="122">
        <f>IF($C82&gt;=Config!$B$5,1,0)</f>
        <v>0</v>
      </c>
      <c r="E82" s="122">
        <f>IF(MONTH($A82)&lt;&gt;MONTH($A81),0,$G81)</f>
        <v>0</v>
      </c>
      <c r="F82" s="122">
        <f>IF(AND($D82=0,$H81&gt;0,$E82&lt;Config!$B$8,$A82&lt;Config!$A$2),1,0)</f>
        <v>0</v>
      </c>
      <c r="G82" s="122">
        <f>$E82+$F82</f>
        <v>0</v>
      </c>
      <c r="H82" s="122">
        <f>IF($D82=1,$H81+1,IF($F82=1,$H81,IF($A82=Config!$A$2,$H81,0)))</f>
        <v>0</v>
      </c>
      <c r="M82" s="123" t="n"/>
    </row>
    <row r="83">
      <c r="A83" s="120" t="str">
        <f>A82+1</f>
        <v>2025-01-03 00:00:00</v>
      </c>
      <c r="B83" s="121">
        <f>SUMIFS('Daily Writing Log'!$H$5:$H$34,'Daily Writing Log'!$A$5:$A$34,$A83)</f>
        <v>0</v>
      </c>
      <c r="C83" s="121">
        <f>SUMIFS('Daily Writing Log'!$I$5:$I$34,'Daily Writing Log'!$A$5:$A$34,$A83)</f>
        <v>0</v>
      </c>
      <c r="D83" s="122">
        <f>IF($C83&gt;=Config!$B$5,1,0)</f>
        <v>0</v>
      </c>
      <c r="E83" s="122">
        <f>IF(MONTH($A83)&lt;&gt;MONTH($A82),0,$G82)</f>
        <v>0</v>
      </c>
      <c r="F83" s="122">
        <f>IF(AND($D83=0,$H82&gt;0,$E83&lt;Config!$B$8,$A83&lt;Config!$A$2),1,0)</f>
        <v>0</v>
      </c>
      <c r="G83" s="122">
        <f>$E83+$F83</f>
        <v>0</v>
      </c>
      <c r="H83" s="122">
        <f>IF($D83=1,$H82+1,IF($F83=1,$H82,IF($A83=Config!$A$2,$H82,0)))</f>
        <v>0</v>
      </c>
      <c r="M83" s="123" t="n"/>
    </row>
    <row r="84">
      <c r="A84" s="120" t="str">
        <f>A83+1</f>
        <v>2025-01-04 00:00:00</v>
      </c>
      <c r="B84" s="121">
        <f>SUMIFS('Daily Writing Log'!$H$5:$H$34,'Daily Writing Log'!$A$5:$A$34,$A84)</f>
        <v>0</v>
      </c>
      <c r="C84" s="121">
        <f>SUMIFS('Daily Writing Log'!$I$5:$I$34,'Daily Writing Log'!$A$5:$A$34,$A84)</f>
        <v>0</v>
      </c>
      <c r="D84" s="122">
        <f>IF($C84&gt;=Config!$B$5,1,0)</f>
        <v>0</v>
      </c>
      <c r="E84" s="122">
        <f>IF(MONTH($A84)&lt;&gt;MONTH($A83),0,$G83)</f>
        <v>0</v>
      </c>
      <c r="F84" s="122">
        <f>IF(AND($D84=0,$H83&gt;0,$E84&lt;Config!$B$8,$A84&lt;Config!$A$2),1,0)</f>
        <v>0</v>
      </c>
      <c r="G84" s="122">
        <f>$E84+$F84</f>
        <v>0</v>
      </c>
      <c r="H84" s="122">
        <f>IF($D84=1,$H83+1,IF($F84=1,$H83,IF($A84=Config!$A$2,$H83,0)))</f>
        <v>0</v>
      </c>
      <c r="M84" s="123" t="n"/>
    </row>
    <row r="85">
      <c r="A85" s="120" t="str">
        <f>A84+1</f>
        <v>2025-01-05 00:00:00</v>
      </c>
      <c r="B85" s="121">
        <f>SUMIFS('Daily Writing Log'!$H$5:$H$34,'Daily Writing Log'!$A$5:$A$34,$A85)</f>
        <v>0</v>
      </c>
      <c r="C85" s="121">
        <f>SUMIFS('Daily Writing Log'!$I$5:$I$34,'Daily Writing Log'!$A$5:$A$34,$A85)</f>
        <v>0</v>
      </c>
      <c r="D85" s="122">
        <f>IF($C85&gt;=Config!$B$5,1,0)</f>
        <v>0</v>
      </c>
      <c r="E85" s="122">
        <f>IF(MONTH($A85)&lt;&gt;MONTH($A84),0,$G84)</f>
        <v>0</v>
      </c>
      <c r="F85" s="122">
        <f>IF(AND($D85=0,$H84&gt;0,$E85&lt;Config!$B$8,$A85&lt;Config!$A$2),1,0)</f>
        <v>0</v>
      </c>
      <c r="G85" s="122">
        <f>$E85+$F85</f>
        <v>0</v>
      </c>
      <c r="H85" s="122">
        <f>IF($D85=1,$H84+1,IF($F85=1,$H84,IF($A85=Config!$A$2,$H84,0)))</f>
        <v>0</v>
      </c>
      <c r="M85" s="123" t="n"/>
    </row>
    <row r="86">
      <c r="A86" s="120" t="str">
        <f>A85+1</f>
        <v>2025-01-06 00:00:00</v>
      </c>
      <c r="B86" s="121">
        <f>SUMIFS('Daily Writing Log'!$H$5:$H$34,'Daily Writing Log'!$A$5:$A$34,$A86)</f>
        <v>0</v>
      </c>
      <c r="C86" s="121">
        <f>SUMIFS('Daily Writing Log'!$I$5:$I$34,'Daily Writing Log'!$A$5:$A$34,$A86)</f>
        <v>0</v>
      </c>
      <c r="D86" s="122">
        <f>IF($C86&gt;=Config!$B$5,1,0)</f>
        <v>0</v>
      </c>
      <c r="E86" s="122">
        <f>IF(MONTH($A86)&lt;&gt;MONTH($A85),0,$G85)</f>
        <v>0</v>
      </c>
      <c r="F86" s="122">
        <f>IF(AND($D86=0,$H85&gt;0,$E86&lt;Config!$B$8,$A86&lt;Config!$A$2),1,0)</f>
        <v>0</v>
      </c>
      <c r="G86" s="122">
        <f>$E86+$F86</f>
        <v>0</v>
      </c>
      <c r="H86" s="122">
        <f>IF($D86=1,$H85+1,IF($F86=1,$H85,IF($A86=Config!$A$2,$H85,0)))</f>
        <v>0</v>
      </c>
      <c r="M86" s="123" t="n"/>
    </row>
    <row r="87">
      <c r="A87" s="120" t="str">
        <f>A86+1</f>
        <v>2025-01-07 00:00:00</v>
      </c>
      <c r="B87" s="121">
        <f>SUMIFS('Daily Writing Log'!$H$5:$H$34,'Daily Writing Log'!$A$5:$A$34,$A87)</f>
        <v>0</v>
      </c>
      <c r="C87" s="121">
        <f>SUMIFS('Daily Writing Log'!$I$5:$I$34,'Daily Writing Log'!$A$5:$A$34,$A87)</f>
        <v>0</v>
      </c>
      <c r="D87" s="122">
        <f>IF($C87&gt;=Config!$B$5,1,0)</f>
        <v>0</v>
      </c>
      <c r="E87" s="122">
        <f>IF(MONTH($A87)&lt;&gt;MONTH($A86),0,$G86)</f>
        <v>0</v>
      </c>
      <c r="F87" s="122">
        <f>IF(AND($D87=0,$H86&gt;0,$E87&lt;Config!$B$8,$A87&lt;Config!$A$2),1,0)</f>
        <v>0</v>
      </c>
      <c r="G87" s="122">
        <f>$E87+$F87</f>
        <v>0</v>
      </c>
      <c r="H87" s="122">
        <f>IF($D87=1,$H86+1,IF($F87=1,$H86,IF($A87=Config!$A$2,$H86,0)))</f>
        <v>0</v>
      </c>
      <c r="M87" s="123" t="n"/>
    </row>
    <row r="88">
      <c r="A88" s="120" t="str">
        <f>A87+1</f>
        <v>2025-01-08 00:00:00</v>
      </c>
      <c r="B88" s="121">
        <f>SUMIFS('Daily Writing Log'!$H$5:$H$34,'Daily Writing Log'!$A$5:$A$34,$A88)</f>
        <v>0</v>
      </c>
      <c r="C88" s="121">
        <f>SUMIFS('Daily Writing Log'!$I$5:$I$34,'Daily Writing Log'!$A$5:$A$34,$A88)</f>
        <v>0</v>
      </c>
      <c r="D88" s="122">
        <f>IF($C88&gt;=Config!$B$5,1,0)</f>
        <v>0</v>
      </c>
      <c r="E88" s="122">
        <f>IF(MONTH($A88)&lt;&gt;MONTH($A87),0,$G87)</f>
        <v>0</v>
      </c>
      <c r="F88" s="122">
        <f>IF(AND($D88=0,$H87&gt;0,$E88&lt;Config!$B$8,$A88&lt;Config!$A$2),1,0)</f>
        <v>0</v>
      </c>
      <c r="G88" s="122">
        <f>$E88+$F88</f>
        <v>0</v>
      </c>
      <c r="H88" s="122">
        <f>IF($D88=1,$H87+1,IF($F88=1,$H87,IF($A88=Config!$A$2,$H87,0)))</f>
        <v>0</v>
      </c>
      <c r="M88" s="123" t="n"/>
    </row>
    <row r="89">
      <c r="A89" s="120" t="str">
        <f>A88+1</f>
        <v>2025-01-09 00:00:00</v>
      </c>
      <c r="B89" s="121">
        <f>SUMIFS('Daily Writing Log'!$H$5:$H$34,'Daily Writing Log'!$A$5:$A$34,$A89)</f>
        <v>0</v>
      </c>
      <c r="C89" s="121">
        <f>SUMIFS('Daily Writing Log'!$I$5:$I$34,'Daily Writing Log'!$A$5:$A$34,$A89)</f>
        <v>0</v>
      </c>
      <c r="D89" s="122">
        <f>IF($C89&gt;=Config!$B$5,1,0)</f>
        <v>0</v>
      </c>
      <c r="E89" s="122">
        <f>IF(MONTH($A89)&lt;&gt;MONTH($A88),0,$G88)</f>
        <v>0</v>
      </c>
      <c r="F89" s="122">
        <f>IF(AND($D89=0,$H88&gt;0,$E89&lt;Config!$B$8,$A89&lt;Config!$A$2),1,0)</f>
        <v>0</v>
      </c>
      <c r="G89" s="122">
        <f>$E89+$F89</f>
        <v>0</v>
      </c>
      <c r="H89" s="122">
        <f>IF($D89=1,$H88+1,IF($F89=1,$H88,IF($A89=Config!$A$2,$H88,0)))</f>
        <v>0</v>
      </c>
      <c r="M89" s="123" t="n"/>
    </row>
    <row r="90">
      <c r="A90" s="120" t="str">
        <f>A89+1</f>
        <v>2025-01-10 00:00:00</v>
      </c>
      <c r="B90" s="121">
        <f>SUMIFS('Daily Writing Log'!$H$5:$H$34,'Daily Writing Log'!$A$5:$A$34,$A90)</f>
        <v>0</v>
      </c>
      <c r="C90" s="121">
        <f>SUMIFS('Daily Writing Log'!$I$5:$I$34,'Daily Writing Log'!$A$5:$A$34,$A90)</f>
        <v>0</v>
      </c>
      <c r="D90" s="122">
        <f>IF($C90&gt;=Config!$B$5,1,0)</f>
        <v>0</v>
      </c>
      <c r="E90" s="122">
        <f>IF(MONTH($A90)&lt;&gt;MONTH($A89),0,$G89)</f>
        <v>0</v>
      </c>
      <c r="F90" s="122">
        <f>IF(AND($D90=0,$H89&gt;0,$E90&lt;Config!$B$8,$A90&lt;Config!$A$2),1,0)</f>
        <v>0</v>
      </c>
      <c r="G90" s="122">
        <f>$E90+$F90</f>
        <v>0</v>
      </c>
      <c r="H90" s="122">
        <f>IF($D90=1,$H89+1,IF($F90=1,$H89,IF($A90=Config!$A$2,$H89,0)))</f>
        <v>0</v>
      </c>
      <c r="M90" s="123" t="n"/>
    </row>
    <row r="91">
      <c r="A91" s="120" t="str">
        <f>A90+1</f>
        <v>2025-01-11 00:00:00</v>
      </c>
      <c r="B91" s="121">
        <f>SUMIFS('Daily Writing Log'!$H$5:$H$34,'Daily Writing Log'!$A$5:$A$34,$A91)</f>
        <v>0</v>
      </c>
      <c r="C91" s="121">
        <f>SUMIFS('Daily Writing Log'!$I$5:$I$34,'Daily Writing Log'!$A$5:$A$34,$A91)</f>
        <v>0</v>
      </c>
      <c r="D91" s="122">
        <f>IF($C91&gt;=Config!$B$5,1,0)</f>
        <v>0</v>
      </c>
      <c r="E91" s="122">
        <f>IF(MONTH($A91)&lt;&gt;MONTH($A90),0,$G90)</f>
        <v>0</v>
      </c>
      <c r="F91" s="122">
        <f>IF(AND($D91=0,$H90&gt;0,$E91&lt;Config!$B$8,$A91&lt;Config!$A$2),1,0)</f>
        <v>0</v>
      </c>
      <c r="G91" s="122">
        <f>$E91+$F91</f>
        <v>0</v>
      </c>
      <c r="H91" s="122">
        <f>IF($D91=1,$H90+1,IF($F91=1,$H90,IF($A91=Config!$A$2,$H90,0)))</f>
        <v>0</v>
      </c>
      <c r="M91" s="123" t="n"/>
    </row>
    <row r="92">
      <c r="A92" s="120" t="str">
        <f>A91+1</f>
        <v>2025-01-12 00:00:00</v>
      </c>
      <c r="B92" s="121">
        <f>SUMIFS('Daily Writing Log'!$H$5:$H$34,'Daily Writing Log'!$A$5:$A$34,$A92)</f>
        <v>0</v>
      </c>
      <c r="C92" s="121">
        <f>SUMIFS('Daily Writing Log'!$I$5:$I$34,'Daily Writing Log'!$A$5:$A$34,$A92)</f>
        <v>0</v>
      </c>
      <c r="D92" s="122">
        <f>IF($C92&gt;=Config!$B$5,1,0)</f>
        <v>0</v>
      </c>
      <c r="E92" s="122">
        <f>IF(MONTH($A92)&lt;&gt;MONTH($A91),0,$G91)</f>
        <v>0</v>
      </c>
      <c r="F92" s="122">
        <f>IF(AND($D92=0,$H91&gt;0,$E92&lt;Config!$B$8,$A92&lt;Config!$A$2),1,0)</f>
        <v>0</v>
      </c>
      <c r="G92" s="122">
        <f>$E92+$F92</f>
        <v>0</v>
      </c>
      <c r="H92" s="122">
        <f>IF($D92=1,$H91+1,IF($F92=1,$H91,IF($A92=Config!$A$2,$H91,0)))</f>
        <v>0</v>
      </c>
      <c r="M92" s="123" t="n"/>
    </row>
    <row r="93">
      <c r="A93" s="120" t="str">
        <f>A92+1</f>
        <v>2025-01-13 00:00:00</v>
      </c>
      <c r="B93" s="121">
        <f>SUMIFS('Daily Writing Log'!$H$5:$H$34,'Daily Writing Log'!$A$5:$A$34,$A93)</f>
        <v>0</v>
      </c>
      <c r="C93" s="121">
        <f>SUMIFS('Daily Writing Log'!$I$5:$I$34,'Daily Writing Log'!$A$5:$A$34,$A93)</f>
        <v>0</v>
      </c>
      <c r="D93" s="122">
        <f>IF($C93&gt;=Config!$B$5,1,0)</f>
        <v>0</v>
      </c>
      <c r="E93" s="122">
        <f>IF(MONTH($A93)&lt;&gt;MONTH($A92),0,$G92)</f>
        <v>0</v>
      </c>
      <c r="F93" s="122">
        <f>IF(AND($D93=0,$H92&gt;0,$E93&lt;Config!$B$8,$A93&lt;Config!$A$2),1,0)</f>
        <v>0</v>
      </c>
      <c r="G93" s="122">
        <f>$E93+$F93</f>
        <v>0</v>
      </c>
      <c r="H93" s="122">
        <f>IF($D93=1,$H92+1,IF($F93=1,$H92,IF($A93=Config!$A$2,$H92,0)))</f>
        <v>0</v>
      </c>
      <c r="M93" s="123" t="n"/>
    </row>
    <row r="94">
      <c r="A94" s="120" t="str">
        <f>A93+1</f>
        <v>2025-01-14 00:00:00</v>
      </c>
      <c r="B94" s="121">
        <f>SUMIFS('Daily Writing Log'!$H$5:$H$34,'Daily Writing Log'!$A$5:$A$34,$A94)</f>
        <v>0</v>
      </c>
      <c r="C94" s="121">
        <f>SUMIFS('Daily Writing Log'!$I$5:$I$34,'Daily Writing Log'!$A$5:$A$34,$A94)</f>
        <v>0</v>
      </c>
      <c r="D94" s="122">
        <f>IF($C94&gt;=Config!$B$5,1,0)</f>
        <v>0</v>
      </c>
      <c r="E94" s="122">
        <f>IF(MONTH($A94)&lt;&gt;MONTH($A93),0,$G93)</f>
        <v>0</v>
      </c>
      <c r="F94" s="122">
        <f>IF(AND($D94=0,$H93&gt;0,$E94&lt;Config!$B$8,$A94&lt;Config!$A$2),1,0)</f>
        <v>0</v>
      </c>
      <c r="G94" s="122">
        <f>$E94+$F94</f>
        <v>0</v>
      </c>
      <c r="H94" s="122">
        <f>IF($D94=1,$H93+1,IF($F94=1,$H93,IF($A94=Config!$A$2,$H93,0)))</f>
        <v>0</v>
      </c>
      <c r="M94" s="123" t="n"/>
    </row>
    <row r="95">
      <c r="A95" s="120" t="str">
        <f>A94+1</f>
        <v>2025-01-15 00:00:00</v>
      </c>
      <c r="B95" s="121">
        <f>SUMIFS('Daily Writing Log'!$H$5:$H$34,'Daily Writing Log'!$A$5:$A$34,$A95)</f>
        <v>0</v>
      </c>
      <c r="C95" s="121">
        <f>SUMIFS('Daily Writing Log'!$I$5:$I$34,'Daily Writing Log'!$A$5:$A$34,$A95)</f>
        <v>0</v>
      </c>
      <c r="D95" s="122">
        <f>IF($C95&gt;=Config!$B$5,1,0)</f>
        <v>0</v>
      </c>
      <c r="E95" s="122">
        <f>IF(MONTH($A95)&lt;&gt;MONTH($A94),0,$G94)</f>
        <v>0</v>
      </c>
      <c r="F95" s="122">
        <f>IF(AND($D95=0,$H94&gt;0,$E95&lt;Config!$B$8,$A95&lt;Config!$A$2),1,0)</f>
        <v>0</v>
      </c>
      <c r="G95" s="122">
        <f>$E95+$F95</f>
        <v>0</v>
      </c>
      <c r="H95" s="122">
        <f>IF($D95=1,$H94+1,IF($F95=1,$H94,IF($A95=Config!$A$2,$H94,0)))</f>
        <v>0</v>
      </c>
      <c r="M95" s="123" t="n"/>
    </row>
    <row r="96">
      <c r="A96" s="120" t="str">
        <f>A95+1</f>
        <v>2025-01-16 00:00:00</v>
      </c>
      <c r="B96" s="121">
        <f>SUMIFS('Daily Writing Log'!$H$5:$H$34,'Daily Writing Log'!$A$5:$A$34,$A96)</f>
        <v>0</v>
      </c>
      <c r="C96" s="121">
        <f>SUMIFS('Daily Writing Log'!$I$5:$I$34,'Daily Writing Log'!$A$5:$A$34,$A96)</f>
        <v>0</v>
      </c>
      <c r="D96" s="122">
        <f>IF($C96&gt;=Config!$B$5,1,0)</f>
        <v>0</v>
      </c>
      <c r="E96" s="122">
        <f>IF(MONTH($A96)&lt;&gt;MONTH($A95),0,$G95)</f>
        <v>0</v>
      </c>
      <c r="F96" s="122">
        <f>IF(AND($D96=0,$H95&gt;0,$E96&lt;Config!$B$8,$A96&lt;Config!$A$2),1,0)</f>
        <v>0</v>
      </c>
      <c r="G96" s="122">
        <f>$E96+$F96</f>
        <v>0</v>
      </c>
      <c r="H96" s="122">
        <f>IF($D96=1,$H95+1,IF($F96=1,$H95,IF($A96=Config!$A$2,$H95,0)))</f>
        <v>0</v>
      </c>
      <c r="M96" s="123" t="n"/>
    </row>
    <row r="97">
      <c r="A97" s="120" t="str">
        <f>A96+1</f>
        <v>2025-01-17 00:00:00</v>
      </c>
      <c r="B97" s="121">
        <f>SUMIFS('Daily Writing Log'!$H$5:$H$34,'Daily Writing Log'!$A$5:$A$34,$A97)</f>
        <v>0</v>
      </c>
      <c r="C97" s="121">
        <f>SUMIFS('Daily Writing Log'!$I$5:$I$34,'Daily Writing Log'!$A$5:$A$34,$A97)</f>
        <v>0</v>
      </c>
      <c r="D97" s="122">
        <f>IF($C97&gt;=Config!$B$5,1,0)</f>
        <v>0</v>
      </c>
      <c r="E97" s="122">
        <f>IF(MONTH($A97)&lt;&gt;MONTH($A96),0,$G96)</f>
        <v>0</v>
      </c>
      <c r="F97" s="122">
        <f>IF(AND($D97=0,$H96&gt;0,$E97&lt;Config!$B$8,$A97&lt;Config!$A$2),1,0)</f>
        <v>0</v>
      </c>
      <c r="G97" s="122">
        <f>$E97+$F97</f>
        <v>0</v>
      </c>
      <c r="H97" s="122">
        <f>IF($D97=1,$H96+1,IF($F97=1,$H96,IF($A97=Config!$A$2,$H96,0)))</f>
        <v>0</v>
      </c>
      <c r="M97" s="123" t="n"/>
    </row>
    <row r="98">
      <c r="A98" s="120" t="str">
        <f>A97+1</f>
        <v>2025-01-18 00:00:00</v>
      </c>
      <c r="B98" s="121">
        <f>SUMIFS('Daily Writing Log'!$H$5:$H$34,'Daily Writing Log'!$A$5:$A$34,$A98)</f>
        <v>0</v>
      </c>
      <c r="C98" s="121">
        <f>SUMIFS('Daily Writing Log'!$I$5:$I$34,'Daily Writing Log'!$A$5:$A$34,$A98)</f>
        <v>0</v>
      </c>
      <c r="D98" s="122">
        <f>IF($C98&gt;=Config!$B$5,1,0)</f>
        <v>0</v>
      </c>
      <c r="E98" s="122">
        <f>IF(MONTH($A98)&lt;&gt;MONTH($A97),0,$G97)</f>
        <v>0</v>
      </c>
      <c r="F98" s="122">
        <f>IF(AND($D98=0,$H97&gt;0,$E98&lt;Config!$B$8,$A98&lt;Config!$A$2),1,0)</f>
        <v>0</v>
      </c>
      <c r="G98" s="122">
        <f>$E98+$F98</f>
        <v>0</v>
      </c>
      <c r="H98" s="122">
        <f>IF($D98=1,$H97+1,IF($F98=1,$H97,IF($A98=Config!$A$2,$H97,0)))</f>
        <v>0</v>
      </c>
      <c r="M98" s="123" t="n"/>
    </row>
    <row r="99">
      <c r="A99" s="120" t="str">
        <f>A98+1</f>
        <v>2025-01-19 00:00:00</v>
      </c>
      <c r="B99" s="121">
        <f>SUMIFS('Daily Writing Log'!$H$5:$H$34,'Daily Writing Log'!$A$5:$A$34,$A99)</f>
        <v>0</v>
      </c>
      <c r="C99" s="121">
        <f>SUMIFS('Daily Writing Log'!$I$5:$I$34,'Daily Writing Log'!$A$5:$A$34,$A99)</f>
        <v>0</v>
      </c>
      <c r="D99" s="122">
        <f>IF($C99&gt;=Config!$B$5,1,0)</f>
        <v>0</v>
      </c>
      <c r="E99" s="122">
        <f>IF(MONTH($A99)&lt;&gt;MONTH($A98),0,$G98)</f>
        <v>0</v>
      </c>
      <c r="F99" s="122">
        <f>IF(AND($D99=0,$H98&gt;0,$E99&lt;Config!$B$8,$A99&lt;Config!$A$2),1,0)</f>
        <v>0</v>
      </c>
      <c r="G99" s="122">
        <f>$E99+$F99</f>
        <v>0</v>
      </c>
      <c r="H99" s="122">
        <f>IF($D99=1,$H98+1,IF($F99=1,$H98,IF($A99=Config!$A$2,$H98,0)))</f>
        <v>0</v>
      </c>
      <c r="M99" s="123" t="n"/>
    </row>
    <row r="100">
      <c r="A100" s="120" t="str">
        <f>A99+1</f>
        <v>2025-01-20 00:00:00</v>
      </c>
      <c r="B100" s="121">
        <f>SUMIFS('Daily Writing Log'!$H$5:$H$34,'Daily Writing Log'!$A$5:$A$34,$A100)</f>
        <v>0</v>
      </c>
      <c r="C100" s="121">
        <f>SUMIFS('Daily Writing Log'!$I$5:$I$34,'Daily Writing Log'!$A$5:$A$34,$A100)</f>
        <v>0</v>
      </c>
      <c r="D100" s="122">
        <f>IF($C100&gt;=Config!$B$5,1,0)</f>
        <v>0</v>
      </c>
      <c r="E100" s="122">
        <f>IF(MONTH($A100)&lt;&gt;MONTH($A99),0,$G99)</f>
        <v>0</v>
      </c>
      <c r="F100" s="122">
        <f>IF(AND($D100=0,$H99&gt;0,$E100&lt;Config!$B$8,$A100&lt;Config!$A$2),1,0)</f>
        <v>0</v>
      </c>
      <c r="G100" s="122">
        <f>$E100+$F100</f>
        <v>0</v>
      </c>
      <c r="H100" s="122">
        <f>IF($D100=1,$H99+1,IF($F100=1,$H99,IF($A100=Config!$A$2,$H99,0)))</f>
        <v>0</v>
      </c>
      <c r="M100" s="123" t="n"/>
    </row>
    <row r="101">
      <c r="A101" s="120" t="str">
        <f>A100+1</f>
        <v>2025-01-21 00:00:00</v>
      </c>
      <c r="B101" s="121">
        <f>SUMIFS('Daily Writing Log'!$H$5:$H$34,'Daily Writing Log'!$A$5:$A$34,$A101)</f>
        <v>0</v>
      </c>
      <c r="C101" s="121">
        <f>SUMIFS('Daily Writing Log'!$I$5:$I$34,'Daily Writing Log'!$A$5:$A$34,$A101)</f>
        <v>0</v>
      </c>
      <c r="D101" s="122">
        <f>IF($C101&gt;=Config!$B$5,1,0)</f>
        <v>0</v>
      </c>
      <c r="E101" s="122">
        <f>IF(MONTH($A101)&lt;&gt;MONTH($A100),0,$G100)</f>
        <v>0</v>
      </c>
      <c r="F101" s="122">
        <f>IF(AND($D101=0,$H100&gt;0,$E101&lt;Config!$B$8,$A101&lt;Config!$A$2),1,0)</f>
        <v>0</v>
      </c>
      <c r="G101" s="122">
        <f>$E101+$F101</f>
        <v>0</v>
      </c>
      <c r="H101" s="122">
        <f>IF($D101=1,$H100+1,IF($F101=1,$H100,IF($A101=Config!$A$2,$H100,0)))</f>
        <v>0</v>
      </c>
      <c r="M101" s="123" t="n"/>
    </row>
    <row r="102">
      <c r="A102" s="120" t="str">
        <f>A101+1</f>
        <v>2025-01-22 00:00:00</v>
      </c>
      <c r="B102" s="121">
        <f>SUMIFS('Daily Writing Log'!$H$5:$H$34,'Daily Writing Log'!$A$5:$A$34,$A102)</f>
        <v>0</v>
      </c>
      <c r="C102" s="121">
        <f>SUMIFS('Daily Writing Log'!$I$5:$I$34,'Daily Writing Log'!$A$5:$A$34,$A102)</f>
        <v>0</v>
      </c>
      <c r="D102" s="122">
        <f>IF($C102&gt;=Config!$B$5,1,0)</f>
        <v>0</v>
      </c>
      <c r="E102" s="122">
        <f>IF(MONTH($A102)&lt;&gt;MONTH($A101),0,$G101)</f>
        <v>0</v>
      </c>
      <c r="F102" s="122">
        <f>IF(AND($D102=0,$H101&gt;0,$E102&lt;Config!$B$8,$A102&lt;Config!$A$2),1,0)</f>
        <v>0</v>
      </c>
      <c r="G102" s="122">
        <f>$E102+$F102</f>
        <v>0</v>
      </c>
      <c r="H102" s="122">
        <f>IF($D102=1,$H101+1,IF($F102=1,$H101,IF($A102=Config!$A$2,$H101,0)))</f>
        <v>0</v>
      </c>
      <c r="M102" s="123" t="n"/>
    </row>
    <row r="103">
      <c r="A103" s="120" t="str">
        <f>A102+1</f>
        <v>2025-01-23 00:00:00</v>
      </c>
      <c r="B103" s="121">
        <f>SUMIFS('Daily Writing Log'!$H$5:$H$34,'Daily Writing Log'!$A$5:$A$34,$A103)</f>
        <v>0</v>
      </c>
      <c r="C103" s="121">
        <f>SUMIFS('Daily Writing Log'!$I$5:$I$34,'Daily Writing Log'!$A$5:$A$34,$A103)</f>
        <v>0</v>
      </c>
      <c r="D103" s="122">
        <f>IF($C103&gt;=Config!$B$5,1,0)</f>
        <v>0</v>
      </c>
      <c r="E103" s="122">
        <f>IF(MONTH($A103)&lt;&gt;MONTH($A102),0,$G102)</f>
        <v>0</v>
      </c>
      <c r="F103" s="122">
        <f>IF(AND($D103=0,$H102&gt;0,$E103&lt;Config!$B$8,$A103&lt;Config!$A$2),1,0)</f>
        <v>0</v>
      </c>
      <c r="G103" s="122">
        <f>$E103+$F103</f>
        <v>0</v>
      </c>
      <c r="H103" s="122">
        <f>IF($D103=1,$H102+1,IF($F103=1,$H102,IF($A103=Config!$A$2,$H102,0)))</f>
        <v>0</v>
      </c>
      <c r="M103" s="123" t="n"/>
    </row>
    <row r="104">
      <c r="A104" s="120" t="str">
        <f>A103+1</f>
        <v>2025-01-24 00:00:00</v>
      </c>
      <c r="B104" s="121">
        <f>SUMIFS('Daily Writing Log'!$H$5:$H$34,'Daily Writing Log'!$A$5:$A$34,$A104)</f>
        <v>0</v>
      </c>
      <c r="C104" s="121">
        <f>SUMIFS('Daily Writing Log'!$I$5:$I$34,'Daily Writing Log'!$A$5:$A$34,$A104)</f>
        <v>0</v>
      </c>
      <c r="D104" s="122">
        <f>IF($C104&gt;=Config!$B$5,1,0)</f>
        <v>0</v>
      </c>
      <c r="E104" s="122">
        <f>IF(MONTH($A104)&lt;&gt;MONTH($A103),0,$G103)</f>
        <v>0</v>
      </c>
      <c r="F104" s="122">
        <f>IF(AND($D104=0,$H103&gt;0,$E104&lt;Config!$B$8,$A104&lt;Config!$A$2),1,0)</f>
        <v>0</v>
      </c>
      <c r="G104" s="122">
        <f>$E104+$F104</f>
        <v>0</v>
      </c>
      <c r="H104" s="122">
        <f>IF($D104=1,$H103+1,IF($F104=1,$H103,IF($A104=Config!$A$2,$H103,0)))</f>
        <v>0</v>
      </c>
      <c r="M104" s="123" t="n"/>
    </row>
    <row r="105">
      <c r="A105" s="120" t="str">
        <f>A104+1</f>
        <v>2025-01-25 00:00:00</v>
      </c>
      <c r="B105" s="121">
        <f>SUMIFS('Daily Writing Log'!$H$5:$H$34,'Daily Writing Log'!$A$5:$A$34,$A105)</f>
        <v>0</v>
      </c>
      <c r="C105" s="121">
        <f>SUMIFS('Daily Writing Log'!$I$5:$I$34,'Daily Writing Log'!$A$5:$A$34,$A105)</f>
        <v>0</v>
      </c>
      <c r="D105" s="122">
        <f>IF($C105&gt;=Config!$B$5,1,0)</f>
        <v>0</v>
      </c>
      <c r="E105" s="122">
        <f>IF(MONTH($A105)&lt;&gt;MONTH($A104),0,$G104)</f>
        <v>0</v>
      </c>
      <c r="F105" s="122">
        <f>IF(AND($D105=0,$H104&gt;0,$E105&lt;Config!$B$8,$A105&lt;Config!$A$2),1,0)</f>
        <v>0</v>
      </c>
      <c r="G105" s="122">
        <f>$E105+$F105</f>
        <v>0</v>
      </c>
      <c r="H105" s="122">
        <f>IF($D105=1,$H104+1,IF($F105=1,$H104,IF($A105=Config!$A$2,$H104,0)))</f>
        <v>0</v>
      </c>
      <c r="M105" s="123" t="n"/>
    </row>
    <row r="106">
      <c r="A106" s="120" t="str">
        <f>A105+1</f>
        <v>2025-01-26 00:00:00</v>
      </c>
      <c r="B106" s="121">
        <f>SUMIFS('Daily Writing Log'!$H$5:$H$34,'Daily Writing Log'!$A$5:$A$34,$A106)</f>
        <v>0</v>
      </c>
      <c r="C106" s="121">
        <f>SUMIFS('Daily Writing Log'!$I$5:$I$34,'Daily Writing Log'!$A$5:$A$34,$A106)</f>
        <v>0</v>
      </c>
      <c r="D106" s="122">
        <f>IF($C106&gt;=Config!$B$5,1,0)</f>
        <v>0</v>
      </c>
      <c r="E106" s="122">
        <f>IF(MONTH($A106)&lt;&gt;MONTH($A105),0,$G105)</f>
        <v>0</v>
      </c>
      <c r="F106" s="122">
        <f>IF(AND($D106=0,$H105&gt;0,$E106&lt;Config!$B$8,$A106&lt;Config!$A$2),1,0)</f>
        <v>0</v>
      </c>
      <c r="G106" s="122">
        <f>$E106+$F106</f>
        <v>0</v>
      </c>
      <c r="H106" s="122">
        <f>IF($D106=1,$H105+1,IF($F106=1,$H105,IF($A106=Config!$A$2,$H105,0)))</f>
        <v>0</v>
      </c>
      <c r="M106" s="123" t="n"/>
    </row>
    <row r="107">
      <c r="A107" s="120" t="str">
        <f>A106+1</f>
        <v>2025-01-27 00:00:00</v>
      </c>
      <c r="B107" s="121">
        <f>SUMIFS('Daily Writing Log'!$H$5:$H$34,'Daily Writing Log'!$A$5:$A$34,$A107)</f>
        <v>0</v>
      </c>
      <c r="C107" s="121">
        <f>SUMIFS('Daily Writing Log'!$I$5:$I$34,'Daily Writing Log'!$A$5:$A$34,$A107)</f>
        <v>0</v>
      </c>
      <c r="D107" s="122">
        <f>IF($C107&gt;=Config!$B$5,1,0)</f>
        <v>0</v>
      </c>
      <c r="E107" s="122">
        <f>IF(MONTH($A107)&lt;&gt;MONTH($A106),0,$G106)</f>
        <v>0</v>
      </c>
      <c r="F107" s="122">
        <f>IF(AND($D107=0,$H106&gt;0,$E107&lt;Config!$B$8,$A107&lt;Config!$A$2),1,0)</f>
        <v>0</v>
      </c>
      <c r="G107" s="122">
        <f>$E107+$F107</f>
        <v>0</v>
      </c>
      <c r="H107" s="122">
        <f>IF($D107=1,$H106+1,IF($F107=1,$H106,IF($A107=Config!$A$2,$H106,0)))</f>
        <v>0</v>
      </c>
      <c r="M107" s="123" t="n"/>
    </row>
    <row r="108">
      <c r="A108" s="120" t="str">
        <f>A107+1</f>
        <v>2025-01-28 00:00:00</v>
      </c>
      <c r="B108" s="121">
        <f>SUMIFS('Daily Writing Log'!$H$5:$H$34,'Daily Writing Log'!$A$5:$A$34,$A108)</f>
        <v>0</v>
      </c>
      <c r="C108" s="121">
        <f>SUMIFS('Daily Writing Log'!$I$5:$I$34,'Daily Writing Log'!$A$5:$A$34,$A108)</f>
        <v>0</v>
      </c>
      <c r="D108" s="122">
        <f>IF($C108&gt;=Config!$B$5,1,0)</f>
        <v>0</v>
      </c>
      <c r="E108" s="122">
        <f>IF(MONTH($A108)&lt;&gt;MONTH($A107),0,$G107)</f>
        <v>0</v>
      </c>
      <c r="F108" s="122">
        <f>IF(AND($D108=0,$H107&gt;0,$E108&lt;Config!$B$8,$A108&lt;Config!$A$2),1,0)</f>
        <v>0</v>
      </c>
      <c r="G108" s="122">
        <f>$E108+$F108</f>
        <v>0</v>
      </c>
      <c r="H108" s="122">
        <f>IF($D108=1,$H107+1,IF($F108=1,$H107,IF($A108=Config!$A$2,$H107,0)))</f>
        <v>0</v>
      </c>
      <c r="M108" s="123" t="n"/>
    </row>
    <row r="109">
      <c r="A109" s="120" t="str">
        <f>A108+1</f>
        <v>2025-01-29 00:00:00</v>
      </c>
      <c r="B109" s="121">
        <f>SUMIFS('Daily Writing Log'!$H$5:$H$34,'Daily Writing Log'!$A$5:$A$34,$A109)</f>
        <v>0</v>
      </c>
      <c r="C109" s="121">
        <f>SUMIFS('Daily Writing Log'!$I$5:$I$34,'Daily Writing Log'!$A$5:$A$34,$A109)</f>
        <v>0</v>
      </c>
      <c r="D109" s="122">
        <f>IF($C109&gt;=Config!$B$5,1,0)</f>
        <v>0</v>
      </c>
      <c r="E109" s="122">
        <f>IF(MONTH($A109)&lt;&gt;MONTH($A108),0,$G108)</f>
        <v>0</v>
      </c>
      <c r="F109" s="122">
        <f>IF(AND($D109=0,$H108&gt;0,$E109&lt;Config!$B$8,$A109&lt;Config!$A$2),1,0)</f>
        <v>0</v>
      </c>
      <c r="G109" s="122">
        <f>$E109+$F109</f>
        <v>0</v>
      </c>
      <c r="H109" s="122">
        <f>IF($D109=1,$H108+1,IF($F109=1,$H108,IF($A109=Config!$A$2,$H108,0)))</f>
        <v>0</v>
      </c>
      <c r="M109" s="123" t="n"/>
    </row>
    <row r="110">
      <c r="A110" s="120" t="str">
        <f>A109+1</f>
        <v>2025-01-30 00:00:00</v>
      </c>
      <c r="B110" s="121">
        <f>SUMIFS('Daily Writing Log'!$H$5:$H$34,'Daily Writing Log'!$A$5:$A$34,$A110)</f>
        <v>0</v>
      </c>
      <c r="C110" s="121">
        <f>SUMIFS('Daily Writing Log'!$I$5:$I$34,'Daily Writing Log'!$A$5:$A$34,$A110)</f>
        <v>0</v>
      </c>
      <c r="D110" s="122">
        <f>IF($C110&gt;=Config!$B$5,1,0)</f>
        <v>0</v>
      </c>
      <c r="E110" s="122">
        <f>IF(MONTH($A110)&lt;&gt;MONTH($A109),0,$G109)</f>
        <v>0</v>
      </c>
      <c r="F110" s="122">
        <f>IF(AND($D110=0,$H109&gt;0,$E110&lt;Config!$B$8,$A110&lt;Config!$A$2),1,0)</f>
        <v>0</v>
      </c>
      <c r="G110" s="122">
        <f>$E110+$F110</f>
        <v>0</v>
      </c>
      <c r="H110" s="122">
        <f>IF($D110=1,$H109+1,IF($F110=1,$H109,IF($A110=Config!$A$2,$H109,0)))</f>
        <v>0</v>
      </c>
      <c r="M110" s="123" t="n"/>
    </row>
    <row r="111">
      <c r="A111" s="120" t="str">
        <f>A110+1</f>
        <v>2025-01-31 00:00:00</v>
      </c>
      <c r="B111" s="121">
        <f>SUMIFS('Daily Writing Log'!$H$5:$H$34,'Daily Writing Log'!$A$5:$A$34,$A111)</f>
        <v>0</v>
      </c>
      <c r="C111" s="121">
        <f>SUMIFS('Daily Writing Log'!$I$5:$I$34,'Daily Writing Log'!$A$5:$A$34,$A111)</f>
        <v>0</v>
      </c>
      <c r="D111" s="122">
        <f>IF($C111&gt;=Config!$B$5,1,0)</f>
        <v>0</v>
      </c>
      <c r="E111" s="122">
        <f>IF(MONTH($A111)&lt;&gt;MONTH($A110),0,$G110)</f>
        <v>0</v>
      </c>
      <c r="F111" s="122">
        <f>IF(AND($D111=0,$H110&gt;0,$E111&lt;Config!$B$8,$A111&lt;Config!$A$2),1,0)</f>
        <v>0</v>
      </c>
      <c r="G111" s="122">
        <f>$E111+$F111</f>
        <v>0</v>
      </c>
      <c r="H111" s="122">
        <f>IF($D111=1,$H110+1,IF($F111=1,$H110,IF($A111=Config!$A$2,$H110,0)))</f>
        <v>0</v>
      </c>
      <c r="M111" s="123" t="n"/>
    </row>
    <row r="112">
      <c r="A112" s="120" t="str">
        <f>A111+1</f>
        <v>2025-02-01 00:00:00</v>
      </c>
      <c r="B112" s="121">
        <f>SUMIFS('Daily Writing Log'!$H$5:$H$34,'Daily Writing Log'!$A$5:$A$34,$A112)</f>
        <v>0</v>
      </c>
      <c r="C112" s="121">
        <f>SUMIFS('Daily Writing Log'!$I$5:$I$34,'Daily Writing Log'!$A$5:$A$34,$A112)</f>
        <v>0</v>
      </c>
      <c r="D112" s="122">
        <f>IF($C112&gt;=Config!$B$5,1,0)</f>
        <v>0</v>
      </c>
      <c r="E112" s="122">
        <f>IF(MONTH($A112)&lt;&gt;MONTH($A111),0,$G111)</f>
        <v>0</v>
      </c>
      <c r="F112" s="122">
        <f>IF(AND($D112=0,$H111&gt;0,$E112&lt;Config!$B$8,$A112&lt;Config!$A$2),1,0)</f>
        <v>0</v>
      </c>
      <c r="G112" s="122">
        <f>$E112+$F112</f>
        <v>0</v>
      </c>
      <c r="H112" s="122">
        <f>IF($D112=1,$H111+1,IF($F112=1,$H111,IF($A112=Config!$A$2,$H111,0)))</f>
        <v>0</v>
      </c>
      <c r="M112" s="123" t="n"/>
    </row>
    <row r="113">
      <c r="A113" s="120" t="str">
        <f>A112+1</f>
        <v>2025-02-02 00:00:00</v>
      </c>
      <c r="B113" s="121">
        <f>SUMIFS('Daily Writing Log'!$H$5:$H$34,'Daily Writing Log'!$A$5:$A$34,$A113)</f>
        <v>0</v>
      </c>
      <c r="C113" s="121">
        <f>SUMIFS('Daily Writing Log'!$I$5:$I$34,'Daily Writing Log'!$A$5:$A$34,$A113)</f>
        <v>0</v>
      </c>
      <c r="D113" s="122">
        <f>IF($C113&gt;=Config!$B$5,1,0)</f>
        <v>0</v>
      </c>
      <c r="E113" s="122">
        <f>IF(MONTH($A113)&lt;&gt;MONTH($A112),0,$G112)</f>
        <v>0</v>
      </c>
      <c r="F113" s="122">
        <f>IF(AND($D113=0,$H112&gt;0,$E113&lt;Config!$B$8,$A113&lt;Config!$A$2),1,0)</f>
        <v>0</v>
      </c>
      <c r="G113" s="122">
        <f>$E113+$F113</f>
        <v>0</v>
      </c>
      <c r="H113" s="122">
        <f>IF($D113=1,$H112+1,IF($F113=1,$H112,IF($A113=Config!$A$2,$H112,0)))</f>
        <v>0</v>
      </c>
      <c r="M113" s="123" t="n"/>
    </row>
    <row r="114">
      <c r="A114" s="120" t="str">
        <f>A113+1</f>
        <v>2025-02-03 00:00:00</v>
      </c>
      <c r="B114" s="121">
        <f>SUMIFS('Daily Writing Log'!$H$5:$H$34,'Daily Writing Log'!$A$5:$A$34,$A114)</f>
        <v>0</v>
      </c>
      <c r="C114" s="121">
        <f>SUMIFS('Daily Writing Log'!$I$5:$I$34,'Daily Writing Log'!$A$5:$A$34,$A114)</f>
        <v>0</v>
      </c>
      <c r="D114" s="122">
        <f>IF($C114&gt;=Config!$B$5,1,0)</f>
        <v>0</v>
      </c>
      <c r="E114" s="122">
        <f>IF(MONTH($A114)&lt;&gt;MONTH($A113),0,$G113)</f>
        <v>0</v>
      </c>
      <c r="F114" s="122">
        <f>IF(AND($D114=0,$H113&gt;0,$E114&lt;Config!$B$8,$A114&lt;Config!$A$2),1,0)</f>
        <v>0</v>
      </c>
      <c r="G114" s="122">
        <f>$E114+$F114</f>
        <v>0</v>
      </c>
      <c r="H114" s="122">
        <f>IF($D114=1,$H113+1,IF($F114=1,$H113,IF($A114=Config!$A$2,$H113,0)))</f>
        <v>0</v>
      </c>
      <c r="M114" s="123" t="n"/>
    </row>
    <row r="115">
      <c r="A115" s="120" t="str">
        <f>A114+1</f>
        <v>2025-02-04 00:00:00</v>
      </c>
      <c r="B115" s="121">
        <f>SUMIFS('Daily Writing Log'!$H$5:$H$34,'Daily Writing Log'!$A$5:$A$34,$A115)</f>
        <v>0</v>
      </c>
      <c r="C115" s="121">
        <f>SUMIFS('Daily Writing Log'!$I$5:$I$34,'Daily Writing Log'!$A$5:$A$34,$A115)</f>
        <v>0</v>
      </c>
      <c r="D115" s="122">
        <f>IF($C115&gt;=Config!$B$5,1,0)</f>
        <v>0</v>
      </c>
      <c r="E115" s="122">
        <f>IF(MONTH($A115)&lt;&gt;MONTH($A114),0,$G114)</f>
        <v>0</v>
      </c>
      <c r="F115" s="122">
        <f>IF(AND($D115=0,$H114&gt;0,$E115&lt;Config!$B$8,$A115&lt;Config!$A$2),1,0)</f>
        <v>0</v>
      </c>
      <c r="G115" s="122">
        <f>$E115+$F115</f>
        <v>0</v>
      </c>
      <c r="H115" s="122">
        <f>IF($D115=1,$H114+1,IF($F115=1,$H114,IF($A115=Config!$A$2,$H114,0)))</f>
        <v>0</v>
      </c>
      <c r="M115" s="123" t="n"/>
    </row>
    <row r="116">
      <c r="A116" s="120" t="str">
        <f>A115+1</f>
        <v>2025-02-05 00:00:00</v>
      </c>
      <c r="B116" s="121">
        <f>SUMIFS('Daily Writing Log'!$H$5:$H$34,'Daily Writing Log'!$A$5:$A$34,$A116)</f>
        <v>0</v>
      </c>
      <c r="C116" s="121">
        <f>SUMIFS('Daily Writing Log'!$I$5:$I$34,'Daily Writing Log'!$A$5:$A$34,$A116)</f>
        <v>0</v>
      </c>
      <c r="D116" s="122">
        <f>IF($C116&gt;=Config!$B$5,1,0)</f>
        <v>0</v>
      </c>
      <c r="E116" s="122">
        <f>IF(MONTH($A116)&lt;&gt;MONTH($A115),0,$G115)</f>
        <v>0</v>
      </c>
      <c r="F116" s="122">
        <f>IF(AND($D116=0,$H115&gt;0,$E116&lt;Config!$B$8,$A116&lt;Config!$A$2),1,0)</f>
        <v>0</v>
      </c>
      <c r="G116" s="122">
        <f>$E116+$F116</f>
        <v>0</v>
      </c>
      <c r="H116" s="122">
        <f>IF($D116=1,$H115+1,IF($F116=1,$H115,IF($A116=Config!$A$2,$H115,0)))</f>
        <v>0</v>
      </c>
      <c r="M116" s="123" t="n"/>
    </row>
    <row r="117">
      <c r="A117" s="120" t="str">
        <f>A116+1</f>
        <v>2025-02-06 00:00:00</v>
      </c>
      <c r="B117" s="121">
        <f>SUMIFS('Daily Writing Log'!$H$5:$H$34,'Daily Writing Log'!$A$5:$A$34,$A117)</f>
        <v>0</v>
      </c>
      <c r="C117" s="121">
        <f>SUMIFS('Daily Writing Log'!$I$5:$I$34,'Daily Writing Log'!$A$5:$A$34,$A117)</f>
        <v>0</v>
      </c>
      <c r="D117" s="122">
        <f>IF($C117&gt;=Config!$B$5,1,0)</f>
        <v>0</v>
      </c>
      <c r="E117" s="122">
        <f>IF(MONTH($A117)&lt;&gt;MONTH($A116),0,$G116)</f>
        <v>0</v>
      </c>
      <c r="F117" s="122">
        <f>IF(AND($D117=0,$H116&gt;0,$E117&lt;Config!$B$8,$A117&lt;Config!$A$2),1,0)</f>
        <v>0</v>
      </c>
      <c r="G117" s="122">
        <f>$E117+$F117</f>
        <v>0</v>
      </c>
      <c r="H117" s="122">
        <f>IF($D117=1,$H116+1,IF($F117=1,$H116,IF($A117=Config!$A$2,$H116,0)))</f>
        <v>0</v>
      </c>
      <c r="M117" s="123" t="n"/>
    </row>
    <row r="118">
      <c r="A118" s="120" t="str">
        <f>A117+1</f>
        <v>2025-02-07 00:00:00</v>
      </c>
      <c r="B118" s="121">
        <f>SUMIFS('Daily Writing Log'!$H$5:$H$34,'Daily Writing Log'!$A$5:$A$34,$A118)</f>
        <v>0</v>
      </c>
      <c r="C118" s="121">
        <f>SUMIFS('Daily Writing Log'!$I$5:$I$34,'Daily Writing Log'!$A$5:$A$34,$A118)</f>
        <v>0</v>
      </c>
      <c r="D118" s="122">
        <f>IF($C118&gt;=Config!$B$5,1,0)</f>
        <v>0</v>
      </c>
      <c r="E118" s="122">
        <f>IF(MONTH($A118)&lt;&gt;MONTH($A117),0,$G117)</f>
        <v>0</v>
      </c>
      <c r="F118" s="122">
        <f>IF(AND($D118=0,$H117&gt;0,$E118&lt;Config!$B$8,$A118&lt;Config!$A$2),1,0)</f>
        <v>0</v>
      </c>
      <c r="G118" s="122">
        <f>$E118+$F118</f>
        <v>0</v>
      </c>
      <c r="H118" s="122">
        <f>IF($D118=1,$H117+1,IF($F118=1,$H117,IF($A118=Config!$A$2,$H117,0)))</f>
        <v>0</v>
      </c>
      <c r="M118" s="123" t="n"/>
    </row>
    <row r="119">
      <c r="A119" s="120" t="str">
        <f>A118+1</f>
        <v>2025-02-08 00:00:00</v>
      </c>
      <c r="B119" s="121">
        <f>SUMIFS('Daily Writing Log'!$H$5:$H$34,'Daily Writing Log'!$A$5:$A$34,$A119)</f>
        <v>0</v>
      </c>
      <c r="C119" s="121">
        <f>SUMIFS('Daily Writing Log'!$I$5:$I$34,'Daily Writing Log'!$A$5:$A$34,$A119)</f>
        <v>0</v>
      </c>
      <c r="D119" s="122">
        <f>IF($C119&gt;=Config!$B$5,1,0)</f>
        <v>0</v>
      </c>
      <c r="E119" s="122">
        <f>IF(MONTH($A119)&lt;&gt;MONTH($A118),0,$G118)</f>
        <v>0</v>
      </c>
      <c r="F119" s="122">
        <f>IF(AND($D119=0,$H118&gt;0,$E119&lt;Config!$B$8,$A119&lt;Config!$A$2),1,0)</f>
        <v>0</v>
      </c>
      <c r="G119" s="122">
        <f>$E119+$F119</f>
        <v>0</v>
      </c>
      <c r="H119" s="122">
        <f>IF($D119=1,$H118+1,IF($F119=1,$H118,IF($A119=Config!$A$2,$H118,0)))</f>
        <v>0</v>
      </c>
      <c r="M119" s="123" t="n"/>
    </row>
    <row r="120">
      <c r="A120" s="120" t="str">
        <f>A119+1</f>
        <v>2025-02-09 00:00:00</v>
      </c>
      <c r="B120" s="121">
        <f>SUMIFS('Daily Writing Log'!$H$5:$H$34,'Daily Writing Log'!$A$5:$A$34,$A120)</f>
        <v>0</v>
      </c>
      <c r="C120" s="121">
        <f>SUMIFS('Daily Writing Log'!$I$5:$I$34,'Daily Writing Log'!$A$5:$A$34,$A120)</f>
        <v>0</v>
      </c>
      <c r="D120" s="122">
        <f>IF($C120&gt;=Config!$B$5,1,0)</f>
        <v>0</v>
      </c>
      <c r="E120" s="122">
        <f>IF(MONTH($A120)&lt;&gt;MONTH($A119),0,$G119)</f>
        <v>0</v>
      </c>
      <c r="F120" s="122">
        <f>IF(AND($D120=0,$H119&gt;0,$E120&lt;Config!$B$8,$A120&lt;Config!$A$2),1,0)</f>
        <v>0</v>
      </c>
      <c r="G120" s="122">
        <f>$E120+$F120</f>
        <v>0</v>
      </c>
      <c r="H120" s="122">
        <f>IF($D120=1,$H119+1,IF($F120=1,$H119,IF($A120=Config!$A$2,$H119,0)))</f>
        <v>0</v>
      </c>
      <c r="M120" s="123" t="n"/>
    </row>
    <row r="121">
      <c r="A121" s="120" t="str">
        <f>A120+1</f>
        <v>2025-02-10 00:00:00</v>
      </c>
      <c r="B121" s="121">
        <f>SUMIFS('Daily Writing Log'!$H$5:$H$34,'Daily Writing Log'!$A$5:$A$34,$A121)</f>
        <v>0</v>
      </c>
      <c r="C121" s="121">
        <f>SUMIFS('Daily Writing Log'!$I$5:$I$34,'Daily Writing Log'!$A$5:$A$34,$A121)</f>
        <v>0</v>
      </c>
      <c r="D121" s="122">
        <f>IF($C121&gt;=Config!$B$5,1,0)</f>
        <v>0</v>
      </c>
      <c r="E121" s="122">
        <f>IF(MONTH($A121)&lt;&gt;MONTH($A120),0,$G120)</f>
        <v>0</v>
      </c>
      <c r="F121" s="122">
        <f>IF(AND($D121=0,$H120&gt;0,$E121&lt;Config!$B$8,$A121&lt;Config!$A$2),1,0)</f>
        <v>0</v>
      </c>
      <c r="G121" s="122">
        <f>$E121+$F121</f>
        <v>0</v>
      </c>
      <c r="H121" s="122">
        <f>IF($D121=1,$H120+1,IF($F121=1,$H120,IF($A121=Config!$A$2,$H120,0)))</f>
        <v>0</v>
      </c>
      <c r="M121" s="123" t="n"/>
    </row>
    <row r="122">
      <c r="A122" s="120" t="str">
        <f>A121+1</f>
        <v>2025-02-11 00:00:00</v>
      </c>
      <c r="B122" s="121">
        <f>SUMIFS('Daily Writing Log'!$H$5:$H$34,'Daily Writing Log'!$A$5:$A$34,$A122)</f>
        <v>0</v>
      </c>
      <c r="C122" s="121">
        <f>SUMIFS('Daily Writing Log'!$I$5:$I$34,'Daily Writing Log'!$A$5:$A$34,$A122)</f>
        <v>0</v>
      </c>
      <c r="D122" s="122">
        <f>IF($C122&gt;=Config!$B$5,1,0)</f>
        <v>0</v>
      </c>
      <c r="E122" s="122">
        <f>IF(MONTH($A122)&lt;&gt;MONTH($A121),0,$G121)</f>
        <v>0</v>
      </c>
      <c r="F122" s="122">
        <f>IF(AND($D122=0,$H121&gt;0,$E122&lt;Config!$B$8,$A122&lt;Config!$A$2),1,0)</f>
        <v>0</v>
      </c>
      <c r="G122" s="122">
        <f>$E122+$F122</f>
        <v>0</v>
      </c>
      <c r="H122" s="122">
        <f>IF($D122=1,$H121+1,IF($F122=1,$H121,IF($A122=Config!$A$2,$H121,0)))</f>
        <v>0</v>
      </c>
      <c r="M122" s="123" t="n"/>
    </row>
    <row r="123">
      <c r="A123" s="120" t="str">
        <f>A122+1</f>
        <v>2025-02-12 00:00:00</v>
      </c>
      <c r="B123" s="121">
        <f>SUMIFS('Daily Writing Log'!$H$5:$H$34,'Daily Writing Log'!$A$5:$A$34,$A123)</f>
        <v>0</v>
      </c>
      <c r="C123" s="121">
        <f>SUMIFS('Daily Writing Log'!$I$5:$I$34,'Daily Writing Log'!$A$5:$A$34,$A123)</f>
        <v>0</v>
      </c>
      <c r="D123" s="122">
        <f>IF($C123&gt;=Config!$B$5,1,0)</f>
        <v>0</v>
      </c>
      <c r="E123" s="122">
        <f>IF(MONTH($A123)&lt;&gt;MONTH($A122),0,$G122)</f>
        <v>0</v>
      </c>
      <c r="F123" s="122">
        <f>IF(AND($D123=0,$H122&gt;0,$E123&lt;Config!$B$8,$A123&lt;Config!$A$2),1,0)</f>
        <v>0</v>
      </c>
      <c r="G123" s="122">
        <f>$E123+$F123</f>
        <v>0</v>
      </c>
      <c r="H123" s="122">
        <f>IF($D123=1,$H122+1,IF($F123=1,$H122,IF($A123=Config!$A$2,$H122,0)))</f>
        <v>0</v>
      </c>
      <c r="M123" s="123" t="n"/>
    </row>
    <row r="124">
      <c r="A124" s="120" t="str">
        <f>A123+1</f>
        <v>2025-02-13 00:00:00</v>
      </c>
      <c r="B124" s="121">
        <f>SUMIFS('Daily Writing Log'!$H$5:$H$34,'Daily Writing Log'!$A$5:$A$34,$A124)</f>
        <v>0</v>
      </c>
      <c r="C124" s="121">
        <f>SUMIFS('Daily Writing Log'!$I$5:$I$34,'Daily Writing Log'!$A$5:$A$34,$A124)</f>
        <v>0</v>
      </c>
      <c r="D124" s="122">
        <f>IF($C124&gt;=Config!$B$5,1,0)</f>
        <v>0</v>
      </c>
      <c r="E124" s="122">
        <f>IF(MONTH($A124)&lt;&gt;MONTH($A123),0,$G123)</f>
        <v>0</v>
      </c>
      <c r="F124" s="122">
        <f>IF(AND($D124=0,$H123&gt;0,$E124&lt;Config!$B$8,$A124&lt;Config!$A$2),1,0)</f>
        <v>0</v>
      </c>
      <c r="G124" s="122">
        <f>$E124+$F124</f>
        <v>0</v>
      </c>
      <c r="H124" s="122">
        <f>IF($D124=1,$H123+1,IF($F124=1,$H123,IF($A124=Config!$A$2,$H123,0)))</f>
        <v>0</v>
      </c>
      <c r="M124" s="123" t="n"/>
    </row>
    <row r="125">
      <c r="A125" s="120" t="str">
        <f>A124+1</f>
        <v>2025-02-14 00:00:00</v>
      </c>
      <c r="B125" s="121">
        <f>SUMIFS('Daily Writing Log'!$H$5:$H$34,'Daily Writing Log'!$A$5:$A$34,$A125)</f>
        <v>0</v>
      </c>
      <c r="C125" s="121">
        <f>SUMIFS('Daily Writing Log'!$I$5:$I$34,'Daily Writing Log'!$A$5:$A$34,$A125)</f>
        <v>0</v>
      </c>
      <c r="D125" s="122">
        <f>IF($C125&gt;=Config!$B$5,1,0)</f>
        <v>0</v>
      </c>
      <c r="E125" s="122">
        <f>IF(MONTH($A125)&lt;&gt;MONTH($A124),0,$G124)</f>
        <v>0</v>
      </c>
      <c r="F125" s="122">
        <f>IF(AND($D125=0,$H124&gt;0,$E125&lt;Config!$B$8,$A125&lt;Config!$A$2),1,0)</f>
        <v>0</v>
      </c>
      <c r="G125" s="122">
        <f>$E125+$F125</f>
        <v>0</v>
      </c>
      <c r="H125" s="122">
        <f>IF($D125=1,$H124+1,IF($F125=1,$H124,IF($A125=Config!$A$2,$H124,0)))</f>
        <v>0</v>
      </c>
      <c r="M125" s="123" t="n"/>
    </row>
    <row r="126">
      <c r="A126" s="120" t="str">
        <f>A125+1</f>
        <v>2025-02-15 00:00:00</v>
      </c>
      <c r="B126" s="121">
        <f>SUMIFS('Daily Writing Log'!$H$5:$H$34,'Daily Writing Log'!$A$5:$A$34,$A126)</f>
        <v>0</v>
      </c>
      <c r="C126" s="121">
        <f>SUMIFS('Daily Writing Log'!$I$5:$I$34,'Daily Writing Log'!$A$5:$A$34,$A126)</f>
        <v>0</v>
      </c>
      <c r="D126" s="122">
        <f>IF($C126&gt;=Config!$B$5,1,0)</f>
        <v>0</v>
      </c>
      <c r="E126" s="122">
        <f>IF(MONTH($A126)&lt;&gt;MONTH($A125),0,$G125)</f>
        <v>0</v>
      </c>
      <c r="F126" s="122">
        <f>IF(AND($D126=0,$H125&gt;0,$E126&lt;Config!$B$8,$A126&lt;Config!$A$2),1,0)</f>
        <v>0</v>
      </c>
      <c r="G126" s="122">
        <f>$E126+$F126</f>
        <v>0</v>
      </c>
      <c r="H126" s="122">
        <f>IF($D126=1,$H125+1,IF($F126=1,$H125,IF($A126=Config!$A$2,$H125,0)))</f>
        <v>0</v>
      </c>
      <c r="M126" s="123" t="n"/>
    </row>
    <row r="127">
      <c r="A127" s="120" t="str">
        <f>A126+1</f>
        <v>2025-02-16 00:00:00</v>
      </c>
      <c r="B127" s="121">
        <f>SUMIFS('Daily Writing Log'!$H$5:$H$34,'Daily Writing Log'!$A$5:$A$34,$A127)</f>
        <v>0</v>
      </c>
      <c r="C127" s="121">
        <f>SUMIFS('Daily Writing Log'!$I$5:$I$34,'Daily Writing Log'!$A$5:$A$34,$A127)</f>
        <v>0</v>
      </c>
      <c r="D127" s="122">
        <f>IF($C127&gt;=Config!$B$5,1,0)</f>
        <v>0</v>
      </c>
      <c r="E127" s="122">
        <f>IF(MONTH($A127)&lt;&gt;MONTH($A126),0,$G126)</f>
        <v>0</v>
      </c>
      <c r="F127" s="122">
        <f>IF(AND($D127=0,$H126&gt;0,$E127&lt;Config!$B$8,$A127&lt;Config!$A$2),1,0)</f>
        <v>0</v>
      </c>
      <c r="G127" s="122">
        <f>$E127+$F127</f>
        <v>0</v>
      </c>
      <c r="H127" s="122">
        <f>IF($D127=1,$H126+1,IF($F127=1,$H126,IF($A127=Config!$A$2,$H126,0)))</f>
        <v>0</v>
      </c>
      <c r="M127" s="123" t="n"/>
    </row>
    <row r="128">
      <c r="A128" s="120" t="str">
        <f>A127+1</f>
        <v>2025-02-17 00:00:00</v>
      </c>
      <c r="B128" s="121">
        <f>SUMIFS('Daily Writing Log'!$H$5:$H$34,'Daily Writing Log'!$A$5:$A$34,$A128)</f>
        <v>0</v>
      </c>
      <c r="C128" s="121">
        <f>SUMIFS('Daily Writing Log'!$I$5:$I$34,'Daily Writing Log'!$A$5:$A$34,$A128)</f>
        <v>0</v>
      </c>
      <c r="D128" s="122">
        <f>IF($C128&gt;=Config!$B$5,1,0)</f>
        <v>0</v>
      </c>
      <c r="E128" s="122">
        <f>IF(MONTH($A128)&lt;&gt;MONTH($A127),0,$G127)</f>
        <v>0</v>
      </c>
      <c r="F128" s="122">
        <f>IF(AND($D128=0,$H127&gt;0,$E128&lt;Config!$B$8,$A128&lt;Config!$A$2),1,0)</f>
        <v>0</v>
      </c>
      <c r="G128" s="122">
        <f>$E128+$F128</f>
        <v>0</v>
      </c>
      <c r="H128" s="122">
        <f>IF($D128=1,$H127+1,IF($F128=1,$H127,IF($A128=Config!$A$2,$H127,0)))</f>
        <v>0</v>
      </c>
      <c r="M128" s="123" t="n"/>
    </row>
    <row r="129">
      <c r="A129" s="120" t="str">
        <f>A128+1</f>
        <v>2025-02-18 00:00:00</v>
      </c>
      <c r="B129" s="121">
        <f>SUMIFS('Daily Writing Log'!$H$5:$H$34,'Daily Writing Log'!$A$5:$A$34,$A129)</f>
        <v>0</v>
      </c>
      <c r="C129" s="121">
        <f>SUMIFS('Daily Writing Log'!$I$5:$I$34,'Daily Writing Log'!$A$5:$A$34,$A129)</f>
        <v>0</v>
      </c>
      <c r="D129" s="122">
        <f>IF($C129&gt;=Config!$B$5,1,0)</f>
        <v>0</v>
      </c>
      <c r="E129" s="122">
        <f>IF(MONTH($A129)&lt;&gt;MONTH($A128),0,$G128)</f>
        <v>0</v>
      </c>
      <c r="F129" s="122">
        <f>IF(AND($D129=0,$H128&gt;0,$E129&lt;Config!$B$8,$A129&lt;Config!$A$2),1,0)</f>
        <v>0</v>
      </c>
      <c r="G129" s="122">
        <f>$E129+$F129</f>
        <v>0</v>
      </c>
      <c r="H129" s="122">
        <f>IF($D129=1,$H128+1,IF($F129=1,$H128,IF($A129=Config!$A$2,$H128,0)))</f>
        <v>0</v>
      </c>
      <c r="M129" s="123" t="n"/>
    </row>
    <row r="130">
      <c r="A130" s="120" t="str">
        <f>A129+1</f>
        <v>2025-02-19 00:00:00</v>
      </c>
      <c r="B130" s="121">
        <f>SUMIFS('Daily Writing Log'!$H$5:$H$34,'Daily Writing Log'!$A$5:$A$34,$A130)</f>
        <v>0</v>
      </c>
      <c r="C130" s="121">
        <f>SUMIFS('Daily Writing Log'!$I$5:$I$34,'Daily Writing Log'!$A$5:$A$34,$A130)</f>
        <v>0</v>
      </c>
      <c r="D130" s="122">
        <f>IF($C130&gt;=Config!$B$5,1,0)</f>
        <v>0</v>
      </c>
      <c r="E130" s="122">
        <f>IF(MONTH($A130)&lt;&gt;MONTH($A129),0,$G129)</f>
        <v>0</v>
      </c>
      <c r="F130" s="122">
        <f>IF(AND($D130=0,$H129&gt;0,$E130&lt;Config!$B$8,$A130&lt;Config!$A$2),1,0)</f>
        <v>0</v>
      </c>
      <c r="G130" s="122">
        <f>$E130+$F130</f>
        <v>0</v>
      </c>
      <c r="H130" s="122">
        <f>IF($D130=1,$H129+1,IF($F130=1,$H129,IF($A130=Config!$A$2,$H129,0)))</f>
        <v>0</v>
      </c>
      <c r="M130" s="123" t="n"/>
    </row>
    <row r="131">
      <c r="A131" s="120" t="str">
        <f>A130+1</f>
        <v>2025-02-20 00:00:00</v>
      </c>
      <c r="B131" s="121">
        <f>SUMIFS('Daily Writing Log'!$H$5:$H$34,'Daily Writing Log'!$A$5:$A$34,$A131)</f>
        <v>0</v>
      </c>
      <c r="C131" s="121">
        <f>SUMIFS('Daily Writing Log'!$I$5:$I$34,'Daily Writing Log'!$A$5:$A$34,$A131)</f>
        <v>0</v>
      </c>
      <c r="D131" s="122">
        <f>IF($C131&gt;=Config!$B$5,1,0)</f>
        <v>0</v>
      </c>
      <c r="E131" s="122">
        <f>IF(MONTH($A131)&lt;&gt;MONTH($A130),0,$G130)</f>
        <v>0</v>
      </c>
      <c r="F131" s="122">
        <f>IF(AND($D131=0,$H130&gt;0,$E131&lt;Config!$B$8,$A131&lt;Config!$A$2),1,0)</f>
        <v>0</v>
      </c>
      <c r="G131" s="122">
        <f>$E131+$F131</f>
        <v>0</v>
      </c>
      <c r="H131" s="122">
        <f>IF($D131=1,$H130+1,IF($F131=1,$H130,IF($A131=Config!$A$2,$H130,0)))</f>
        <v>0</v>
      </c>
      <c r="M131" s="123" t="n"/>
    </row>
    <row r="132">
      <c r="A132" s="120" t="str">
        <f>A131+1</f>
        <v>2025-02-21 00:00:00</v>
      </c>
      <c r="B132" s="121">
        <f>SUMIFS('Daily Writing Log'!$H$5:$H$34,'Daily Writing Log'!$A$5:$A$34,$A132)</f>
        <v>0</v>
      </c>
      <c r="C132" s="121">
        <f>SUMIFS('Daily Writing Log'!$I$5:$I$34,'Daily Writing Log'!$A$5:$A$34,$A132)</f>
        <v>0</v>
      </c>
      <c r="D132" s="122">
        <f>IF($C132&gt;=Config!$B$5,1,0)</f>
        <v>0</v>
      </c>
      <c r="E132" s="122">
        <f>IF(MONTH($A132)&lt;&gt;MONTH($A131),0,$G131)</f>
        <v>0</v>
      </c>
      <c r="F132" s="122">
        <f>IF(AND($D132=0,$H131&gt;0,$E132&lt;Config!$B$8,$A132&lt;Config!$A$2),1,0)</f>
        <v>0</v>
      </c>
      <c r="G132" s="122">
        <f>$E132+$F132</f>
        <v>0</v>
      </c>
      <c r="H132" s="122">
        <f>IF($D132=1,$H131+1,IF($F132=1,$H131,IF($A132=Config!$A$2,$H131,0)))</f>
        <v>0</v>
      </c>
      <c r="M132" s="123" t="n"/>
    </row>
    <row r="133">
      <c r="A133" s="120" t="str">
        <f>A132+1</f>
        <v>2025-02-22 00:00:00</v>
      </c>
      <c r="B133" s="121">
        <f>SUMIFS('Daily Writing Log'!$H$5:$H$34,'Daily Writing Log'!$A$5:$A$34,$A133)</f>
        <v>0</v>
      </c>
      <c r="C133" s="121">
        <f>SUMIFS('Daily Writing Log'!$I$5:$I$34,'Daily Writing Log'!$A$5:$A$34,$A133)</f>
        <v>0</v>
      </c>
      <c r="D133" s="122">
        <f>IF($C133&gt;=Config!$B$5,1,0)</f>
        <v>0</v>
      </c>
      <c r="E133" s="122">
        <f>IF(MONTH($A133)&lt;&gt;MONTH($A132),0,$G132)</f>
        <v>0</v>
      </c>
      <c r="F133" s="122">
        <f>IF(AND($D133=0,$H132&gt;0,$E133&lt;Config!$B$8,$A133&lt;Config!$A$2),1,0)</f>
        <v>0</v>
      </c>
      <c r="G133" s="122">
        <f>$E133+$F133</f>
        <v>0</v>
      </c>
      <c r="H133" s="122">
        <f>IF($D133=1,$H132+1,IF($F133=1,$H132,IF($A133=Config!$A$2,$H132,0)))</f>
        <v>0</v>
      </c>
      <c r="M133" s="123" t="n"/>
    </row>
    <row r="134">
      <c r="A134" s="120" t="str">
        <f>A133+1</f>
        <v>2025-02-23 00:00:00</v>
      </c>
      <c r="B134" s="121">
        <f>SUMIFS('Daily Writing Log'!$H$5:$H$34,'Daily Writing Log'!$A$5:$A$34,$A134)</f>
        <v>0</v>
      </c>
      <c r="C134" s="121">
        <f>SUMIFS('Daily Writing Log'!$I$5:$I$34,'Daily Writing Log'!$A$5:$A$34,$A134)</f>
        <v>0</v>
      </c>
      <c r="D134" s="122">
        <f>IF($C134&gt;=Config!$B$5,1,0)</f>
        <v>0</v>
      </c>
      <c r="E134" s="122">
        <f>IF(MONTH($A134)&lt;&gt;MONTH($A133),0,$G133)</f>
        <v>0</v>
      </c>
      <c r="F134" s="122">
        <f>IF(AND($D134=0,$H133&gt;0,$E134&lt;Config!$B$8,$A134&lt;Config!$A$2),1,0)</f>
        <v>0</v>
      </c>
      <c r="G134" s="122">
        <f>$E134+$F134</f>
        <v>0</v>
      </c>
      <c r="H134" s="122">
        <f>IF($D134=1,$H133+1,IF($F134=1,$H133,IF($A134=Config!$A$2,$H133,0)))</f>
        <v>0</v>
      </c>
      <c r="M134" s="123" t="n"/>
    </row>
    <row r="135">
      <c r="A135" s="120" t="str">
        <f>A134+1</f>
        <v>2025-02-24 00:00:00</v>
      </c>
      <c r="B135" s="121">
        <f>SUMIFS('Daily Writing Log'!$H$5:$H$34,'Daily Writing Log'!$A$5:$A$34,$A135)</f>
        <v>0</v>
      </c>
      <c r="C135" s="121">
        <f>SUMIFS('Daily Writing Log'!$I$5:$I$34,'Daily Writing Log'!$A$5:$A$34,$A135)</f>
        <v>0</v>
      </c>
      <c r="D135" s="122">
        <f>IF($C135&gt;=Config!$B$5,1,0)</f>
        <v>0</v>
      </c>
      <c r="E135" s="122">
        <f>IF(MONTH($A135)&lt;&gt;MONTH($A134),0,$G134)</f>
        <v>0</v>
      </c>
      <c r="F135" s="122">
        <f>IF(AND($D135=0,$H134&gt;0,$E135&lt;Config!$B$8,$A135&lt;Config!$A$2),1,0)</f>
        <v>0</v>
      </c>
      <c r="G135" s="122">
        <f>$E135+$F135</f>
        <v>0</v>
      </c>
      <c r="H135" s="122">
        <f>IF($D135=1,$H134+1,IF($F135=1,$H134,IF($A135=Config!$A$2,$H134,0)))</f>
        <v>0</v>
      </c>
      <c r="M135" s="123" t="n"/>
    </row>
    <row r="136">
      <c r="A136" s="120" t="str">
        <f>A135+1</f>
        <v>2025-02-25 00:00:00</v>
      </c>
      <c r="B136" s="121">
        <f>SUMIFS('Daily Writing Log'!$H$5:$H$34,'Daily Writing Log'!$A$5:$A$34,$A136)</f>
        <v>0</v>
      </c>
      <c r="C136" s="121">
        <f>SUMIFS('Daily Writing Log'!$I$5:$I$34,'Daily Writing Log'!$A$5:$A$34,$A136)</f>
        <v>0</v>
      </c>
      <c r="D136" s="122">
        <f>IF($C136&gt;=Config!$B$5,1,0)</f>
        <v>0</v>
      </c>
      <c r="E136" s="122">
        <f>IF(MONTH($A136)&lt;&gt;MONTH($A135),0,$G135)</f>
        <v>0</v>
      </c>
      <c r="F136" s="122">
        <f>IF(AND($D136=0,$H135&gt;0,$E136&lt;Config!$B$8,$A136&lt;Config!$A$2),1,0)</f>
        <v>0</v>
      </c>
      <c r="G136" s="122">
        <f>$E136+$F136</f>
        <v>0</v>
      </c>
      <c r="H136" s="122">
        <f>IF($D136=1,$H135+1,IF($F136=1,$H135,IF($A136=Config!$A$2,$H135,0)))</f>
        <v>0</v>
      </c>
      <c r="M136" s="123" t="n"/>
    </row>
    <row r="137">
      <c r="A137" s="120" t="str">
        <f>A136+1</f>
        <v>2025-02-26 00:00:00</v>
      </c>
      <c r="B137" s="121">
        <f>SUMIFS('Daily Writing Log'!$H$5:$H$34,'Daily Writing Log'!$A$5:$A$34,$A137)</f>
        <v>0</v>
      </c>
      <c r="C137" s="121">
        <f>SUMIFS('Daily Writing Log'!$I$5:$I$34,'Daily Writing Log'!$A$5:$A$34,$A137)</f>
        <v>0</v>
      </c>
      <c r="D137" s="122">
        <f>IF($C137&gt;=Config!$B$5,1,0)</f>
        <v>0</v>
      </c>
      <c r="E137" s="122">
        <f>IF(MONTH($A137)&lt;&gt;MONTH($A136),0,$G136)</f>
        <v>0</v>
      </c>
      <c r="F137" s="122">
        <f>IF(AND($D137=0,$H136&gt;0,$E137&lt;Config!$B$8,$A137&lt;Config!$A$2),1,0)</f>
        <v>0</v>
      </c>
      <c r="G137" s="122">
        <f>$E137+$F137</f>
        <v>0</v>
      </c>
      <c r="H137" s="122">
        <f>IF($D137=1,$H136+1,IF($F137=1,$H136,IF($A137=Config!$A$2,$H136,0)))</f>
        <v>0</v>
      </c>
      <c r="M137" s="123" t="n"/>
    </row>
    <row r="138">
      <c r="A138" s="120" t="str">
        <f>A137+1</f>
        <v>2025-02-27 00:00:00</v>
      </c>
      <c r="B138" s="121">
        <f>SUMIFS('Daily Writing Log'!$H$5:$H$34,'Daily Writing Log'!$A$5:$A$34,$A138)</f>
        <v>0</v>
      </c>
      <c r="C138" s="121">
        <f>SUMIFS('Daily Writing Log'!$I$5:$I$34,'Daily Writing Log'!$A$5:$A$34,$A138)</f>
        <v>0</v>
      </c>
      <c r="D138" s="122">
        <f>IF($C138&gt;=Config!$B$5,1,0)</f>
        <v>0</v>
      </c>
      <c r="E138" s="122">
        <f>IF(MONTH($A138)&lt;&gt;MONTH($A137),0,$G137)</f>
        <v>0</v>
      </c>
      <c r="F138" s="122">
        <f>IF(AND($D138=0,$H137&gt;0,$E138&lt;Config!$B$8,$A138&lt;Config!$A$2),1,0)</f>
        <v>0</v>
      </c>
      <c r="G138" s="122">
        <f>$E138+$F138</f>
        <v>0</v>
      </c>
      <c r="H138" s="122">
        <f>IF($D138=1,$H137+1,IF($F138=1,$H137,IF($A138=Config!$A$2,$H137,0)))</f>
        <v>0</v>
      </c>
      <c r="M138" s="123" t="n"/>
    </row>
    <row r="139">
      <c r="A139" s="120" t="str">
        <f>A138+1</f>
        <v>2025-02-28 00:00:00</v>
      </c>
      <c r="B139" s="121">
        <f>SUMIFS('Daily Writing Log'!$H$5:$H$34,'Daily Writing Log'!$A$5:$A$34,$A139)</f>
        <v>0</v>
      </c>
      <c r="C139" s="121">
        <f>SUMIFS('Daily Writing Log'!$I$5:$I$34,'Daily Writing Log'!$A$5:$A$34,$A139)</f>
        <v>0</v>
      </c>
      <c r="D139" s="122">
        <f>IF($C139&gt;=Config!$B$5,1,0)</f>
        <v>0</v>
      </c>
      <c r="E139" s="122">
        <f>IF(MONTH($A139)&lt;&gt;MONTH($A138),0,$G138)</f>
        <v>0</v>
      </c>
      <c r="F139" s="122">
        <f>IF(AND($D139=0,$H138&gt;0,$E139&lt;Config!$B$8,$A139&lt;Config!$A$2),1,0)</f>
        <v>0</v>
      </c>
      <c r="G139" s="122">
        <f>$E139+$F139</f>
        <v>0</v>
      </c>
      <c r="H139" s="122">
        <f>IF($D139=1,$H138+1,IF($F139=1,$H138,IF($A139=Config!$A$2,$H138,0)))</f>
        <v>0</v>
      </c>
      <c r="M139" s="123" t="n"/>
    </row>
    <row r="140">
      <c r="A140" s="120" t="str">
        <f>A139+1</f>
        <v>2025-03-01 00:00:00</v>
      </c>
      <c r="B140" s="121">
        <f>SUMIFS('Daily Writing Log'!$H$5:$H$34,'Daily Writing Log'!$A$5:$A$34,$A140)</f>
        <v>0</v>
      </c>
      <c r="C140" s="121">
        <f>SUMIFS('Daily Writing Log'!$I$5:$I$34,'Daily Writing Log'!$A$5:$A$34,$A140)</f>
        <v>0</v>
      </c>
      <c r="D140" s="122">
        <f>IF($C140&gt;=Config!$B$5,1,0)</f>
        <v>0</v>
      </c>
      <c r="E140" s="122">
        <f>IF(MONTH($A140)&lt;&gt;MONTH($A139),0,$G139)</f>
        <v>0</v>
      </c>
      <c r="F140" s="122">
        <f>IF(AND($D140=0,$H139&gt;0,$E140&lt;Config!$B$8,$A140&lt;Config!$A$2),1,0)</f>
        <v>0</v>
      </c>
      <c r="G140" s="122">
        <f>$E140+$F140</f>
        <v>0</v>
      </c>
      <c r="H140" s="122">
        <f>IF($D140=1,$H139+1,IF($F140=1,$H139,IF($A140=Config!$A$2,$H139,0)))</f>
        <v>0</v>
      </c>
      <c r="M140" s="123" t="n"/>
    </row>
    <row r="141">
      <c r="A141" s="120" t="str">
        <f>A140+1</f>
        <v>2025-03-02 00:00:00</v>
      </c>
      <c r="B141" s="121">
        <f>SUMIFS('Daily Writing Log'!$H$5:$H$34,'Daily Writing Log'!$A$5:$A$34,$A141)</f>
        <v>0</v>
      </c>
      <c r="C141" s="121">
        <f>SUMIFS('Daily Writing Log'!$I$5:$I$34,'Daily Writing Log'!$A$5:$A$34,$A141)</f>
        <v>0</v>
      </c>
      <c r="D141" s="122">
        <f>IF($C141&gt;=Config!$B$5,1,0)</f>
        <v>0</v>
      </c>
      <c r="E141" s="122">
        <f>IF(MONTH($A141)&lt;&gt;MONTH($A140),0,$G140)</f>
        <v>0</v>
      </c>
      <c r="F141" s="122">
        <f>IF(AND($D141=0,$H140&gt;0,$E141&lt;Config!$B$8,$A141&lt;Config!$A$2),1,0)</f>
        <v>0</v>
      </c>
      <c r="G141" s="122">
        <f>$E141+$F141</f>
        <v>0</v>
      </c>
      <c r="H141" s="122">
        <f>IF($D141=1,$H140+1,IF($F141=1,$H140,IF($A141=Config!$A$2,$H140,0)))</f>
        <v>0</v>
      </c>
      <c r="M141" s="123" t="n"/>
    </row>
    <row r="142">
      <c r="A142" s="120" t="str">
        <f>A141+1</f>
        <v>2025-03-03 00:00:00</v>
      </c>
      <c r="B142" s="121">
        <f>SUMIFS('Daily Writing Log'!$H$5:$H$34,'Daily Writing Log'!$A$5:$A$34,$A142)</f>
        <v>0</v>
      </c>
      <c r="C142" s="121">
        <f>SUMIFS('Daily Writing Log'!$I$5:$I$34,'Daily Writing Log'!$A$5:$A$34,$A142)</f>
        <v>0</v>
      </c>
      <c r="D142" s="122">
        <f>IF($C142&gt;=Config!$B$5,1,0)</f>
        <v>0</v>
      </c>
      <c r="E142" s="122">
        <f>IF(MONTH($A142)&lt;&gt;MONTH($A141),0,$G141)</f>
        <v>0</v>
      </c>
      <c r="F142" s="122">
        <f>IF(AND($D142=0,$H141&gt;0,$E142&lt;Config!$B$8,$A142&lt;Config!$A$2),1,0)</f>
        <v>0</v>
      </c>
      <c r="G142" s="122">
        <f>$E142+$F142</f>
        <v>0</v>
      </c>
      <c r="H142" s="122">
        <f>IF($D142=1,$H141+1,IF($F142=1,$H141,IF($A142=Config!$A$2,$H141,0)))</f>
        <v>0</v>
      </c>
      <c r="M142" s="123" t="n"/>
    </row>
    <row r="143">
      <c r="A143" s="120" t="str">
        <f>A142+1</f>
        <v>2025-03-04 00:00:00</v>
      </c>
      <c r="B143" s="121">
        <f>SUMIFS('Daily Writing Log'!$H$5:$H$34,'Daily Writing Log'!$A$5:$A$34,$A143)</f>
        <v>0</v>
      </c>
      <c r="C143" s="121">
        <f>SUMIFS('Daily Writing Log'!$I$5:$I$34,'Daily Writing Log'!$A$5:$A$34,$A143)</f>
        <v>0</v>
      </c>
      <c r="D143" s="122">
        <f>IF($C143&gt;=Config!$B$5,1,0)</f>
        <v>0</v>
      </c>
      <c r="E143" s="122">
        <f>IF(MONTH($A143)&lt;&gt;MONTH($A142),0,$G142)</f>
        <v>0</v>
      </c>
      <c r="F143" s="122">
        <f>IF(AND($D143=0,$H142&gt;0,$E143&lt;Config!$B$8,$A143&lt;Config!$A$2),1,0)</f>
        <v>0</v>
      </c>
      <c r="G143" s="122">
        <f>$E143+$F143</f>
        <v>0</v>
      </c>
      <c r="H143" s="122">
        <f>IF($D143=1,$H142+1,IF($F143=1,$H142,IF($A143=Config!$A$2,$H142,0)))</f>
        <v>0</v>
      </c>
      <c r="M143" s="123" t="n"/>
    </row>
    <row r="144">
      <c r="A144" s="120" t="str">
        <f>A143+1</f>
        <v>2025-03-05 00:00:00</v>
      </c>
      <c r="B144" s="121">
        <f>SUMIFS('Daily Writing Log'!$H$5:$H$34,'Daily Writing Log'!$A$5:$A$34,$A144)</f>
        <v>0</v>
      </c>
      <c r="C144" s="121">
        <f>SUMIFS('Daily Writing Log'!$I$5:$I$34,'Daily Writing Log'!$A$5:$A$34,$A144)</f>
        <v>0</v>
      </c>
      <c r="D144" s="122">
        <f>IF($C144&gt;=Config!$B$5,1,0)</f>
        <v>0</v>
      </c>
      <c r="E144" s="122">
        <f>IF(MONTH($A144)&lt;&gt;MONTH($A143),0,$G143)</f>
        <v>0</v>
      </c>
      <c r="F144" s="122">
        <f>IF(AND($D144=0,$H143&gt;0,$E144&lt;Config!$B$8,$A144&lt;Config!$A$2),1,0)</f>
        <v>0</v>
      </c>
      <c r="G144" s="122">
        <f>$E144+$F144</f>
        <v>0</v>
      </c>
      <c r="H144" s="122">
        <f>IF($D144=1,$H143+1,IF($F144=1,$H143,IF($A144=Config!$A$2,$H143,0)))</f>
        <v>0</v>
      </c>
      <c r="M144" s="123" t="n"/>
    </row>
    <row r="145">
      <c r="A145" s="120" t="str">
        <f>A144+1</f>
        <v>2025-03-06 00:00:00</v>
      </c>
      <c r="B145" s="121">
        <f>SUMIFS('Daily Writing Log'!$H$5:$H$34,'Daily Writing Log'!$A$5:$A$34,$A145)</f>
        <v>0</v>
      </c>
      <c r="C145" s="121">
        <f>SUMIFS('Daily Writing Log'!$I$5:$I$34,'Daily Writing Log'!$A$5:$A$34,$A145)</f>
        <v>0</v>
      </c>
      <c r="D145" s="122">
        <f>IF($C145&gt;=Config!$B$5,1,0)</f>
        <v>0</v>
      </c>
      <c r="E145" s="122">
        <f>IF(MONTH($A145)&lt;&gt;MONTH($A144),0,$G144)</f>
        <v>0</v>
      </c>
      <c r="F145" s="122">
        <f>IF(AND($D145=0,$H144&gt;0,$E145&lt;Config!$B$8,$A145&lt;Config!$A$2),1,0)</f>
        <v>0</v>
      </c>
      <c r="G145" s="122">
        <f>$E145+$F145</f>
        <v>0</v>
      </c>
      <c r="H145" s="122">
        <f>IF($D145=1,$H144+1,IF($F145=1,$H144,IF($A145=Config!$A$2,$H144,0)))</f>
        <v>0</v>
      </c>
      <c r="M145" s="123" t="n"/>
    </row>
    <row r="146">
      <c r="A146" s="120" t="str">
        <f>A145+1</f>
        <v>2025-03-07 00:00:00</v>
      </c>
      <c r="B146" s="121">
        <f>SUMIFS('Daily Writing Log'!$H$5:$H$34,'Daily Writing Log'!$A$5:$A$34,$A146)</f>
        <v>0</v>
      </c>
      <c r="C146" s="121">
        <f>SUMIFS('Daily Writing Log'!$I$5:$I$34,'Daily Writing Log'!$A$5:$A$34,$A146)</f>
        <v>0</v>
      </c>
      <c r="D146" s="122">
        <f>IF($C146&gt;=Config!$B$5,1,0)</f>
        <v>0</v>
      </c>
      <c r="E146" s="122">
        <f>IF(MONTH($A146)&lt;&gt;MONTH($A145),0,$G145)</f>
        <v>0</v>
      </c>
      <c r="F146" s="122">
        <f>IF(AND($D146=0,$H145&gt;0,$E146&lt;Config!$B$8,$A146&lt;Config!$A$2),1,0)</f>
        <v>0</v>
      </c>
      <c r="G146" s="122">
        <f>$E146+$F146</f>
        <v>0</v>
      </c>
      <c r="H146" s="122">
        <f>IF($D146=1,$H145+1,IF($F146=1,$H145,IF($A146=Config!$A$2,$H145,0)))</f>
        <v>0</v>
      </c>
      <c r="M146" s="123" t="n"/>
    </row>
    <row r="147">
      <c r="A147" s="120" t="str">
        <f>A146+1</f>
        <v>2025-03-08 00:00:00</v>
      </c>
      <c r="B147" s="121">
        <f>SUMIFS('Daily Writing Log'!$H$5:$H$34,'Daily Writing Log'!$A$5:$A$34,$A147)</f>
        <v>0</v>
      </c>
      <c r="C147" s="121">
        <f>SUMIFS('Daily Writing Log'!$I$5:$I$34,'Daily Writing Log'!$A$5:$A$34,$A147)</f>
        <v>0</v>
      </c>
      <c r="D147" s="122">
        <f>IF($C147&gt;=Config!$B$5,1,0)</f>
        <v>0</v>
      </c>
      <c r="E147" s="122">
        <f>IF(MONTH($A147)&lt;&gt;MONTH($A146),0,$G146)</f>
        <v>0</v>
      </c>
      <c r="F147" s="122">
        <f>IF(AND($D147=0,$H146&gt;0,$E147&lt;Config!$B$8,$A147&lt;Config!$A$2),1,0)</f>
        <v>0</v>
      </c>
      <c r="G147" s="122">
        <f>$E147+$F147</f>
        <v>0</v>
      </c>
      <c r="H147" s="122">
        <f>IF($D147=1,$H146+1,IF($F147=1,$H146,IF($A147=Config!$A$2,$H146,0)))</f>
        <v>0</v>
      </c>
      <c r="M147" s="123" t="n"/>
    </row>
    <row r="148">
      <c r="A148" s="120" t="str">
        <f>A147+1</f>
        <v>2025-03-09 00:00:00</v>
      </c>
      <c r="B148" s="121">
        <f>SUMIFS('Daily Writing Log'!$H$5:$H$34,'Daily Writing Log'!$A$5:$A$34,$A148)</f>
        <v>0</v>
      </c>
      <c r="C148" s="121">
        <f>SUMIFS('Daily Writing Log'!$I$5:$I$34,'Daily Writing Log'!$A$5:$A$34,$A148)</f>
        <v>0</v>
      </c>
      <c r="D148" s="122">
        <f>IF($C148&gt;=Config!$B$5,1,0)</f>
        <v>0</v>
      </c>
      <c r="E148" s="122">
        <f>IF(MONTH($A148)&lt;&gt;MONTH($A147),0,$G147)</f>
        <v>0</v>
      </c>
      <c r="F148" s="122">
        <f>IF(AND($D148=0,$H147&gt;0,$E148&lt;Config!$B$8,$A148&lt;Config!$A$2),1,0)</f>
        <v>0</v>
      </c>
      <c r="G148" s="122">
        <f>$E148+$F148</f>
        <v>0</v>
      </c>
      <c r="H148" s="122">
        <f>IF($D148=1,$H147+1,IF($F148=1,$H147,IF($A148=Config!$A$2,$H147,0)))</f>
        <v>0</v>
      </c>
      <c r="M148" s="123" t="n"/>
    </row>
    <row r="149">
      <c r="A149" s="120" t="str">
        <f>A148+1</f>
        <v>2025-03-10 00:00:00</v>
      </c>
      <c r="B149" s="121">
        <f>SUMIFS('Daily Writing Log'!$H$5:$H$34,'Daily Writing Log'!$A$5:$A$34,$A149)</f>
        <v>0</v>
      </c>
      <c r="C149" s="121">
        <f>SUMIFS('Daily Writing Log'!$I$5:$I$34,'Daily Writing Log'!$A$5:$A$34,$A149)</f>
        <v>0</v>
      </c>
      <c r="D149" s="122">
        <f>IF($C149&gt;=Config!$B$5,1,0)</f>
        <v>0</v>
      </c>
      <c r="E149" s="122">
        <f>IF(MONTH($A149)&lt;&gt;MONTH($A148),0,$G148)</f>
        <v>0</v>
      </c>
      <c r="F149" s="122">
        <f>IF(AND($D149=0,$H148&gt;0,$E149&lt;Config!$B$8,$A149&lt;Config!$A$2),1,0)</f>
        <v>0</v>
      </c>
      <c r="G149" s="122">
        <f>$E149+$F149</f>
        <v>0</v>
      </c>
      <c r="H149" s="122">
        <f>IF($D149=1,$H148+1,IF($F149=1,$H148,IF($A149=Config!$A$2,$H148,0)))</f>
        <v>0</v>
      </c>
      <c r="M149" s="123" t="n"/>
    </row>
    <row r="150">
      <c r="A150" s="120" t="str">
        <f>A149+1</f>
        <v>2025-03-11 00:00:00</v>
      </c>
      <c r="B150" s="121">
        <f>SUMIFS('Daily Writing Log'!$H$5:$H$34,'Daily Writing Log'!$A$5:$A$34,$A150)</f>
        <v>0</v>
      </c>
      <c r="C150" s="121">
        <f>SUMIFS('Daily Writing Log'!$I$5:$I$34,'Daily Writing Log'!$A$5:$A$34,$A150)</f>
        <v>0</v>
      </c>
      <c r="D150" s="122">
        <f>IF($C150&gt;=Config!$B$5,1,0)</f>
        <v>0</v>
      </c>
      <c r="E150" s="122">
        <f>IF(MONTH($A150)&lt;&gt;MONTH($A149),0,$G149)</f>
        <v>0</v>
      </c>
      <c r="F150" s="122">
        <f>IF(AND($D150=0,$H149&gt;0,$E150&lt;Config!$B$8,$A150&lt;Config!$A$2),1,0)</f>
        <v>0</v>
      </c>
      <c r="G150" s="122">
        <f>$E150+$F150</f>
        <v>0</v>
      </c>
      <c r="H150" s="122">
        <f>IF($D150=1,$H149+1,IF($F150=1,$H149,IF($A150=Config!$A$2,$H149,0)))</f>
        <v>0</v>
      </c>
      <c r="M150" s="123" t="n"/>
    </row>
    <row r="151">
      <c r="A151" s="120" t="str">
        <f>A150+1</f>
        <v>2025-03-12 00:00:00</v>
      </c>
      <c r="B151" s="121">
        <f>SUMIFS('Daily Writing Log'!$H$5:$H$34,'Daily Writing Log'!$A$5:$A$34,$A151)</f>
        <v>0</v>
      </c>
      <c r="C151" s="121">
        <f>SUMIFS('Daily Writing Log'!$I$5:$I$34,'Daily Writing Log'!$A$5:$A$34,$A151)</f>
        <v>0</v>
      </c>
      <c r="D151" s="122">
        <f>IF($C151&gt;=Config!$B$5,1,0)</f>
        <v>0</v>
      </c>
      <c r="E151" s="122">
        <f>IF(MONTH($A151)&lt;&gt;MONTH($A150),0,$G150)</f>
        <v>0</v>
      </c>
      <c r="F151" s="122">
        <f>IF(AND($D151=0,$H150&gt;0,$E151&lt;Config!$B$8,$A151&lt;Config!$A$2),1,0)</f>
        <v>0</v>
      </c>
      <c r="G151" s="122">
        <f>$E151+$F151</f>
        <v>0</v>
      </c>
      <c r="H151" s="122">
        <f>IF($D151=1,$H150+1,IF($F151=1,$H150,IF($A151=Config!$A$2,$H150,0)))</f>
        <v>0</v>
      </c>
      <c r="M151" s="123" t="n"/>
    </row>
    <row r="152">
      <c r="A152" s="120" t="str">
        <f>A151+1</f>
        <v>2025-03-13 00:00:00</v>
      </c>
      <c r="B152" s="121">
        <f>SUMIFS('Daily Writing Log'!$H$5:$H$34,'Daily Writing Log'!$A$5:$A$34,$A152)</f>
        <v>0</v>
      </c>
      <c r="C152" s="121">
        <f>SUMIFS('Daily Writing Log'!$I$5:$I$34,'Daily Writing Log'!$A$5:$A$34,$A152)</f>
        <v>0</v>
      </c>
      <c r="D152" s="122">
        <f>IF($C152&gt;=Config!$B$5,1,0)</f>
        <v>0</v>
      </c>
      <c r="E152" s="122">
        <f>IF(MONTH($A152)&lt;&gt;MONTH($A151),0,$G151)</f>
        <v>0</v>
      </c>
      <c r="F152" s="122">
        <f>IF(AND($D152=0,$H151&gt;0,$E152&lt;Config!$B$8,$A152&lt;Config!$A$2),1,0)</f>
        <v>0</v>
      </c>
      <c r="G152" s="122">
        <f>$E152+$F152</f>
        <v>0</v>
      </c>
      <c r="H152" s="122">
        <f>IF($D152=1,$H151+1,IF($F152=1,$H151,IF($A152=Config!$A$2,$H151,0)))</f>
        <v>0</v>
      </c>
      <c r="M152" s="123" t="n"/>
    </row>
    <row r="153">
      <c r="A153" s="120" t="str">
        <f>A152+1</f>
        <v>2025-03-14 00:00:00</v>
      </c>
      <c r="B153" s="121">
        <f>SUMIFS('Daily Writing Log'!$H$5:$H$34,'Daily Writing Log'!$A$5:$A$34,$A153)</f>
        <v>0</v>
      </c>
      <c r="C153" s="121">
        <f>SUMIFS('Daily Writing Log'!$I$5:$I$34,'Daily Writing Log'!$A$5:$A$34,$A153)</f>
        <v>0</v>
      </c>
      <c r="D153" s="122">
        <f>IF($C153&gt;=Config!$B$5,1,0)</f>
        <v>0</v>
      </c>
      <c r="E153" s="122">
        <f>IF(MONTH($A153)&lt;&gt;MONTH($A152),0,$G152)</f>
        <v>0</v>
      </c>
      <c r="F153" s="122">
        <f>IF(AND($D153=0,$H152&gt;0,$E153&lt;Config!$B$8,$A153&lt;Config!$A$2),1,0)</f>
        <v>0</v>
      </c>
      <c r="G153" s="122">
        <f>$E153+$F153</f>
        <v>0</v>
      </c>
      <c r="H153" s="122">
        <f>IF($D153=1,$H152+1,IF($F153=1,$H152,IF($A153=Config!$A$2,$H152,0)))</f>
        <v>0</v>
      </c>
      <c r="M153" s="123" t="n"/>
    </row>
    <row r="154">
      <c r="A154" s="120" t="str">
        <f>A153+1</f>
        <v>2025-03-15 00:00:00</v>
      </c>
      <c r="B154" s="121">
        <f>SUMIFS('Daily Writing Log'!$H$5:$H$34,'Daily Writing Log'!$A$5:$A$34,$A154)</f>
        <v>0</v>
      </c>
      <c r="C154" s="121">
        <f>SUMIFS('Daily Writing Log'!$I$5:$I$34,'Daily Writing Log'!$A$5:$A$34,$A154)</f>
        <v>0</v>
      </c>
      <c r="D154" s="122">
        <f>IF($C154&gt;=Config!$B$5,1,0)</f>
        <v>0</v>
      </c>
      <c r="E154" s="122">
        <f>IF(MONTH($A154)&lt;&gt;MONTH($A153),0,$G153)</f>
        <v>0</v>
      </c>
      <c r="F154" s="122">
        <f>IF(AND($D154=0,$H153&gt;0,$E154&lt;Config!$B$8,$A154&lt;Config!$A$2),1,0)</f>
        <v>0</v>
      </c>
      <c r="G154" s="122">
        <f>$E154+$F154</f>
        <v>0</v>
      </c>
      <c r="H154" s="122">
        <f>IF($D154=1,$H153+1,IF($F154=1,$H153,IF($A154=Config!$A$2,$H153,0)))</f>
        <v>0</v>
      </c>
      <c r="M154" s="123" t="n"/>
    </row>
    <row r="155">
      <c r="A155" s="120" t="str">
        <f>A154+1</f>
        <v>2025-03-16 00:00:00</v>
      </c>
      <c r="B155" s="121">
        <f>SUMIFS('Daily Writing Log'!$H$5:$H$34,'Daily Writing Log'!$A$5:$A$34,$A155)</f>
        <v>0</v>
      </c>
      <c r="C155" s="121">
        <f>SUMIFS('Daily Writing Log'!$I$5:$I$34,'Daily Writing Log'!$A$5:$A$34,$A155)</f>
        <v>0</v>
      </c>
      <c r="D155" s="122">
        <f>IF($C155&gt;=Config!$B$5,1,0)</f>
        <v>0</v>
      </c>
      <c r="E155" s="122">
        <f>IF(MONTH($A155)&lt;&gt;MONTH($A154),0,$G154)</f>
        <v>0</v>
      </c>
      <c r="F155" s="122">
        <f>IF(AND($D155=0,$H154&gt;0,$E155&lt;Config!$B$8,$A155&lt;Config!$A$2),1,0)</f>
        <v>0</v>
      </c>
      <c r="G155" s="122">
        <f>$E155+$F155</f>
        <v>0</v>
      </c>
      <c r="H155" s="122">
        <f>IF($D155=1,$H154+1,IF($F155=1,$H154,IF($A155=Config!$A$2,$H154,0)))</f>
        <v>0</v>
      </c>
      <c r="M155" s="123" t="n"/>
    </row>
    <row r="156">
      <c r="A156" s="120" t="str">
        <f>A155+1</f>
        <v>2025-03-17 00:00:00</v>
      </c>
      <c r="B156" s="121">
        <f>SUMIFS('Daily Writing Log'!$H$5:$H$34,'Daily Writing Log'!$A$5:$A$34,$A156)</f>
        <v>0</v>
      </c>
      <c r="C156" s="121">
        <f>SUMIFS('Daily Writing Log'!$I$5:$I$34,'Daily Writing Log'!$A$5:$A$34,$A156)</f>
        <v>0</v>
      </c>
      <c r="D156" s="122">
        <f>IF($C156&gt;=Config!$B$5,1,0)</f>
        <v>0</v>
      </c>
      <c r="E156" s="122">
        <f>IF(MONTH($A156)&lt;&gt;MONTH($A155),0,$G155)</f>
        <v>0</v>
      </c>
      <c r="F156" s="122">
        <f>IF(AND($D156=0,$H155&gt;0,$E156&lt;Config!$B$8,$A156&lt;Config!$A$2),1,0)</f>
        <v>0</v>
      </c>
      <c r="G156" s="122">
        <f>$E156+$F156</f>
        <v>0</v>
      </c>
      <c r="H156" s="122">
        <f>IF($D156=1,$H155+1,IF($F156=1,$H155,IF($A156=Config!$A$2,$H155,0)))</f>
        <v>0</v>
      </c>
      <c r="M156" s="123" t="n"/>
    </row>
    <row r="157">
      <c r="A157" s="120" t="str">
        <f>A156+1</f>
        <v>2025-03-18 00:00:00</v>
      </c>
      <c r="B157" s="121">
        <f>SUMIFS('Daily Writing Log'!$H$5:$H$34,'Daily Writing Log'!$A$5:$A$34,$A157)</f>
        <v>0</v>
      </c>
      <c r="C157" s="121">
        <f>SUMIFS('Daily Writing Log'!$I$5:$I$34,'Daily Writing Log'!$A$5:$A$34,$A157)</f>
        <v>0</v>
      </c>
      <c r="D157" s="122">
        <f>IF($C157&gt;=Config!$B$5,1,0)</f>
        <v>0</v>
      </c>
      <c r="E157" s="122">
        <f>IF(MONTH($A157)&lt;&gt;MONTH($A156),0,$G156)</f>
        <v>0</v>
      </c>
      <c r="F157" s="122">
        <f>IF(AND($D157=0,$H156&gt;0,$E157&lt;Config!$B$8,$A157&lt;Config!$A$2),1,0)</f>
        <v>0</v>
      </c>
      <c r="G157" s="122">
        <f>$E157+$F157</f>
        <v>0</v>
      </c>
      <c r="H157" s="122">
        <f>IF($D157=1,$H156+1,IF($F157=1,$H156,IF($A157=Config!$A$2,$H156,0)))</f>
        <v>0</v>
      </c>
      <c r="M157" s="123" t="n"/>
    </row>
    <row r="158">
      <c r="A158" s="120" t="str">
        <f>A157+1</f>
        <v>2025-03-19 00:00:00</v>
      </c>
      <c r="B158" s="121">
        <f>SUMIFS('Daily Writing Log'!$H$5:$H$34,'Daily Writing Log'!$A$5:$A$34,$A158)</f>
        <v>0</v>
      </c>
      <c r="C158" s="121">
        <f>SUMIFS('Daily Writing Log'!$I$5:$I$34,'Daily Writing Log'!$A$5:$A$34,$A158)</f>
        <v>0</v>
      </c>
      <c r="D158" s="122">
        <f>IF($C158&gt;=Config!$B$5,1,0)</f>
        <v>0</v>
      </c>
      <c r="E158" s="122">
        <f>IF(MONTH($A158)&lt;&gt;MONTH($A157),0,$G157)</f>
        <v>0</v>
      </c>
      <c r="F158" s="122">
        <f>IF(AND($D158=0,$H157&gt;0,$E158&lt;Config!$B$8,$A158&lt;Config!$A$2),1,0)</f>
        <v>0</v>
      </c>
      <c r="G158" s="122">
        <f>$E158+$F158</f>
        <v>0</v>
      </c>
      <c r="H158" s="122">
        <f>IF($D158=1,$H157+1,IF($F158=1,$H157,IF($A158=Config!$A$2,$H157,0)))</f>
        <v>0</v>
      </c>
      <c r="M158" s="123" t="n"/>
    </row>
    <row r="159">
      <c r="A159" s="120" t="str">
        <f>A158+1</f>
        <v>2025-03-20 00:00:00</v>
      </c>
      <c r="B159" s="121">
        <f>SUMIFS('Daily Writing Log'!$H$5:$H$34,'Daily Writing Log'!$A$5:$A$34,$A159)</f>
        <v>0</v>
      </c>
      <c r="C159" s="121">
        <f>SUMIFS('Daily Writing Log'!$I$5:$I$34,'Daily Writing Log'!$A$5:$A$34,$A159)</f>
        <v>0</v>
      </c>
      <c r="D159" s="122">
        <f>IF($C159&gt;=Config!$B$5,1,0)</f>
        <v>0</v>
      </c>
      <c r="E159" s="122">
        <f>IF(MONTH($A159)&lt;&gt;MONTH($A158),0,$G158)</f>
        <v>0</v>
      </c>
      <c r="F159" s="122">
        <f>IF(AND($D159=0,$H158&gt;0,$E159&lt;Config!$B$8,$A159&lt;Config!$A$2),1,0)</f>
        <v>0</v>
      </c>
      <c r="G159" s="122">
        <f>$E159+$F159</f>
        <v>0</v>
      </c>
      <c r="H159" s="122">
        <f>IF($D159=1,$H158+1,IF($F159=1,$H158,IF($A159=Config!$A$2,$H158,0)))</f>
        <v>0</v>
      </c>
      <c r="M159" s="123" t="n"/>
    </row>
    <row r="160">
      <c r="A160" s="120" t="str">
        <f>A159+1</f>
        <v>2025-03-21 00:00:00</v>
      </c>
      <c r="B160" s="121">
        <f>SUMIFS('Daily Writing Log'!$H$5:$H$34,'Daily Writing Log'!$A$5:$A$34,$A160)</f>
        <v>0</v>
      </c>
      <c r="C160" s="121">
        <f>SUMIFS('Daily Writing Log'!$I$5:$I$34,'Daily Writing Log'!$A$5:$A$34,$A160)</f>
        <v>0</v>
      </c>
      <c r="D160" s="122">
        <f>IF($C160&gt;=Config!$B$5,1,0)</f>
        <v>0</v>
      </c>
      <c r="E160" s="122">
        <f>IF(MONTH($A160)&lt;&gt;MONTH($A159),0,$G159)</f>
        <v>0</v>
      </c>
      <c r="F160" s="122">
        <f>IF(AND($D160=0,$H159&gt;0,$E160&lt;Config!$B$8,$A160&lt;Config!$A$2),1,0)</f>
        <v>0</v>
      </c>
      <c r="G160" s="122">
        <f>$E160+$F160</f>
        <v>0</v>
      </c>
      <c r="H160" s="122">
        <f>IF($D160=1,$H159+1,IF($F160=1,$H159,IF($A160=Config!$A$2,$H159,0)))</f>
        <v>0</v>
      </c>
      <c r="M160" s="123" t="n"/>
    </row>
    <row r="161">
      <c r="A161" s="120" t="str">
        <f>A160+1</f>
        <v>2025-03-22 00:00:00</v>
      </c>
      <c r="B161" s="121">
        <f>SUMIFS('Daily Writing Log'!$H$5:$H$34,'Daily Writing Log'!$A$5:$A$34,$A161)</f>
        <v>0</v>
      </c>
      <c r="C161" s="121">
        <f>SUMIFS('Daily Writing Log'!$I$5:$I$34,'Daily Writing Log'!$A$5:$A$34,$A161)</f>
        <v>0</v>
      </c>
      <c r="D161" s="122">
        <f>IF($C161&gt;=Config!$B$5,1,0)</f>
        <v>0</v>
      </c>
      <c r="E161" s="122">
        <f>IF(MONTH($A161)&lt;&gt;MONTH($A160),0,$G160)</f>
        <v>0</v>
      </c>
      <c r="F161" s="122">
        <f>IF(AND($D161=0,$H160&gt;0,$E161&lt;Config!$B$8,$A161&lt;Config!$A$2),1,0)</f>
        <v>0</v>
      </c>
      <c r="G161" s="122">
        <f>$E161+$F161</f>
        <v>0</v>
      </c>
      <c r="H161" s="122">
        <f>IF($D161=1,$H160+1,IF($F161=1,$H160,IF($A161=Config!$A$2,$H160,0)))</f>
        <v>0</v>
      </c>
      <c r="M161" s="123" t="n"/>
    </row>
    <row r="162">
      <c r="A162" s="120" t="str">
        <f>A161+1</f>
        <v>2025-03-23 00:00:00</v>
      </c>
      <c r="B162" s="121">
        <f>SUMIFS('Daily Writing Log'!$H$5:$H$34,'Daily Writing Log'!$A$5:$A$34,$A162)</f>
        <v>0</v>
      </c>
      <c r="C162" s="121">
        <f>SUMIFS('Daily Writing Log'!$I$5:$I$34,'Daily Writing Log'!$A$5:$A$34,$A162)</f>
        <v>0</v>
      </c>
      <c r="D162" s="122">
        <f>IF($C162&gt;=Config!$B$5,1,0)</f>
        <v>0</v>
      </c>
      <c r="E162" s="122">
        <f>IF(MONTH($A162)&lt;&gt;MONTH($A161),0,$G161)</f>
        <v>0</v>
      </c>
      <c r="F162" s="122">
        <f>IF(AND($D162=0,$H161&gt;0,$E162&lt;Config!$B$8,$A162&lt;Config!$A$2),1,0)</f>
        <v>0</v>
      </c>
      <c r="G162" s="122">
        <f>$E162+$F162</f>
        <v>0</v>
      </c>
      <c r="H162" s="122">
        <f>IF($D162=1,$H161+1,IF($F162=1,$H161,IF($A162=Config!$A$2,$H161,0)))</f>
        <v>0</v>
      </c>
      <c r="M162" s="123" t="n"/>
    </row>
    <row r="163">
      <c r="A163" s="120" t="str">
        <f>A162+1</f>
        <v>2025-03-24 00:00:00</v>
      </c>
      <c r="B163" s="121">
        <f>SUMIFS('Daily Writing Log'!$H$5:$H$34,'Daily Writing Log'!$A$5:$A$34,$A163)</f>
        <v>0</v>
      </c>
      <c r="C163" s="121">
        <f>SUMIFS('Daily Writing Log'!$I$5:$I$34,'Daily Writing Log'!$A$5:$A$34,$A163)</f>
        <v>0</v>
      </c>
      <c r="D163" s="122">
        <f>IF($C163&gt;=Config!$B$5,1,0)</f>
        <v>0</v>
      </c>
      <c r="E163" s="122">
        <f>IF(MONTH($A163)&lt;&gt;MONTH($A162),0,$G162)</f>
        <v>0</v>
      </c>
      <c r="F163" s="122">
        <f>IF(AND($D163=0,$H162&gt;0,$E163&lt;Config!$B$8,$A163&lt;Config!$A$2),1,0)</f>
        <v>0</v>
      </c>
      <c r="G163" s="122">
        <f>$E163+$F163</f>
        <v>0</v>
      </c>
      <c r="H163" s="122">
        <f>IF($D163=1,$H162+1,IF($F163=1,$H162,IF($A163=Config!$A$2,$H162,0)))</f>
        <v>0</v>
      </c>
      <c r="M163" s="123" t="n"/>
    </row>
    <row r="164">
      <c r="A164" s="120" t="str">
        <f>A163+1</f>
        <v>2025-03-25 00:00:00</v>
      </c>
      <c r="B164" s="121">
        <f>SUMIFS('Daily Writing Log'!$H$5:$H$34,'Daily Writing Log'!$A$5:$A$34,$A164)</f>
        <v>0</v>
      </c>
      <c r="C164" s="121">
        <f>SUMIFS('Daily Writing Log'!$I$5:$I$34,'Daily Writing Log'!$A$5:$A$34,$A164)</f>
        <v>0</v>
      </c>
      <c r="D164" s="122">
        <f>IF($C164&gt;=Config!$B$5,1,0)</f>
        <v>0</v>
      </c>
      <c r="E164" s="122">
        <f>IF(MONTH($A164)&lt;&gt;MONTH($A163),0,$G163)</f>
        <v>0</v>
      </c>
      <c r="F164" s="122">
        <f>IF(AND($D164=0,$H163&gt;0,$E164&lt;Config!$B$8,$A164&lt;Config!$A$2),1,0)</f>
        <v>0</v>
      </c>
      <c r="G164" s="122">
        <f>$E164+$F164</f>
        <v>0</v>
      </c>
      <c r="H164" s="122">
        <f>IF($D164=1,$H163+1,IF($F164=1,$H163,IF($A164=Config!$A$2,$H163,0)))</f>
        <v>0</v>
      </c>
      <c r="M164" s="123" t="n"/>
    </row>
    <row r="165">
      <c r="A165" s="120" t="str">
        <f>A164+1</f>
        <v>2025-03-26 00:00:00</v>
      </c>
      <c r="B165" s="121">
        <f>SUMIFS('Daily Writing Log'!$H$5:$H$34,'Daily Writing Log'!$A$5:$A$34,$A165)</f>
        <v>0</v>
      </c>
      <c r="C165" s="121">
        <f>SUMIFS('Daily Writing Log'!$I$5:$I$34,'Daily Writing Log'!$A$5:$A$34,$A165)</f>
        <v>0</v>
      </c>
      <c r="D165" s="122">
        <f>IF($C165&gt;=Config!$B$5,1,0)</f>
        <v>0</v>
      </c>
      <c r="E165" s="122">
        <f>IF(MONTH($A165)&lt;&gt;MONTH($A164),0,$G164)</f>
        <v>0</v>
      </c>
      <c r="F165" s="122">
        <f>IF(AND($D165=0,$H164&gt;0,$E165&lt;Config!$B$8,$A165&lt;Config!$A$2),1,0)</f>
        <v>0</v>
      </c>
      <c r="G165" s="122">
        <f>$E165+$F165</f>
        <v>0</v>
      </c>
      <c r="H165" s="122">
        <f>IF($D165=1,$H164+1,IF($F165=1,$H164,IF($A165=Config!$A$2,$H164,0)))</f>
        <v>0</v>
      </c>
      <c r="M165" s="123" t="n"/>
    </row>
    <row r="166">
      <c r="A166" s="120" t="str">
        <f>A165+1</f>
        <v>2025-03-27 00:00:00</v>
      </c>
      <c r="B166" s="121">
        <f>SUMIFS('Daily Writing Log'!$H$5:$H$34,'Daily Writing Log'!$A$5:$A$34,$A166)</f>
        <v>0</v>
      </c>
      <c r="C166" s="121">
        <f>SUMIFS('Daily Writing Log'!$I$5:$I$34,'Daily Writing Log'!$A$5:$A$34,$A166)</f>
        <v>0</v>
      </c>
      <c r="D166" s="122">
        <f>IF($C166&gt;=Config!$B$5,1,0)</f>
        <v>0</v>
      </c>
      <c r="E166" s="122">
        <f>IF(MONTH($A166)&lt;&gt;MONTH($A165),0,$G165)</f>
        <v>0</v>
      </c>
      <c r="F166" s="122">
        <f>IF(AND($D166=0,$H165&gt;0,$E166&lt;Config!$B$8,$A166&lt;Config!$A$2),1,0)</f>
        <v>0</v>
      </c>
      <c r="G166" s="122">
        <f>$E166+$F166</f>
        <v>0</v>
      </c>
      <c r="H166" s="122">
        <f>IF($D166=1,$H165+1,IF($F166=1,$H165,IF($A166=Config!$A$2,$H165,0)))</f>
        <v>0</v>
      </c>
      <c r="M166" s="123" t="n"/>
    </row>
    <row r="167">
      <c r="A167" s="120" t="str">
        <f>A166+1</f>
        <v>2025-03-28 00:00:00</v>
      </c>
      <c r="B167" s="121">
        <f>SUMIFS('Daily Writing Log'!$H$5:$H$34,'Daily Writing Log'!$A$5:$A$34,$A167)</f>
        <v>0</v>
      </c>
      <c r="C167" s="121">
        <f>SUMIFS('Daily Writing Log'!$I$5:$I$34,'Daily Writing Log'!$A$5:$A$34,$A167)</f>
        <v>0</v>
      </c>
      <c r="D167" s="122">
        <f>IF($C167&gt;=Config!$B$5,1,0)</f>
        <v>0</v>
      </c>
      <c r="E167" s="122">
        <f>IF(MONTH($A167)&lt;&gt;MONTH($A166),0,$G166)</f>
        <v>0</v>
      </c>
      <c r="F167" s="122">
        <f>IF(AND($D167=0,$H166&gt;0,$E167&lt;Config!$B$8,$A167&lt;Config!$A$2),1,0)</f>
        <v>0</v>
      </c>
      <c r="G167" s="122">
        <f>$E167+$F167</f>
        <v>0</v>
      </c>
      <c r="H167" s="122">
        <f>IF($D167=1,$H166+1,IF($F167=1,$H166,IF($A167=Config!$A$2,$H166,0)))</f>
        <v>0</v>
      </c>
      <c r="M167" s="123" t="n"/>
    </row>
    <row r="168">
      <c r="A168" s="120" t="str">
        <f>A167+1</f>
        <v>2025-03-29 00:00:00</v>
      </c>
      <c r="B168" s="121">
        <f>SUMIFS('Daily Writing Log'!$H$5:$H$34,'Daily Writing Log'!$A$5:$A$34,$A168)</f>
        <v>0</v>
      </c>
      <c r="C168" s="121">
        <f>SUMIFS('Daily Writing Log'!$I$5:$I$34,'Daily Writing Log'!$A$5:$A$34,$A168)</f>
        <v>0</v>
      </c>
      <c r="D168" s="122">
        <f>IF($C168&gt;=Config!$B$5,1,0)</f>
        <v>0</v>
      </c>
      <c r="E168" s="122">
        <f>IF(MONTH($A168)&lt;&gt;MONTH($A167),0,$G167)</f>
        <v>0</v>
      </c>
      <c r="F168" s="122">
        <f>IF(AND($D168=0,$H167&gt;0,$E168&lt;Config!$B$8,$A168&lt;Config!$A$2),1,0)</f>
        <v>0</v>
      </c>
      <c r="G168" s="122">
        <f>$E168+$F168</f>
        <v>0</v>
      </c>
      <c r="H168" s="122">
        <f>IF($D168=1,$H167+1,IF($F168=1,$H167,IF($A168=Config!$A$2,$H167,0)))</f>
        <v>0</v>
      </c>
      <c r="M168" s="123" t="n"/>
    </row>
    <row r="169">
      <c r="A169" s="120" t="str">
        <f>A168+1</f>
        <v>2025-03-30 00:00:00</v>
      </c>
      <c r="B169" s="121">
        <f>SUMIFS('Daily Writing Log'!$H$5:$H$34,'Daily Writing Log'!$A$5:$A$34,$A169)</f>
        <v>0</v>
      </c>
      <c r="C169" s="121">
        <f>SUMIFS('Daily Writing Log'!$I$5:$I$34,'Daily Writing Log'!$A$5:$A$34,$A169)</f>
        <v>0</v>
      </c>
      <c r="D169" s="122">
        <f>IF($C169&gt;=Config!$B$5,1,0)</f>
        <v>0</v>
      </c>
      <c r="E169" s="122">
        <f>IF(MONTH($A169)&lt;&gt;MONTH($A168),0,$G168)</f>
        <v>0</v>
      </c>
      <c r="F169" s="122">
        <f>IF(AND($D169=0,$H168&gt;0,$E169&lt;Config!$B$8,$A169&lt;Config!$A$2),1,0)</f>
        <v>0</v>
      </c>
      <c r="G169" s="122">
        <f>$E169+$F169</f>
        <v>0</v>
      </c>
      <c r="H169" s="122">
        <f>IF($D169=1,$H168+1,IF($F169=1,$H168,IF($A169=Config!$A$2,$H168,0)))</f>
        <v>0</v>
      </c>
      <c r="M169" s="123" t="n"/>
    </row>
    <row r="170">
      <c r="A170" s="120" t="str">
        <f>A169+1</f>
        <v>2025-03-31 00:00:00</v>
      </c>
      <c r="B170" s="121">
        <f>SUMIFS('Daily Writing Log'!$H$5:$H$34,'Daily Writing Log'!$A$5:$A$34,$A170)</f>
        <v>0</v>
      </c>
      <c r="C170" s="121">
        <f>SUMIFS('Daily Writing Log'!$I$5:$I$34,'Daily Writing Log'!$A$5:$A$34,$A170)</f>
        <v>0</v>
      </c>
      <c r="D170" s="122">
        <f>IF($C170&gt;=Config!$B$5,1,0)</f>
        <v>0</v>
      </c>
      <c r="E170" s="122">
        <f>IF(MONTH($A170)&lt;&gt;MONTH($A169),0,$G169)</f>
        <v>0</v>
      </c>
      <c r="F170" s="122">
        <f>IF(AND($D170=0,$H169&gt;0,$E170&lt;Config!$B$8,$A170&lt;Config!$A$2),1,0)</f>
        <v>0</v>
      </c>
      <c r="G170" s="122">
        <f>$E170+$F170</f>
        <v>0</v>
      </c>
      <c r="H170" s="122">
        <f>IF($D170=1,$H169+1,IF($F170=1,$H169,IF($A170=Config!$A$2,$H169,0)))</f>
        <v>0</v>
      </c>
      <c r="M170" s="123" t="n"/>
    </row>
    <row r="171">
      <c r="A171" s="120" t="str">
        <f>A170+1</f>
        <v>2025-04-01 00:00:00</v>
      </c>
      <c r="B171" s="121">
        <f>SUMIFS('Daily Writing Log'!$H$5:$H$34,'Daily Writing Log'!$A$5:$A$34,$A171)</f>
        <v>0</v>
      </c>
      <c r="C171" s="121">
        <f>SUMIFS('Daily Writing Log'!$I$5:$I$34,'Daily Writing Log'!$A$5:$A$34,$A171)</f>
        <v>0</v>
      </c>
      <c r="D171" s="122">
        <f>IF($C171&gt;=Config!$B$5,1,0)</f>
        <v>0</v>
      </c>
      <c r="E171" s="122">
        <f>IF(MONTH($A171)&lt;&gt;MONTH($A170),0,$G170)</f>
        <v>0</v>
      </c>
      <c r="F171" s="122">
        <f>IF(AND($D171=0,$H170&gt;0,$E171&lt;Config!$B$8,$A171&lt;Config!$A$2),1,0)</f>
        <v>0</v>
      </c>
      <c r="G171" s="122">
        <f>$E171+$F171</f>
        <v>0</v>
      </c>
      <c r="H171" s="122">
        <f>IF($D171=1,$H170+1,IF($F171=1,$H170,IF($A171=Config!$A$2,$H170,0)))</f>
        <v>0</v>
      </c>
      <c r="M171" s="123" t="n"/>
    </row>
    <row r="172">
      <c r="A172" s="120" t="str">
        <f>A171+1</f>
        <v>2025-04-02 00:00:00</v>
      </c>
      <c r="B172" s="121">
        <f>SUMIFS('Daily Writing Log'!$H$5:$H$34,'Daily Writing Log'!$A$5:$A$34,$A172)</f>
        <v>0</v>
      </c>
      <c r="C172" s="121">
        <f>SUMIFS('Daily Writing Log'!$I$5:$I$34,'Daily Writing Log'!$A$5:$A$34,$A172)</f>
        <v>0</v>
      </c>
      <c r="D172" s="122">
        <f>IF($C172&gt;=Config!$B$5,1,0)</f>
        <v>0</v>
      </c>
      <c r="E172" s="122">
        <f>IF(MONTH($A172)&lt;&gt;MONTH($A171),0,$G171)</f>
        <v>0</v>
      </c>
      <c r="F172" s="122">
        <f>IF(AND($D172=0,$H171&gt;0,$E172&lt;Config!$B$8,$A172&lt;Config!$A$2),1,0)</f>
        <v>0</v>
      </c>
      <c r="G172" s="122">
        <f>$E172+$F172</f>
        <v>0</v>
      </c>
      <c r="H172" s="122">
        <f>IF($D172=1,$H171+1,IF($F172=1,$H171,IF($A172=Config!$A$2,$H171,0)))</f>
        <v>0</v>
      </c>
      <c r="M172" s="123" t="n"/>
    </row>
    <row r="173">
      <c r="A173" s="120" t="str">
        <f>A172+1</f>
        <v>2025-04-03 00:00:00</v>
      </c>
      <c r="B173" s="121">
        <f>SUMIFS('Daily Writing Log'!$H$5:$H$34,'Daily Writing Log'!$A$5:$A$34,$A173)</f>
        <v>0</v>
      </c>
      <c r="C173" s="121">
        <f>SUMIFS('Daily Writing Log'!$I$5:$I$34,'Daily Writing Log'!$A$5:$A$34,$A173)</f>
        <v>0</v>
      </c>
      <c r="D173" s="122">
        <f>IF($C173&gt;=Config!$B$5,1,0)</f>
        <v>0</v>
      </c>
      <c r="E173" s="122">
        <f>IF(MONTH($A173)&lt;&gt;MONTH($A172),0,$G172)</f>
        <v>0</v>
      </c>
      <c r="F173" s="122">
        <f>IF(AND($D173=0,$H172&gt;0,$E173&lt;Config!$B$8,$A173&lt;Config!$A$2),1,0)</f>
        <v>0</v>
      </c>
      <c r="G173" s="122">
        <f>$E173+$F173</f>
        <v>0</v>
      </c>
      <c r="H173" s="122">
        <f>IF($D173=1,$H172+1,IF($F173=1,$H172,IF($A173=Config!$A$2,$H172,0)))</f>
        <v>0</v>
      </c>
      <c r="M173" s="123" t="n"/>
    </row>
    <row r="174">
      <c r="A174" s="120" t="str">
        <f>A173+1</f>
        <v>2025-04-04 00:00:00</v>
      </c>
      <c r="B174" s="121">
        <f>SUMIFS('Daily Writing Log'!$H$5:$H$34,'Daily Writing Log'!$A$5:$A$34,$A174)</f>
        <v>0</v>
      </c>
      <c r="C174" s="121">
        <f>SUMIFS('Daily Writing Log'!$I$5:$I$34,'Daily Writing Log'!$A$5:$A$34,$A174)</f>
        <v>0</v>
      </c>
      <c r="D174" s="122">
        <f>IF($C174&gt;=Config!$B$5,1,0)</f>
        <v>0</v>
      </c>
      <c r="E174" s="122">
        <f>IF(MONTH($A174)&lt;&gt;MONTH($A173),0,$G173)</f>
        <v>0</v>
      </c>
      <c r="F174" s="122">
        <f>IF(AND($D174=0,$H173&gt;0,$E174&lt;Config!$B$8,$A174&lt;Config!$A$2),1,0)</f>
        <v>0</v>
      </c>
      <c r="G174" s="122">
        <f>$E174+$F174</f>
        <v>0</v>
      </c>
      <c r="H174" s="122">
        <f>IF($D174=1,$H173+1,IF($F174=1,$H173,IF($A174=Config!$A$2,$H173,0)))</f>
        <v>0</v>
      </c>
      <c r="M174" s="123" t="n"/>
    </row>
    <row r="175">
      <c r="A175" s="120" t="str">
        <f>A174+1</f>
        <v>2025-04-05 00:00:00</v>
      </c>
      <c r="B175" s="121">
        <f>SUMIFS('Daily Writing Log'!$H$5:$H$34,'Daily Writing Log'!$A$5:$A$34,$A175)</f>
        <v>0</v>
      </c>
      <c r="C175" s="121">
        <f>SUMIFS('Daily Writing Log'!$I$5:$I$34,'Daily Writing Log'!$A$5:$A$34,$A175)</f>
        <v>0</v>
      </c>
      <c r="D175" s="122">
        <f>IF($C175&gt;=Config!$B$5,1,0)</f>
        <v>0</v>
      </c>
      <c r="E175" s="122">
        <f>IF(MONTH($A175)&lt;&gt;MONTH($A174),0,$G174)</f>
        <v>0</v>
      </c>
      <c r="F175" s="122">
        <f>IF(AND($D175=0,$H174&gt;0,$E175&lt;Config!$B$8,$A175&lt;Config!$A$2),1,0)</f>
        <v>0</v>
      </c>
      <c r="G175" s="122">
        <f>$E175+$F175</f>
        <v>0</v>
      </c>
      <c r="H175" s="122">
        <f>IF($D175=1,$H174+1,IF($F175=1,$H174,IF($A175=Config!$A$2,$H174,0)))</f>
        <v>0</v>
      </c>
      <c r="M175" s="123" t="n"/>
    </row>
    <row r="176">
      <c r="A176" s="120" t="str">
        <f>A175+1</f>
        <v>2025-04-06 00:00:00</v>
      </c>
      <c r="B176" s="121">
        <f>SUMIFS('Daily Writing Log'!$H$5:$H$34,'Daily Writing Log'!$A$5:$A$34,$A176)</f>
        <v>0</v>
      </c>
      <c r="C176" s="121">
        <f>SUMIFS('Daily Writing Log'!$I$5:$I$34,'Daily Writing Log'!$A$5:$A$34,$A176)</f>
        <v>0</v>
      </c>
      <c r="D176" s="122">
        <f>IF($C176&gt;=Config!$B$5,1,0)</f>
        <v>0</v>
      </c>
      <c r="E176" s="122">
        <f>IF(MONTH($A176)&lt;&gt;MONTH($A175),0,$G175)</f>
        <v>0</v>
      </c>
      <c r="F176" s="122">
        <f>IF(AND($D176=0,$H175&gt;0,$E176&lt;Config!$B$8,$A176&lt;Config!$A$2),1,0)</f>
        <v>0</v>
      </c>
      <c r="G176" s="122">
        <f>$E176+$F176</f>
        <v>0</v>
      </c>
      <c r="H176" s="122">
        <f>IF($D176=1,$H175+1,IF($F176=1,$H175,IF($A176=Config!$A$2,$H175,0)))</f>
        <v>0</v>
      </c>
      <c r="M176" s="123" t="n"/>
    </row>
    <row r="177">
      <c r="A177" s="120" t="str">
        <f>A176+1</f>
        <v>2025-04-07 00:00:00</v>
      </c>
      <c r="B177" s="121">
        <f>SUMIFS('Daily Writing Log'!$H$5:$H$34,'Daily Writing Log'!$A$5:$A$34,$A177)</f>
        <v>0</v>
      </c>
      <c r="C177" s="121">
        <f>SUMIFS('Daily Writing Log'!$I$5:$I$34,'Daily Writing Log'!$A$5:$A$34,$A177)</f>
        <v>0</v>
      </c>
      <c r="D177" s="122">
        <f>IF($C177&gt;=Config!$B$5,1,0)</f>
        <v>0</v>
      </c>
      <c r="E177" s="122">
        <f>IF(MONTH($A177)&lt;&gt;MONTH($A176),0,$G176)</f>
        <v>0</v>
      </c>
      <c r="F177" s="122">
        <f>IF(AND($D177=0,$H176&gt;0,$E177&lt;Config!$B$8,$A177&lt;Config!$A$2),1,0)</f>
        <v>0</v>
      </c>
      <c r="G177" s="122">
        <f>$E177+$F177</f>
        <v>0</v>
      </c>
      <c r="H177" s="122">
        <f>IF($D177=1,$H176+1,IF($F177=1,$H176,IF($A177=Config!$A$2,$H176,0)))</f>
        <v>0</v>
      </c>
      <c r="M177" s="123" t="n"/>
    </row>
    <row r="178">
      <c r="A178" s="120" t="str">
        <f>A177+1</f>
        <v>2025-04-08 00:00:00</v>
      </c>
      <c r="B178" s="121">
        <f>SUMIFS('Daily Writing Log'!$H$5:$H$34,'Daily Writing Log'!$A$5:$A$34,$A178)</f>
        <v>0</v>
      </c>
      <c r="C178" s="121">
        <f>SUMIFS('Daily Writing Log'!$I$5:$I$34,'Daily Writing Log'!$A$5:$A$34,$A178)</f>
        <v>0</v>
      </c>
      <c r="D178" s="122">
        <f>IF($C178&gt;=Config!$B$5,1,0)</f>
        <v>0</v>
      </c>
      <c r="E178" s="122">
        <f>IF(MONTH($A178)&lt;&gt;MONTH($A177),0,$G177)</f>
        <v>0</v>
      </c>
      <c r="F178" s="122">
        <f>IF(AND($D178=0,$H177&gt;0,$E178&lt;Config!$B$8,$A178&lt;Config!$A$2),1,0)</f>
        <v>0</v>
      </c>
      <c r="G178" s="122">
        <f>$E178+$F178</f>
        <v>0</v>
      </c>
      <c r="H178" s="122">
        <f>IF($D178=1,$H177+1,IF($F178=1,$H177,IF($A178=Config!$A$2,$H177,0)))</f>
        <v>0</v>
      </c>
      <c r="M178" s="123" t="n"/>
    </row>
    <row r="179">
      <c r="A179" s="120" t="str">
        <f>A178+1</f>
        <v>2025-04-09 00:00:00</v>
      </c>
      <c r="B179" s="121">
        <f>SUMIFS('Daily Writing Log'!$H$5:$H$34,'Daily Writing Log'!$A$5:$A$34,$A179)</f>
        <v>0</v>
      </c>
      <c r="C179" s="121">
        <f>SUMIFS('Daily Writing Log'!$I$5:$I$34,'Daily Writing Log'!$A$5:$A$34,$A179)</f>
        <v>0</v>
      </c>
      <c r="D179" s="122">
        <f>IF($C179&gt;=Config!$B$5,1,0)</f>
        <v>0</v>
      </c>
      <c r="E179" s="122">
        <f>IF(MONTH($A179)&lt;&gt;MONTH($A178),0,$G178)</f>
        <v>0</v>
      </c>
      <c r="F179" s="122">
        <f>IF(AND($D179=0,$H178&gt;0,$E179&lt;Config!$B$8,$A179&lt;Config!$A$2),1,0)</f>
        <v>0</v>
      </c>
      <c r="G179" s="122">
        <f>$E179+$F179</f>
        <v>0</v>
      </c>
      <c r="H179" s="122">
        <f>IF($D179=1,$H178+1,IF($F179=1,$H178,IF($A179=Config!$A$2,$H178,0)))</f>
        <v>0</v>
      </c>
      <c r="M179" s="123" t="n"/>
    </row>
    <row r="180">
      <c r="A180" s="120" t="str">
        <f>A179+1</f>
        <v>2025-04-10 00:00:00</v>
      </c>
      <c r="B180" s="121">
        <f>SUMIFS('Daily Writing Log'!$H$5:$H$34,'Daily Writing Log'!$A$5:$A$34,$A180)</f>
        <v>0</v>
      </c>
      <c r="C180" s="121">
        <f>SUMIFS('Daily Writing Log'!$I$5:$I$34,'Daily Writing Log'!$A$5:$A$34,$A180)</f>
        <v>0</v>
      </c>
      <c r="D180" s="122">
        <f>IF($C180&gt;=Config!$B$5,1,0)</f>
        <v>0</v>
      </c>
      <c r="E180" s="122">
        <f>IF(MONTH($A180)&lt;&gt;MONTH($A179),0,$G179)</f>
        <v>0</v>
      </c>
      <c r="F180" s="122">
        <f>IF(AND($D180=0,$H179&gt;0,$E180&lt;Config!$B$8,$A180&lt;Config!$A$2),1,0)</f>
        <v>0</v>
      </c>
      <c r="G180" s="122">
        <f>$E180+$F180</f>
        <v>0</v>
      </c>
      <c r="H180" s="122">
        <f>IF($D180=1,$H179+1,IF($F180=1,$H179,IF($A180=Config!$A$2,$H179,0)))</f>
        <v>0</v>
      </c>
      <c r="M180" s="123" t="n"/>
    </row>
    <row r="181">
      <c r="A181" s="120" t="str">
        <f>A180+1</f>
        <v>2025-04-11 00:00:00</v>
      </c>
      <c r="B181" s="121">
        <f>SUMIFS('Daily Writing Log'!$H$5:$H$34,'Daily Writing Log'!$A$5:$A$34,$A181)</f>
        <v>0</v>
      </c>
      <c r="C181" s="121">
        <f>SUMIFS('Daily Writing Log'!$I$5:$I$34,'Daily Writing Log'!$A$5:$A$34,$A181)</f>
        <v>0</v>
      </c>
      <c r="D181" s="122">
        <f>IF($C181&gt;=Config!$B$5,1,0)</f>
        <v>0</v>
      </c>
      <c r="E181" s="122">
        <f>IF(MONTH($A181)&lt;&gt;MONTH($A180),0,$G180)</f>
        <v>0</v>
      </c>
      <c r="F181" s="122">
        <f>IF(AND($D181=0,$H180&gt;0,$E181&lt;Config!$B$8,$A181&lt;Config!$A$2),1,0)</f>
        <v>0</v>
      </c>
      <c r="G181" s="122">
        <f>$E181+$F181</f>
        <v>0</v>
      </c>
      <c r="H181" s="122">
        <f>IF($D181=1,$H180+1,IF($F181=1,$H180,IF($A181=Config!$A$2,$H180,0)))</f>
        <v>0</v>
      </c>
      <c r="M181" s="123" t="n"/>
    </row>
    <row r="182">
      <c r="A182" s="120" t="str">
        <f>A181+1</f>
        <v>2025-04-12 00:00:00</v>
      </c>
      <c r="B182" s="121">
        <f>SUMIFS('Daily Writing Log'!$H$5:$H$34,'Daily Writing Log'!$A$5:$A$34,$A182)</f>
        <v>0</v>
      </c>
      <c r="C182" s="121">
        <f>SUMIFS('Daily Writing Log'!$I$5:$I$34,'Daily Writing Log'!$A$5:$A$34,$A182)</f>
        <v>0</v>
      </c>
      <c r="D182" s="122">
        <f>IF($C182&gt;=Config!$B$5,1,0)</f>
        <v>0</v>
      </c>
      <c r="E182" s="122">
        <f>IF(MONTH($A182)&lt;&gt;MONTH($A181),0,$G181)</f>
        <v>0</v>
      </c>
      <c r="F182" s="122">
        <f>IF(AND($D182=0,$H181&gt;0,$E182&lt;Config!$B$8,$A182&lt;Config!$A$2),1,0)</f>
        <v>0</v>
      </c>
      <c r="G182" s="122">
        <f>$E182+$F182</f>
        <v>0</v>
      </c>
      <c r="H182" s="122">
        <f>IF($D182=1,$H181+1,IF($F182=1,$H181,IF($A182=Config!$A$2,$H181,0)))</f>
        <v>0</v>
      </c>
      <c r="M182" s="123" t="n"/>
    </row>
    <row r="183">
      <c r="A183" s="120" t="str">
        <f>A182+1</f>
        <v>2025-04-13 00:00:00</v>
      </c>
      <c r="B183" s="121">
        <f>SUMIFS('Daily Writing Log'!$H$5:$H$34,'Daily Writing Log'!$A$5:$A$34,$A183)</f>
        <v>0</v>
      </c>
      <c r="C183" s="121">
        <f>SUMIFS('Daily Writing Log'!$I$5:$I$34,'Daily Writing Log'!$A$5:$A$34,$A183)</f>
        <v>0</v>
      </c>
      <c r="D183" s="122">
        <f>IF($C183&gt;=Config!$B$5,1,0)</f>
        <v>0</v>
      </c>
      <c r="E183" s="122">
        <f>IF(MONTH($A183)&lt;&gt;MONTH($A182),0,$G182)</f>
        <v>0</v>
      </c>
      <c r="F183" s="122">
        <f>IF(AND($D183=0,$H182&gt;0,$E183&lt;Config!$B$8,$A183&lt;Config!$A$2),1,0)</f>
        <v>0</v>
      </c>
      <c r="G183" s="122">
        <f>$E183+$F183</f>
        <v>0</v>
      </c>
      <c r="H183" s="122">
        <f>IF($D183=1,$H182+1,IF($F183=1,$H182,IF($A183=Config!$A$2,$H182,0)))</f>
        <v>0</v>
      </c>
      <c r="M183" s="123" t="n"/>
    </row>
    <row r="184">
      <c r="A184" s="120" t="str">
        <f>A183+1</f>
        <v>2025-04-14 00:00:00</v>
      </c>
      <c r="B184" s="121">
        <f>SUMIFS('Daily Writing Log'!$H$5:$H$34,'Daily Writing Log'!$A$5:$A$34,$A184)</f>
        <v>0</v>
      </c>
      <c r="C184" s="121">
        <f>SUMIFS('Daily Writing Log'!$I$5:$I$34,'Daily Writing Log'!$A$5:$A$34,$A184)</f>
        <v>0</v>
      </c>
      <c r="D184" s="122">
        <f>IF($C184&gt;=Config!$B$5,1,0)</f>
        <v>0</v>
      </c>
      <c r="E184" s="122">
        <f>IF(MONTH($A184)&lt;&gt;MONTH($A183),0,$G183)</f>
        <v>0</v>
      </c>
      <c r="F184" s="122">
        <f>IF(AND($D184=0,$H183&gt;0,$E184&lt;Config!$B$8,$A184&lt;Config!$A$2),1,0)</f>
        <v>0</v>
      </c>
      <c r="G184" s="122">
        <f>$E184+$F184</f>
        <v>0</v>
      </c>
      <c r="H184" s="122">
        <f>IF($D184=1,$H183+1,IF($F184=1,$H183,IF($A184=Config!$A$2,$H183,0)))</f>
        <v>0</v>
      </c>
      <c r="M184" s="123" t="n"/>
    </row>
    <row r="185">
      <c r="A185" s="120" t="str">
        <f>A184+1</f>
        <v>2025-04-15 00:00:00</v>
      </c>
      <c r="B185" s="121">
        <f>SUMIFS('Daily Writing Log'!$H$5:$H$34,'Daily Writing Log'!$A$5:$A$34,$A185)</f>
        <v>0</v>
      </c>
      <c r="C185" s="121">
        <f>SUMIFS('Daily Writing Log'!$I$5:$I$34,'Daily Writing Log'!$A$5:$A$34,$A185)</f>
        <v>0</v>
      </c>
      <c r="D185" s="122">
        <f>IF($C185&gt;=Config!$B$5,1,0)</f>
        <v>0</v>
      </c>
      <c r="E185" s="122">
        <f>IF(MONTH($A185)&lt;&gt;MONTH($A184),0,$G184)</f>
        <v>0</v>
      </c>
      <c r="F185" s="122">
        <f>IF(AND($D185=0,$H184&gt;0,$E185&lt;Config!$B$8,$A185&lt;Config!$A$2),1,0)</f>
        <v>0</v>
      </c>
      <c r="G185" s="122">
        <f>$E185+$F185</f>
        <v>0</v>
      </c>
      <c r="H185" s="122">
        <f>IF($D185=1,$H184+1,IF($F185=1,$H184,IF($A185=Config!$A$2,$H184,0)))</f>
        <v>0</v>
      </c>
      <c r="M185" s="123" t="n"/>
    </row>
    <row r="186">
      <c r="A186" s="120" t="str">
        <f>A185+1</f>
        <v>2025-04-16 00:00:00</v>
      </c>
      <c r="B186" s="121">
        <f>SUMIFS('Daily Writing Log'!$H$5:$H$34,'Daily Writing Log'!$A$5:$A$34,$A186)</f>
        <v>0</v>
      </c>
      <c r="C186" s="121">
        <f>SUMIFS('Daily Writing Log'!$I$5:$I$34,'Daily Writing Log'!$A$5:$A$34,$A186)</f>
        <v>0</v>
      </c>
      <c r="D186" s="122">
        <f>IF($C186&gt;=Config!$B$5,1,0)</f>
        <v>0</v>
      </c>
      <c r="E186" s="122">
        <f>IF(MONTH($A186)&lt;&gt;MONTH($A185),0,$G185)</f>
        <v>0</v>
      </c>
      <c r="F186" s="122">
        <f>IF(AND($D186=0,$H185&gt;0,$E186&lt;Config!$B$8,$A186&lt;Config!$A$2),1,0)</f>
        <v>0</v>
      </c>
      <c r="G186" s="122">
        <f>$E186+$F186</f>
        <v>0</v>
      </c>
      <c r="H186" s="122">
        <f>IF($D186=1,$H185+1,IF($F186=1,$H185,IF($A186=Config!$A$2,$H185,0)))</f>
        <v>0</v>
      </c>
      <c r="M186" s="123" t="n"/>
    </row>
    <row r="187">
      <c r="A187" s="120" t="str">
        <f>A186+1</f>
        <v>2025-04-17 00:00:00</v>
      </c>
      <c r="B187" s="121">
        <f>SUMIFS('Daily Writing Log'!$H$5:$H$34,'Daily Writing Log'!$A$5:$A$34,$A187)</f>
        <v>0</v>
      </c>
      <c r="C187" s="121">
        <f>SUMIFS('Daily Writing Log'!$I$5:$I$34,'Daily Writing Log'!$A$5:$A$34,$A187)</f>
        <v>0</v>
      </c>
      <c r="D187" s="122">
        <f>IF($C187&gt;=Config!$B$5,1,0)</f>
        <v>0</v>
      </c>
      <c r="E187" s="122">
        <f>IF(MONTH($A187)&lt;&gt;MONTH($A186),0,$G186)</f>
        <v>0</v>
      </c>
      <c r="F187" s="122">
        <f>IF(AND($D187=0,$H186&gt;0,$E187&lt;Config!$B$8,$A187&lt;Config!$A$2),1,0)</f>
        <v>0</v>
      </c>
      <c r="G187" s="122">
        <f>$E187+$F187</f>
        <v>0</v>
      </c>
      <c r="H187" s="122">
        <f>IF($D187=1,$H186+1,IF($F187=1,$H186,IF($A187=Config!$A$2,$H186,0)))</f>
        <v>0</v>
      </c>
      <c r="M187" s="123" t="n"/>
    </row>
    <row r="188">
      <c r="A188" s="120" t="str">
        <f>A187+1</f>
        <v>2025-04-18 00:00:00</v>
      </c>
      <c r="B188" s="121">
        <f>SUMIFS('Daily Writing Log'!$H$5:$H$34,'Daily Writing Log'!$A$5:$A$34,$A188)</f>
        <v>0</v>
      </c>
      <c r="C188" s="121">
        <f>SUMIFS('Daily Writing Log'!$I$5:$I$34,'Daily Writing Log'!$A$5:$A$34,$A188)</f>
        <v>0</v>
      </c>
      <c r="D188" s="122">
        <f>IF($C188&gt;=Config!$B$5,1,0)</f>
        <v>0</v>
      </c>
      <c r="E188" s="122">
        <f>IF(MONTH($A188)&lt;&gt;MONTH($A187),0,$G187)</f>
        <v>0</v>
      </c>
      <c r="F188" s="122">
        <f>IF(AND($D188=0,$H187&gt;0,$E188&lt;Config!$B$8,$A188&lt;Config!$A$2),1,0)</f>
        <v>0</v>
      </c>
      <c r="G188" s="122">
        <f>$E188+$F188</f>
        <v>0</v>
      </c>
      <c r="H188" s="122">
        <f>IF($D188=1,$H187+1,IF($F188=1,$H187,IF($A188=Config!$A$2,$H187,0)))</f>
        <v>0</v>
      </c>
      <c r="M188" s="123" t="n"/>
    </row>
    <row r="189">
      <c r="A189" s="120" t="str">
        <f>A188+1</f>
        <v>2025-04-19 00:00:00</v>
      </c>
      <c r="B189" s="121">
        <f>SUMIFS('Daily Writing Log'!$H$5:$H$34,'Daily Writing Log'!$A$5:$A$34,$A189)</f>
        <v>0</v>
      </c>
      <c r="C189" s="121">
        <f>SUMIFS('Daily Writing Log'!$I$5:$I$34,'Daily Writing Log'!$A$5:$A$34,$A189)</f>
        <v>0</v>
      </c>
      <c r="D189" s="122">
        <f>IF($C189&gt;=Config!$B$5,1,0)</f>
        <v>0</v>
      </c>
      <c r="E189" s="122">
        <f>IF(MONTH($A189)&lt;&gt;MONTH($A188),0,$G188)</f>
        <v>0</v>
      </c>
      <c r="F189" s="122">
        <f>IF(AND($D189=0,$H188&gt;0,$E189&lt;Config!$B$8,$A189&lt;Config!$A$2),1,0)</f>
        <v>0</v>
      </c>
      <c r="G189" s="122">
        <f>$E189+$F189</f>
        <v>0</v>
      </c>
      <c r="H189" s="122">
        <f>IF($D189=1,$H188+1,IF($F189=1,$H188,IF($A189=Config!$A$2,$H188,0)))</f>
        <v>0</v>
      </c>
      <c r="M189" s="123" t="n"/>
    </row>
    <row r="190">
      <c r="A190" s="120" t="str">
        <f>A189+1</f>
        <v>2025-04-20 00:00:00</v>
      </c>
      <c r="B190" s="121">
        <f>SUMIFS('Daily Writing Log'!$H$5:$H$34,'Daily Writing Log'!$A$5:$A$34,$A190)</f>
        <v>0</v>
      </c>
      <c r="C190" s="121">
        <f>SUMIFS('Daily Writing Log'!$I$5:$I$34,'Daily Writing Log'!$A$5:$A$34,$A190)</f>
        <v>0</v>
      </c>
      <c r="D190" s="122">
        <f>IF($C190&gt;=Config!$B$5,1,0)</f>
        <v>0</v>
      </c>
      <c r="E190" s="122">
        <f>IF(MONTH($A190)&lt;&gt;MONTH($A189),0,$G189)</f>
        <v>0</v>
      </c>
      <c r="F190" s="122">
        <f>IF(AND($D190=0,$H189&gt;0,$E190&lt;Config!$B$8,$A190&lt;Config!$A$2),1,0)</f>
        <v>0</v>
      </c>
      <c r="G190" s="122">
        <f>$E190+$F190</f>
        <v>0</v>
      </c>
      <c r="H190" s="122">
        <f>IF($D190=1,$H189+1,IF($F190=1,$H189,IF($A190=Config!$A$2,$H189,0)))</f>
        <v>0</v>
      </c>
      <c r="M190" s="123" t="n"/>
    </row>
    <row r="191">
      <c r="A191" s="120" t="str">
        <f>A190+1</f>
        <v>2025-04-21 00:00:00</v>
      </c>
      <c r="B191" s="121">
        <f>SUMIFS('Daily Writing Log'!$H$5:$H$34,'Daily Writing Log'!$A$5:$A$34,$A191)</f>
        <v>0</v>
      </c>
      <c r="C191" s="121">
        <f>SUMIFS('Daily Writing Log'!$I$5:$I$34,'Daily Writing Log'!$A$5:$A$34,$A191)</f>
        <v>0</v>
      </c>
      <c r="D191" s="122">
        <f>IF($C191&gt;=Config!$B$5,1,0)</f>
        <v>0</v>
      </c>
      <c r="E191" s="122">
        <f>IF(MONTH($A191)&lt;&gt;MONTH($A190),0,$G190)</f>
        <v>0</v>
      </c>
      <c r="F191" s="122">
        <f>IF(AND($D191=0,$H190&gt;0,$E191&lt;Config!$B$8,$A191&lt;Config!$A$2),1,0)</f>
        <v>0</v>
      </c>
      <c r="G191" s="122">
        <f>$E191+$F191</f>
        <v>0</v>
      </c>
      <c r="H191" s="122">
        <f>IF($D191=1,$H190+1,IF($F191=1,$H190,IF($A191=Config!$A$2,$H190,0)))</f>
        <v>0</v>
      </c>
      <c r="M191" s="123" t="n"/>
    </row>
    <row r="192">
      <c r="A192" s="120" t="str">
        <f>A191+1</f>
        <v>2025-04-22 00:00:00</v>
      </c>
      <c r="B192" s="121">
        <f>SUMIFS('Daily Writing Log'!$H$5:$H$34,'Daily Writing Log'!$A$5:$A$34,$A192)</f>
        <v>0</v>
      </c>
      <c r="C192" s="121">
        <f>SUMIFS('Daily Writing Log'!$I$5:$I$34,'Daily Writing Log'!$A$5:$A$34,$A192)</f>
        <v>0</v>
      </c>
      <c r="D192" s="122">
        <f>IF($C192&gt;=Config!$B$5,1,0)</f>
        <v>0</v>
      </c>
      <c r="E192" s="122">
        <f>IF(MONTH($A192)&lt;&gt;MONTH($A191),0,$G191)</f>
        <v>0</v>
      </c>
      <c r="F192" s="122">
        <f>IF(AND($D192=0,$H191&gt;0,$E192&lt;Config!$B$8,$A192&lt;Config!$A$2),1,0)</f>
        <v>0</v>
      </c>
      <c r="G192" s="122">
        <f>$E192+$F192</f>
        <v>0</v>
      </c>
      <c r="H192" s="122">
        <f>IF($D192=1,$H191+1,IF($F192=1,$H191,IF($A192=Config!$A$2,$H191,0)))</f>
        <v>0</v>
      </c>
      <c r="M192" s="123" t="n"/>
    </row>
    <row r="193">
      <c r="A193" s="120" t="str">
        <f>A192+1</f>
        <v>2025-04-23 00:00:00</v>
      </c>
      <c r="B193" s="121">
        <f>SUMIFS('Daily Writing Log'!$H$5:$H$34,'Daily Writing Log'!$A$5:$A$34,$A193)</f>
        <v>0</v>
      </c>
      <c r="C193" s="121">
        <f>SUMIFS('Daily Writing Log'!$I$5:$I$34,'Daily Writing Log'!$A$5:$A$34,$A193)</f>
        <v>0</v>
      </c>
      <c r="D193" s="122">
        <f>IF($C193&gt;=Config!$B$5,1,0)</f>
        <v>0</v>
      </c>
      <c r="E193" s="122">
        <f>IF(MONTH($A193)&lt;&gt;MONTH($A192),0,$G192)</f>
        <v>0</v>
      </c>
      <c r="F193" s="122">
        <f>IF(AND($D193=0,$H192&gt;0,$E193&lt;Config!$B$8,$A193&lt;Config!$A$2),1,0)</f>
        <v>0</v>
      </c>
      <c r="G193" s="122">
        <f>$E193+$F193</f>
        <v>0</v>
      </c>
      <c r="H193" s="122">
        <f>IF($D193=1,$H192+1,IF($F193=1,$H192,IF($A193=Config!$A$2,$H192,0)))</f>
        <v>0</v>
      </c>
      <c r="M193" s="123" t="n"/>
    </row>
    <row r="194">
      <c r="A194" s="120" t="str">
        <f>A193+1</f>
        <v>2025-04-24 00:00:00</v>
      </c>
      <c r="B194" s="121">
        <f>SUMIFS('Daily Writing Log'!$H$5:$H$34,'Daily Writing Log'!$A$5:$A$34,$A194)</f>
        <v>0</v>
      </c>
      <c r="C194" s="121">
        <f>SUMIFS('Daily Writing Log'!$I$5:$I$34,'Daily Writing Log'!$A$5:$A$34,$A194)</f>
        <v>0</v>
      </c>
      <c r="D194" s="122">
        <f>IF($C194&gt;=Config!$B$5,1,0)</f>
        <v>0</v>
      </c>
      <c r="E194" s="122">
        <f>IF(MONTH($A194)&lt;&gt;MONTH($A193),0,$G193)</f>
        <v>0</v>
      </c>
      <c r="F194" s="122">
        <f>IF(AND($D194=0,$H193&gt;0,$E194&lt;Config!$B$8,$A194&lt;Config!$A$2),1,0)</f>
        <v>0</v>
      </c>
      <c r="G194" s="122">
        <f>$E194+$F194</f>
        <v>0</v>
      </c>
      <c r="H194" s="122">
        <f>IF($D194=1,$H193+1,IF($F194=1,$H193,IF($A194=Config!$A$2,$H193,0)))</f>
        <v>0</v>
      </c>
      <c r="M194" s="123" t="n"/>
    </row>
    <row r="195">
      <c r="A195" s="120" t="str">
        <f>A194+1</f>
        <v>2025-04-25 00:00:00</v>
      </c>
      <c r="B195" s="121">
        <f>SUMIFS('Daily Writing Log'!$H$5:$H$34,'Daily Writing Log'!$A$5:$A$34,$A195)</f>
        <v>0</v>
      </c>
      <c r="C195" s="121">
        <f>SUMIFS('Daily Writing Log'!$I$5:$I$34,'Daily Writing Log'!$A$5:$A$34,$A195)</f>
        <v>0</v>
      </c>
      <c r="D195" s="122">
        <f>IF($C195&gt;=Config!$B$5,1,0)</f>
        <v>0</v>
      </c>
      <c r="E195" s="122">
        <f>IF(MONTH($A195)&lt;&gt;MONTH($A194),0,$G194)</f>
        <v>0</v>
      </c>
      <c r="F195" s="122">
        <f>IF(AND($D195=0,$H194&gt;0,$E195&lt;Config!$B$8,$A195&lt;Config!$A$2),1,0)</f>
        <v>0</v>
      </c>
      <c r="G195" s="122">
        <f>$E195+$F195</f>
        <v>0</v>
      </c>
      <c r="H195" s="122">
        <f>IF($D195=1,$H194+1,IF($F195=1,$H194,IF($A195=Config!$A$2,$H194,0)))</f>
        <v>0</v>
      </c>
      <c r="M195" s="123" t="n"/>
    </row>
    <row r="196">
      <c r="A196" s="120" t="str">
        <f>A195+1</f>
        <v>2025-04-26 00:00:00</v>
      </c>
      <c r="B196" s="121">
        <f>SUMIFS('Daily Writing Log'!$H$5:$H$34,'Daily Writing Log'!$A$5:$A$34,$A196)</f>
        <v>0</v>
      </c>
      <c r="C196" s="121">
        <f>SUMIFS('Daily Writing Log'!$I$5:$I$34,'Daily Writing Log'!$A$5:$A$34,$A196)</f>
        <v>0</v>
      </c>
      <c r="D196" s="122">
        <f>IF($C196&gt;=Config!$B$5,1,0)</f>
        <v>0</v>
      </c>
      <c r="E196" s="122">
        <f>IF(MONTH($A196)&lt;&gt;MONTH($A195),0,$G195)</f>
        <v>0</v>
      </c>
      <c r="F196" s="122">
        <f>IF(AND($D196=0,$H195&gt;0,$E196&lt;Config!$B$8,$A196&lt;Config!$A$2),1,0)</f>
        <v>0</v>
      </c>
      <c r="G196" s="122">
        <f>$E196+$F196</f>
        <v>0</v>
      </c>
      <c r="H196" s="122">
        <f>IF($D196=1,$H195+1,IF($F196=1,$H195,IF($A196=Config!$A$2,$H195,0)))</f>
        <v>0</v>
      </c>
      <c r="M196" s="123" t="n"/>
    </row>
    <row r="197">
      <c r="A197" s="120" t="str">
        <f>A196+1</f>
        <v>2025-04-27 00:00:00</v>
      </c>
      <c r="B197" s="121">
        <f>SUMIFS('Daily Writing Log'!$H$5:$H$34,'Daily Writing Log'!$A$5:$A$34,$A197)</f>
        <v>0</v>
      </c>
      <c r="C197" s="121">
        <f>SUMIFS('Daily Writing Log'!$I$5:$I$34,'Daily Writing Log'!$A$5:$A$34,$A197)</f>
        <v>0</v>
      </c>
      <c r="D197" s="122">
        <f>IF($C197&gt;=Config!$B$5,1,0)</f>
        <v>0</v>
      </c>
      <c r="E197" s="122">
        <f>IF(MONTH($A197)&lt;&gt;MONTH($A196),0,$G196)</f>
        <v>0</v>
      </c>
      <c r="F197" s="122">
        <f>IF(AND($D197=0,$H196&gt;0,$E197&lt;Config!$B$8,$A197&lt;Config!$A$2),1,0)</f>
        <v>0</v>
      </c>
      <c r="G197" s="122">
        <f>$E197+$F197</f>
        <v>0</v>
      </c>
      <c r="H197" s="122">
        <f>IF($D197=1,$H196+1,IF($F197=1,$H196,IF($A197=Config!$A$2,$H196,0)))</f>
        <v>0</v>
      </c>
      <c r="M197" s="123" t="n"/>
    </row>
    <row r="198">
      <c r="A198" s="120" t="str">
        <f>A197+1</f>
        <v>2025-04-28 00:00:00</v>
      </c>
      <c r="B198" s="121">
        <f>SUMIFS('Daily Writing Log'!$H$5:$H$34,'Daily Writing Log'!$A$5:$A$34,$A198)</f>
        <v>0</v>
      </c>
      <c r="C198" s="121">
        <f>SUMIFS('Daily Writing Log'!$I$5:$I$34,'Daily Writing Log'!$A$5:$A$34,$A198)</f>
        <v>0</v>
      </c>
      <c r="D198" s="122">
        <f>IF($C198&gt;=Config!$B$5,1,0)</f>
        <v>0</v>
      </c>
      <c r="E198" s="122">
        <f>IF(MONTH($A198)&lt;&gt;MONTH($A197),0,$G197)</f>
        <v>0</v>
      </c>
      <c r="F198" s="122">
        <f>IF(AND($D198=0,$H197&gt;0,$E198&lt;Config!$B$8,$A198&lt;Config!$A$2),1,0)</f>
        <v>0</v>
      </c>
      <c r="G198" s="122">
        <f>$E198+$F198</f>
        <v>0</v>
      </c>
      <c r="H198" s="122">
        <f>IF($D198=1,$H197+1,IF($F198=1,$H197,IF($A198=Config!$A$2,$H197,0)))</f>
        <v>0</v>
      </c>
      <c r="M198" s="123" t="n"/>
    </row>
    <row r="199">
      <c r="A199" s="120" t="str">
        <f>A198+1</f>
        <v>2025-04-29 00:00:00</v>
      </c>
      <c r="B199" s="121">
        <f>SUMIFS('Daily Writing Log'!$H$5:$H$34,'Daily Writing Log'!$A$5:$A$34,$A199)</f>
        <v>0</v>
      </c>
      <c r="C199" s="121">
        <f>SUMIFS('Daily Writing Log'!$I$5:$I$34,'Daily Writing Log'!$A$5:$A$34,$A199)</f>
        <v>0</v>
      </c>
      <c r="D199" s="122">
        <f>IF($C199&gt;=Config!$B$5,1,0)</f>
        <v>0</v>
      </c>
      <c r="E199" s="122">
        <f>IF(MONTH($A199)&lt;&gt;MONTH($A198),0,$G198)</f>
        <v>0</v>
      </c>
      <c r="F199" s="122">
        <f>IF(AND($D199=0,$H198&gt;0,$E199&lt;Config!$B$8,$A199&lt;Config!$A$2),1,0)</f>
        <v>0</v>
      </c>
      <c r="G199" s="122">
        <f>$E199+$F199</f>
        <v>0</v>
      </c>
      <c r="H199" s="122">
        <f>IF($D199=1,$H198+1,IF($F199=1,$H198,IF($A199=Config!$A$2,$H198,0)))</f>
        <v>0</v>
      </c>
      <c r="M199" s="123" t="n"/>
    </row>
    <row r="200">
      <c r="A200" s="120" t="str">
        <f>A199+1</f>
        <v>2025-04-30 00:00:00</v>
      </c>
      <c r="B200" s="121">
        <f>SUMIFS('Daily Writing Log'!$H$5:$H$34,'Daily Writing Log'!$A$5:$A$34,$A200)</f>
        <v>0</v>
      </c>
      <c r="C200" s="121">
        <f>SUMIFS('Daily Writing Log'!$I$5:$I$34,'Daily Writing Log'!$A$5:$A$34,$A200)</f>
        <v>0</v>
      </c>
      <c r="D200" s="122">
        <f>IF($C200&gt;=Config!$B$5,1,0)</f>
        <v>0</v>
      </c>
      <c r="E200" s="122">
        <f>IF(MONTH($A200)&lt;&gt;MONTH($A199),0,$G199)</f>
        <v>0</v>
      </c>
      <c r="F200" s="122">
        <f>IF(AND($D200=0,$H199&gt;0,$E200&lt;Config!$B$8,$A200&lt;Config!$A$2),1,0)</f>
        <v>0</v>
      </c>
      <c r="G200" s="122">
        <f>$E200+$F200</f>
        <v>0</v>
      </c>
      <c r="H200" s="122">
        <f>IF($D200=1,$H199+1,IF($F200=1,$H199,IF($A200=Config!$A$2,$H199,0)))</f>
        <v>0</v>
      </c>
      <c r="M200" s="123" t="n"/>
    </row>
    <row r="201">
      <c r="A201" s="120" t="str">
        <f>A200+1</f>
        <v>2025-05-01 00:00:00</v>
      </c>
      <c r="B201" s="121">
        <f>SUMIFS('Daily Writing Log'!$H$5:$H$34,'Daily Writing Log'!$A$5:$A$34,$A201)</f>
        <v>0</v>
      </c>
      <c r="C201" s="121">
        <f>SUMIFS('Daily Writing Log'!$I$5:$I$34,'Daily Writing Log'!$A$5:$A$34,$A201)</f>
        <v>0</v>
      </c>
      <c r="D201" s="122">
        <f>IF($C201&gt;=Config!$B$5,1,0)</f>
        <v>0</v>
      </c>
      <c r="E201" s="122">
        <f>IF(MONTH($A201)&lt;&gt;MONTH($A200),0,$G200)</f>
        <v>0</v>
      </c>
      <c r="F201" s="122">
        <f>IF(AND($D201=0,$H200&gt;0,$E201&lt;Config!$B$8,$A201&lt;Config!$A$2),1,0)</f>
        <v>0</v>
      </c>
      <c r="G201" s="122">
        <f>$E201+$F201</f>
        <v>0</v>
      </c>
      <c r="H201" s="122">
        <f>IF($D201=1,$H200+1,IF($F201=1,$H200,IF($A201=Config!$A$2,$H200,0)))</f>
        <v>0</v>
      </c>
      <c r="M201" s="123" t="n"/>
    </row>
    <row r="202">
      <c r="A202" s="120" t="str">
        <f>A201+1</f>
        <v>2025-05-02 00:00:00</v>
      </c>
      <c r="B202" s="121">
        <f>SUMIFS('Daily Writing Log'!$H$5:$H$34,'Daily Writing Log'!$A$5:$A$34,$A202)</f>
        <v>0</v>
      </c>
      <c r="C202" s="121">
        <f>SUMIFS('Daily Writing Log'!$I$5:$I$34,'Daily Writing Log'!$A$5:$A$34,$A202)</f>
        <v>0</v>
      </c>
      <c r="D202" s="122">
        <f>IF($C202&gt;=Config!$B$5,1,0)</f>
        <v>0</v>
      </c>
      <c r="E202" s="122">
        <f>IF(MONTH($A202)&lt;&gt;MONTH($A201),0,$G201)</f>
        <v>0</v>
      </c>
      <c r="F202" s="122">
        <f>IF(AND($D202=0,$H201&gt;0,$E202&lt;Config!$B$8,$A202&lt;Config!$A$2),1,0)</f>
        <v>0</v>
      </c>
      <c r="G202" s="122">
        <f>$E202+$F202</f>
        <v>0</v>
      </c>
      <c r="H202" s="122">
        <f>IF($D202=1,$H201+1,IF($F202=1,$H201,IF($A202=Config!$A$2,$H201,0)))</f>
        <v>0</v>
      </c>
      <c r="M202" s="123" t="n"/>
    </row>
    <row r="203">
      <c r="A203" s="120" t="str">
        <f>A202+1</f>
        <v>2025-05-03 00:00:00</v>
      </c>
      <c r="B203" s="121">
        <f>SUMIFS('Daily Writing Log'!$H$5:$H$34,'Daily Writing Log'!$A$5:$A$34,$A203)</f>
        <v>0</v>
      </c>
      <c r="C203" s="121">
        <f>SUMIFS('Daily Writing Log'!$I$5:$I$34,'Daily Writing Log'!$A$5:$A$34,$A203)</f>
        <v>0</v>
      </c>
      <c r="D203" s="122">
        <f>IF($C203&gt;=Config!$B$5,1,0)</f>
        <v>0</v>
      </c>
      <c r="E203" s="122">
        <f>IF(MONTH($A203)&lt;&gt;MONTH($A202),0,$G202)</f>
        <v>0</v>
      </c>
      <c r="F203" s="122">
        <f>IF(AND($D203=0,$H202&gt;0,$E203&lt;Config!$B$8,$A203&lt;Config!$A$2),1,0)</f>
        <v>0</v>
      </c>
      <c r="G203" s="122">
        <f>$E203+$F203</f>
        <v>0</v>
      </c>
      <c r="H203" s="122">
        <f>IF($D203=1,$H202+1,IF($F203=1,$H202,IF($A203=Config!$A$2,$H202,0)))</f>
        <v>0</v>
      </c>
      <c r="M203" s="123" t="n"/>
    </row>
    <row r="204">
      <c r="A204" s="120" t="str">
        <f>A203+1</f>
        <v>2025-05-04 00:00:00</v>
      </c>
      <c r="B204" s="121">
        <f>SUMIFS('Daily Writing Log'!$H$5:$H$34,'Daily Writing Log'!$A$5:$A$34,$A204)</f>
        <v>0</v>
      </c>
      <c r="C204" s="121">
        <f>SUMIFS('Daily Writing Log'!$I$5:$I$34,'Daily Writing Log'!$A$5:$A$34,$A204)</f>
        <v>0</v>
      </c>
      <c r="D204" s="122">
        <f>IF($C204&gt;=Config!$B$5,1,0)</f>
        <v>0</v>
      </c>
      <c r="E204" s="122">
        <f>IF(MONTH($A204)&lt;&gt;MONTH($A203),0,$G203)</f>
        <v>0</v>
      </c>
      <c r="F204" s="122">
        <f>IF(AND($D204=0,$H203&gt;0,$E204&lt;Config!$B$8,$A204&lt;Config!$A$2),1,0)</f>
        <v>0</v>
      </c>
      <c r="G204" s="122">
        <f>$E204+$F204</f>
        <v>0</v>
      </c>
      <c r="H204" s="122">
        <f>IF($D204=1,$H203+1,IF($F204=1,$H203,IF($A204=Config!$A$2,$H203,0)))</f>
        <v>0</v>
      </c>
      <c r="M204" s="123" t="n"/>
    </row>
    <row r="205">
      <c r="A205" s="120" t="str">
        <f>A204+1</f>
        <v>2025-05-05 00:00:00</v>
      </c>
      <c r="B205" s="121">
        <f>SUMIFS('Daily Writing Log'!$H$5:$H$34,'Daily Writing Log'!$A$5:$A$34,$A205)</f>
        <v>0</v>
      </c>
      <c r="C205" s="121">
        <f>SUMIFS('Daily Writing Log'!$I$5:$I$34,'Daily Writing Log'!$A$5:$A$34,$A205)</f>
        <v>0</v>
      </c>
      <c r="D205" s="122">
        <f>IF($C205&gt;=Config!$B$5,1,0)</f>
        <v>0</v>
      </c>
      <c r="E205" s="122">
        <f>IF(MONTH($A205)&lt;&gt;MONTH($A204),0,$G204)</f>
        <v>0</v>
      </c>
      <c r="F205" s="122">
        <f>IF(AND($D205=0,$H204&gt;0,$E205&lt;Config!$B$8,$A205&lt;Config!$A$2),1,0)</f>
        <v>0</v>
      </c>
      <c r="G205" s="122">
        <f>$E205+$F205</f>
        <v>0</v>
      </c>
      <c r="H205" s="122">
        <f>IF($D205=1,$H204+1,IF($F205=1,$H204,IF($A205=Config!$A$2,$H204,0)))</f>
        <v>0</v>
      </c>
      <c r="M205" s="123" t="n"/>
    </row>
    <row r="206">
      <c r="A206" s="120" t="str">
        <f>A205+1</f>
        <v>2025-05-06 00:00:00</v>
      </c>
      <c r="B206" s="121">
        <f>SUMIFS('Daily Writing Log'!$H$5:$H$34,'Daily Writing Log'!$A$5:$A$34,$A206)</f>
        <v>0</v>
      </c>
      <c r="C206" s="121">
        <f>SUMIFS('Daily Writing Log'!$I$5:$I$34,'Daily Writing Log'!$A$5:$A$34,$A206)</f>
        <v>0</v>
      </c>
      <c r="D206" s="122">
        <f>IF($C206&gt;=Config!$B$5,1,0)</f>
        <v>0</v>
      </c>
      <c r="E206" s="122">
        <f>IF(MONTH($A206)&lt;&gt;MONTH($A205),0,$G205)</f>
        <v>0</v>
      </c>
      <c r="F206" s="122">
        <f>IF(AND($D206=0,$H205&gt;0,$E206&lt;Config!$B$8,$A206&lt;Config!$A$2),1,0)</f>
        <v>0</v>
      </c>
      <c r="G206" s="122">
        <f>$E206+$F206</f>
        <v>0</v>
      </c>
      <c r="H206" s="122">
        <f>IF($D206=1,$H205+1,IF($F206=1,$H205,IF($A206=Config!$A$2,$H205,0)))</f>
        <v>0</v>
      </c>
      <c r="M206" s="123" t="n"/>
    </row>
    <row r="207">
      <c r="A207" s="120" t="str">
        <f>A206+1</f>
        <v>2025-05-07 00:00:00</v>
      </c>
      <c r="B207" s="121">
        <f>SUMIFS('Daily Writing Log'!$H$5:$H$34,'Daily Writing Log'!$A$5:$A$34,$A207)</f>
        <v>0</v>
      </c>
      <c r="C207" s="121">
        <f>SUMIFS('Daily Writing Log'!$I$5:$I$34,'Daily Writing Log'!$A$5:$A$34,$A207)</f>
        <v>0</v>
      </c>
      <c r="D207" s="122">
        <f>IF($C207&gt;=Config!$B$5,1,0)</f>
        <v>0</v>
      </c>
      <c r="E207" s="122">
        <f>IF(MONTH($A207)&lt;&gt;MONTH($A206),0,$G206)</f>
        <v>0</v>
      </c>
      <c r="F207" s="122">
        <f>IF(AND($D207=0,$H206&gt;0,$E207&lt;Config!$B$8,$A207&lt;Config!$A$2),1,0)</f>
        <v>0</v>
      </c>
      <c r="G207" s="122">
        <f>$E207+$F207</f>
        <v>0</v>
      </c>
      <c r="H207" s="122">
        <f>IF($D207=1,$H206+1,IF($F207=1,$H206,IF($A207=Config!$A$2,$H206,0)))</f>
        <v>0</v>
      </c>
      <c r="M207" s="123" t="n"/>
    </row>
    <row r="208">
      <c r="A208" s="120" t="str">
        <f>A207+1</f>
        <v>2025-05-08 00:00:00</v>
      </c>
      <c r="B208" s="121">
        <f>SUMIFS('Daily Writing Log'!$H$5:$H$34,'Daily Writing Log'!$A$5:$A$34,$A208)</f>
        <v>0</v>
      </c>
      <c r="C208" s="121">
        <f>SUMIFS('Daily Writing Log'!$I$5:$I$34,'Daily Writing Log'!$A$5:$A$34,$A208)</f>
        <v>0</v>
      </c>
      <c r="D208" s="122">
        <f>IF($C208&gt;=Config!$B$5,1,0)</f>
        <v>0</v>
      </c>
      <c r="E208" s="122">
        <f>IF(MONTH($A208)&lt;&gt;MONTH($A207),0,$G207)</f>
        <v>0</v>
      </c>
      <c r="F208" s="122">
        <f>IF(AND($D208=0,$H207&gt;0,$E208&lt;Config!$B$8,$A208&lt;Config!$A$2),1,0)</f>
        <v>0</v>
      </c>
      <c r="G208" s="122">
        <f>$E208+$F208</f>
        <v>0</v>
      </c>
      <c r="H208" s="122">
        <f>IF($D208=1,$H207+1,IF($F208=1,$H207,IF($A208=Config!$A$2,$H207,0)))</f>
        <v>0</v>
      </c>
      <c r="M208" s="123" t="n"/>
    </row>
    <row r="209">
      <c r="A209" s="120" t="str">
        <f>A208+1</f>
        <v>2025-05-09 00:00:00</v>
      </c>
      <c r="B209" s="121">
        <f>SUMIFS('Daily Writing Log'!$H$5:$H$34,'Daily Writing Log'!$A$5:$A$34,$A209)</f>
        <v>0</v>
      </c>
      <c r="C209" s="121">
        <f>SUMIFS('Daily Writing Log'!$I$5:$I$34,'Daily Writing Log'!$A$5:$A$34,$A209)</f>
        <v>0</v>
      </c>
      <c r="D209" s="122">
        <f>IF($C209&gt;=Config!$B$5,1,0)</f>
        <v>0</v>
      </c>
      <c r="E209" s="122">
        <f>IF(MONTH($A209)&lt;&gt;MONTH($A208),0,$G208)</f>
        <v>0</v>
      </c>
      <c r="F209" s="122">
        <f>IF(AND($D209=0,$H208&gt;0,$E209&lt;Config!$B$8,$A209&lt;Config!$A$2),1,0)</f>
        <v>0</v>
      </c>
      <c r="G209" s="122">
        <f>$E209+$F209</f>
        <v>0</v>
      </c>
      <c r="H209" s="122">
        <f>IF($D209=1,$H208+1,IF($F209=1,$H208,IF($A209=Config!$A$2,$H208,0)))</f>
        <v>0</v>
      </c>
      <c r="M209" s="123" t="n"/>
    </row>
    <row r="210">
      <c r="A210" s="120" t="str">
        <f>A209+1</f>
        <v>2025-05-10 00:00:00</v>
      </c>
      <c r="B210" s="121">
        <f>SUMIFS('Daily Writing Log'!$H$5:$H$34,'Daily Writing Log'!$A$5:$A$34,$A210)</f>
        <v>0</v>
      </c>
      <c r="C210" s="121">
        <f>SUMIFS('Daily Writing Log'!$I$5:$I$34,'Daily Writing Log'!$A$5:$A$34,$A210)</f>
        <v>0</v>
      </c>
      <c r="D210" s="122">
        <f>IF($C210&gt;=Config!$B$5,1,0)</f>
        <v>0</v>
      </c>
      <c r="E210" s="122">
        <f>IF(MONTH($A210)&lt;&gt;MONTH($A209),0,$G209)</f>
        <v>0</v>
      </c>
      <c r="F210" s="122">
        <f>IF(AND($D210=0,$H209&gt;0,$E210&lt;Config!$B$8,$A210&lt;Config!$A$2),1,0)</f>
        <v>0</v>
      </c>
      <c r="G210" s="122">
        <f>$E210+$F210</f>
        <v>0</v>
      </c>
      <c r="H210" s="122">
        <f>IF($D210=1,$H209+1,IF($F210=1,$H209,IF($A210=Config!$A$2,$H209,0)))</f>
        <v>0</v>
      </c>
      <c r="M210" s="123" t="n"/>
    </row>
    <row r="211">
      <c r="A211" s="120" t="str">
        <f>A210+1</f>
        <v>2025-05-11 00:00:00</v>
      </c>
      <c r="B211" s="121">
        <f>SUMIFS('Daily Writing Log'!$H$5:$H$34,'Daily Writing Log'!$A$5:$A$34,$A211)</f>
        <v>0</v>
      </c>
      <c r="C211" s="121">
        <f>SUMIFS('Daily Writing Log'!$I$5:$I$34,'Daily Writing Log'!$A$5:$A$34,$A211)</f>
        <v>0</v>
      </c>
      <c r="D211" s="122">
        <f>IF($C211&gt;=Config!$B$5,1,0)</f>
        <v>0</v>
      </c>
      <c r="E211" s="122">
        <f>IF(MONTH($A211)&lt;&gt;MONTH($A210),0,$G210)</f>
        <v>0</v>
      </c>
      <c r="F211" s="122">
        <f>IF(AND($D211=0,$H210&gt;0,$E211&lt;Config!$B$8,$A211&lt;Config!$A$2),1,0)</f>
        <v>0</v>
      </c>
      <c r="G211" s="122">
        <f>$E211+$F211</f>
        <v>0</v>
      </c>
      <c r="H211" s="122">
        <f>IF($D211=1,$H210+1,IF($F211=1,$H210,IF($A211=Config!$A$2,$H210,0)))</f>
        <v>0</v>
      </c>
      <c r="M211" s="123" t="n"/>
    </row>
    <row r="212">
      <c r="A212" s="120" t="str">
        <f>A211+1</f>
        <v>2025-05-12 00:00:00</v>
      </c>
      <c r="B212" s="121">
        <f>SUMIFS('Daily Writing Log'!$H$5:$H$34,'Daily Writing Log'!$A$5:$A$34,$A212)</f>
        <v>0</v>
      </c>
      <c r="C212" s="121">
        <f>SUMIFS('Daily Writing Log'!$I$5:$I$34,'Daily Writing Log'!$A$5:$A$34,$A212)</f>
        <v>0</v>
      </c>
      <c r="D212" s="122">
        <f>IF($C212&gt;=Config!$B$5,1,0)</f>
        <v>0</v>
      </c>
      <c r="E212" s="122">
        <f>IF(MONTH($A212)&lt;&gt;MONTH($A211),0,$G211)</f>
        <v>0</v>
      </c>
      <c r="F212" s="122">
        <f>IF(AND($D212=0,$H211&gt;0,$E212&lt;Config!$B$8,$A212&lt;Config!$A$2),1,0)</f>
        <v>0</v>
      </c>
      <c r="G212" s="122">
        <f>$E212+$F212</f>
        <v>0</v>
      </c>
      <c r="H212" s="122">
        <f>IF($D212=1,$H211+1,IF($F212=1,$H211,IF($A212=Config!$A$2,$H211,0)))</f>
        <v>0</v>
      </c>
      <c r="M212" s="123" t="n"/>
    </row>
    <row r="213">
      <c r="A213" s="120" t="str">
        <f>A212+1</f>
        <v>2025-05-13 00:00:00</v>
      </c>
      <c r="B213" s="121">
        <f>SUMIFS('Daily Writing Log'!$H$5:$H$34,'Daily Writing Log'!$A$5:$A$34,$A213)</f>
        <v>0</v>
      </c>
      <c r="C213" s="121">
        <f>SUMIFS('Daily Writing Log'!$I$5:$I$34,'Daily Writing Log'!$A$5:$A$34,$A213)</f>
        <v>0</v>
      </c>
      <c r="D213" s="122">
        <f>IF($C213&gt;=Config!$B$5,1,0)</f>
        <v>0</v>
      </c>
      <c r="E213" s="122">
        <f>IF(MONTH($A213)&lt;&gt;MONTH($A212),0,$G212)</f>
        <v>0</v>
      </c>
      <c r="F213" s="122">
        <f>IF(AND($D213=0,$H212&gt;0,$E213&lt;Config!$B$8,$A213&lt;Config!$A$2),1,0)</f>
        <v>0</v>
      </c>
      <c r="G213" s="122">
        <f>$E213+$F213</f>
        <v>0</v>
      </c>
      <c r="H213" s="122">
        <f>IF($D213=1,$H212+1,IF($F213=1,$H212,IF($A213=Config!$A$2,$H212,0)))</f>
        <v>0</v>
      </c>
      <c r="M213" s="123" t="n"/>
    </row>
    <row r="214">
      <c r="A214" s="120" t="str">
        <f>A213+1</f>
        <v>2025-05-14 00:00:00</v>
      </c>
      <c r="B214" s="121">
        <f>SUMIFS('Daily Writing Log'!$H$5:$H$34,'Daily Writing Log'!$A$5:$A$34,$A214)</f>
        <v>0</v>
      </c>
      <c r="C214" s="121">
        <f>SUMIFS('Daily Writing Log'!$I$5:$I$34,'Daily Writing Log'!$A$5:$A$34,$A214)</f>
        <v>0</v>
      </c>
      <c r="D214" s="122">
        <f>IF($C214&gt;=Config!$B$5,1,0)</f>
        <v>0</v>
      </c>
      <c r="E214" s="122">
        <f>IF(MONTH($A214)&lt;&gt;MONTH($A213),0,$G213)</f>
        <v>0</v>
      </c>
      <c r="F214" s="122">
        <f>IF(AND($D214=0,$H213&gt;0,$E214&lt;Config!$B$8,$A214&lt;Config!$A$2),1,0)</f>
        <v>0</v>
      </c>
      <c r="G214" s="122">
        <f>$E214+$F214</f>
        <v>0</v>
      </c>
      <c r="H214" s="122">
        <f>IF($D214=1,$H213+1,IF($F214=1,$H213,IF($A214=Config!$A$2,$H213,0)))</f>
        <v>0</v>
      </c>
      <c r="M214" s="123" t="n"/>
    </row>
    <row r="215">
      <c r="A215" s="120" t="str">
        <f>A214+1</f>
        <v>2025-05-15 00:00:00</v>
      </c>
      <c r="B215" s="121">
        <f>SUMIFS('Daily Writing Log'!$H$5:$H$34,'Daily Writing Log'!$A$5:$A$34,$A215)</f>
        <v>0</v>
      </c>
      <c r="C215" s="121">
        <f>SUMIFS('Daily Writing Log'!$I$5:$I$34,'Daily Writing Log'!$A$5:$A$34,$A215)</f>
        <v>0</v>
      </c>
      <c r="D215" s="122">
        <f>IF($C215&gt;=Config!$B$5,1,0)</f>
        <v>0</v>
      </c>
      <c r="E215" s="122">
        <f>IF(MONTH($A215)&lt;&gt;MONTH($A214),0,$G214)</f>
        <v>0</v>
      </c>
      <c r="F215" s="122">
        <f>IF(AND($D215=0,$H214&gt;0,$E215&lt;Config!$B$8,$A215&lt;Config!$A$2),1,0)</f>
        <v>0</v>
      </c>
      <c r="G215" s="122">
        <f>$E215+$F215</f>
        <v>0</v>
      </c>
      <c r="H215" s="122">
        <f>IF($D215=1,$H214+1,IF($F215=1,$H214,IF($A215=Config!$A$2,$H214,0)))</f>
        <v>0</v>
      </c>
      <c r="M215" s="123" t="n"/>
    </row>
    <row r="216">
      <c r="A216" s="120" t="str">
        <f>A215+1</f>
        <v>2025-05-16 00:00:00</v>
      </c>
      <c r="B216" s="121">
        <f>SUMIFS('Daily Writing Log'!$H$5:$H$34,'Daily Writing Log'!$A$5:$A$34,$A216)</f>
        <v>0</v>
      </c>
      <c r="C216" s="121">
        <f>SUMIFS('Daily Writing Log'!$I$5:$I$34,'Daily Writing Log'!$A$5:$A$34,$A216)</f>
        <v>0</v>
      </c>
      <c r="D216" s="122">
        <f>IF($C216&gt;=Config!$B$5,1,0)</f>
        <v>0</v>
      </c>
      <c r="E216" s="122">
        <f>IF(MONTH($A216)&lt;&gt;MONTH($A215),0,$G215)</f>
        <v>0</v>
      </c>
      <c r="F216" s="122">
        <f>IF(AND($D216=0,$H215&gt;0,$E216&lt;Config!$B$8,$A216&lt;Config!$A$2),1,0)</f>
        <v>0</v>
      </c>
      <c r="G216" s="122">
        <f>$E216+$F216</f>
        <v>0</v>
      </c>
      <c r="H216" s="122">
        <f>IF($D216=1,$H215+1,IF($F216=1,$H215,IF($A216=Config!$A$2,$H215,0)))</f>
        <v>0</v>
      </c>
      <c r="M216" s="123" t="n"/>
    </row>
    <row r="217">
      <c r="A217" s="120" t="str">
        <f>A216+1</f>
        <v>2025-05-17 00:00:00</v>
      </c>
      <c r="B217" s="121">
        <f>SUMIFS('Daily Writing Log'!$H$5:$H$34,'Daily Writing Log'!$A$5:$A$34,$A217)</f>
        <v>0</v>
      </c>
      <c r="C217" s="121">
        <f>SUMIFS('Daily Writing Log'!$I$5:$I$34,'Daily Writing Log'!$A$5:$A$34,$A217)</f>
        <v>0</v>
      </c>
      <c r="D217" s="122">
        <f>IF($C217&gt;=Config!$B$5,1,0)</f>
        <v>0</v>
      </c>
      <c r="E217" s="122">
        <f>IF(MONTH($A217)&lt;&gt;MONTH($A216),0,$G216)</f>
        <v>0</v>
      </c>
      <c r="F217" s="122">
        <f>IF(AND($D217=0,$H216&gt;0,$E217&lt;Config!$B$8,$A217&lt;Config!$A$2),1,0)</f>
        <v>0</v>
      </c>
      <c r="G217" s="122">
        <f>$E217+$F217</f>
        <v>0</v>
      </c>
      <c r="H217" s="122">
        <f>IF($D217=1,$H216+1,IF($F217=1,$H216,IF($A217=Config!$A$2,$H216,0)))</f>
        <v>0</v>
      </c>
      <c r="M217" s="123" t="n"/>
    </row>
    <row r="218">
      <c r="A218" s="120" t="str">
        <f>A217+1</f>
        <v>2025-05-18 00:00:00</v>
      </c>
      <c r="B218" s="121">
        <f>SUMIFS('Daily Writing Log'!$H$5:$H$34,'Daily Writing Log'!$A$5:$A$34,$A218)</f>
        <v>0</v>
      </c>
      <c r="C218" s="121">
        <f>SUMIFS('Daily Writing Log'!$I$5:$I$34,'Daily Writing Log'!$A$5:$A$34,$A218)</f>
        <v>0</v>
      </c>
      <c r="D218" s="122">
        <f>IF($C218&gt;=Config!$B$5,1,0)</f>
        <v>0</v>
      </c>
      <c r="E218" s="122">
        <f>IF(MONTH($A218)&lt;&gt;MONTH($A217),0,$G217)</f>
        <v>0</v>
      </c>
      <c r="F218" s="122">
        <f>IF(AND($D218=0,$H217&gt;0,$E218&lt;Config!$B$8,$A218&lt;Config!$A$2),1,0)</f>
        <v>0</v>
      </c>
      <c r="G218" s="122">
        <f>$E218+$F218</f>
        <v>0</v>
      </c>
      <c r="H218" s="122">
        <f>IF($D218=1,$H217+1,IF($F218=1,$H217,IF($A218=Config!$A$2,$H217,0)))</f>
        <v>0</v>
      </c>
      <c r="M218" s="123" t="n"/>
    </row>
    <row r="219">
      <c r="A219" s="120" t="str">
        <f>A218+1</f>
        <v>2025-05-19 00:00:00</v>
      </c>
      <c r="B219" s="121">
        <f>SUMIFS('Daily Writing Log'!$H$5:$H$34,'Daily Writing Log'!$A$5:$A$34,$A219)</f>
        <v>0</v>
      </c>
      <c r="C219" s="121">
        <f>SUMIFS('Daily Writing Log'!$I$5:$I$34,'Daily Writing Log'!$A$5:$A$34,$A219)</f>
        <v>0</v>
      </c>
      <c r="D219" s="122">
        <f>IF($C219&gt;=Config!$B$5,1,0)</f>
        <v>0</v>
      </c>
      <c r="E219" s="122">
        <f>IF(MONTH($A219)&lt;&gt;MONTH($A218),0,$G218)</f>
        <v>0</v>
      </c>
      <c r="F219" s="122">
        <f>IF(AND($D219=0,$H218&gt;0,$E219&lt;Config!$B$8,$A219&lt;Config!$A$2),1,0)</f>
        <v>0</v>
      </c>
      <c r="G219" s="122">
        <f>$E219+$F219</f>
        <v>0</v>
      </c>
      <c r="H219" s="122">
        <f>IF($D219=1,$H218+1,IF($F219=1,$H218,IF($A219=Config!$A$2,$H218,0)))</f>
        <v>0</v>
      </c>
      <c r="M219" s="123" t="n"/>
    </row>
    <row r="220">
      <c r="A220" s="120" t="str">
        <f>A219+1</f>
        <v>2025-05-20 00:00:00</v>
      </c>
      <c r="B220" s="121">
        <f>SUMIFS('Daily Writing Log'!$H$5:$H$34,'Daily Writing Log'!$A$5:$A$34,$A220)</f>
        <v>0</v>
      </c>
      <c r="C220" s="121">
        <f>SUMIFS('Daily Writing Log'!$I$5:$I$34,'Daily Writing Log'!$A$5:$A$34,$A220)</f>
        <v>0</v>
      </c>
      <c r="D220" s="122">
        <f>IF($C220&gt;=Config!$B$5,1,0)</f>
        <v>0</v>
      </c>
      <c r="E220" s="122">
        <f>IF(MONTH($A220)&lt;&gt;MONTH($A219),0,$G219)</f>
        <v>0</v>
      </c>
      <c r="F220" s="122">
        <f>IF(AND($D220=0,$H219&gt;0,$E220&lt;Config!$B$8,$A220&lt;Config!$A$2),1,0)</f>
        <v>0</v>
      </c>
      <c r="G220" s="122">
        <f>$E220+$F220</f>
        <v>0</v>
      </c>
      <c r="H220" s="122">
        <f>IF($D220=1,$H219+1,IF($F220=1,$H219,IF($A220=Config!$A$2,$H219,0)))</f>
        <v>0</v>
      </c>
      <c r="M220" s="123" t="n"/>
    </row>
    <row r="221">
      <c r="A221" s="120" t="str">
        <f>A220+1</f>
        <v>2025-05-21 00:00:00</v>
      </c>
      <c r="B221" s="121">
        <f>SUMIFS('Daily Writing Log'!$H$5:$H$34,'Daily Writing Log'!$A$5:$A$34,$A221)</f>
        <v>0</v>
      </c>
      <c r="C221" s="121">
        <f>SUMIFS('Daily Writing Log'!$I$5:$I$34,'Daily Writing Log'!$A$5:$A$34,$A221)</f>
        <v>0</v>
      </c>
      <c r="D221" s="122">
        <f>IF($C221&gt;=Config!$B$5,1,0)</f>
        <v>0</v>
      </c>
      <c r="E221" s="122">
        <f>IF(MONTH($A221)&lt;&gt;MONTH($A220),0,$G220)</f>
        <v>0</v>
      </c>
      <c r="F221" s="122">
        <f>IF(AND($D221=0,$H220&gt;0,$E221&lt;Config!$B$8,$A221&lt;Config!$A$2),1,0)</f>
        <v>0</v>
      </c>
      <c r="G221" s="122">
        <f>$E221+$F221</f>
        <v>0</v>
      </c>
      <c r="H221" s="122">
        <f>IF($D221=1,$H220+1,IF($F221=1,$H220,IF($A221=Config!$A$2,$H220,0)))</f>
        <v>0</v>
      </c>
      <c r="M221" s="123" t="n"/>
    </row>
    <row r="222">
      <c r="A222" s="120" t="str">
        <f>A221+1</f>
        <v>2025-05-22 00:00:00</v>
      </c>
      <c r="B222" s="121">
        <f>SUMIFS('Daily Writing Log'!$H$5:$H$34,'Daily Writing Log'!$A$5:$A$34,$A222)</f>
        <v>0</v>
      </c>
      <c r="C222" s="121">
        <f>SUMIFS('Daily Writing Log'!$I$5:$I$34,'Daily Writing Log'!$A$5:$A$34,$A222)</f>
        <v>0</v>
      </c>
      <c r="D222" s="122">
        <f>IF($C222&gt;=Config!$B$5,1,0)</f>
        <v>0</v>
      </c>
      <c r="E222" s="122">
        <f>IF(MONTH($A222)&lt;&gt;MONTH($A221),0,$G221)</f>
        <v>0</v>
      </c>
      <c r="F222" s="122">
        <f>IF(AND($D222=0,$H221&gt;0,$E222&lt;Config!$B$8,$A222&lt;Config!$A$2),1,0)</f>
        <v>0</v>
      </c>
      <c r="G222" s="122">
        <f>$E222+$F222</f>
        <v>0</v>
      </c>
      <c r="H222" s="122">
        <f>IF($D222=1,$H221+1,IF($F222=1,$H221,IF($A222=Config!$A$2,$H221,0)))</f>
        <v>0</v>
      </c>
      <c r="M222" s="123" t="n"/>
    </row>
    <row r="223">
      <c r="A223" s="120" t="str">
        <f>A222+1</f>
        <v>2025-05-23 00:00:00</v>
      </c>
      <c r="B223" s="121">
        <f>SUMIFS('Daily Writing Log'!$H$5:$H$34,'Daily Writing Log'!$A$5:$A$34,$A223)</f>
        <v>0</v>
      </c>
      <c r="C223" s="121">
        <f>SUMIFS('Daily Writing Log'!$I$5:$I$34,'Daily Writing Log'!$A$5:$A$34,$A223)</f>
        <v>0</v>
      </c>
      <c r="D223" s="122">
        <f>IF($C223&gt;=Config!$B$5,1,0)</f>
        <v>0</v>
      </c>
      <c r="E223" s="122">
        <f>IF(MONTH($A223)&lt;&gt;MONTH($A222),0,$G222)</f>
        <v>0</v>
      </c>
      <c r="F223" s="122">
        <f>IF(AND($D223=0,$H222&gt;0,$E223&lt;Config!$B$8,$A223&lt;Config!$A$2),1,0)</f>
        <v>0</v>
      </c>
      <c r="G223" s="122">
        <f>$E223+$F223</f>
        <v>0</v>
      </c>
      <c r="H223" s="122">
        <f>IF($D223=1,$H222+1,IF($F223=1,$H222,IF($A223=Config!$A$2,$H222,0)))</f>
        <v>0</v>
      </c>
      <c r="M223" s="123" t="n"/>
    </row>
    <row r="224">
      <c r="A224" s="120" t="str">
        <f>A223+1</f>
        <v>2025-05-24 00:00:00</v>
      </c>
      <c r="B224" s="121">
        <f>SUMIFS('Daily Writing Log'!$H$5:$H$34,'Daily Writing Log'!$A$5:$A$34,$A224)</f>
        <v>0</v>
      </c>
      <c r="C224" s="121">
        <f>SUMIFS('Daily Writing Log'!$I$5:$I$34,'Daily Writing Log'!$A$5:$A$34,$A224)</f>
        <v>0</v>
      </c>
      <c r="D224" s="122">
        <f>IF($C224&gt;=Config!$B$5,1,0)</f>
        <v>0</v>
      </c>
      <c r="E224" s="122">
        <f>IF(MONTH($A224)&lt;&gt;MONTH($A223),0,$G223)</f>
        <v>0</v>
      </c>
      <c r="F224" s="122">
        <f>IF(AND($D224=0,$H223&gt;0,$E224&lt;Config!$B$8,$A224&lt;Config!$A$2),1,0)</f>
        <v>0</v>
      </c>
      <c r="G224" s="122">
        <f>$E224+$F224</f>
        <v>0</v>
      </c>
      <c r="H224" s="122">
        <f>IF($D224=1,$H223+1,IF($F224=1,$H223,IF($A224=Config!$A$2,$H223,0)))</f>
        <v>0</v>
      </c>
      <c r="M224" s="123" t="n"/>
    </row>
    <row r="225">
      <c r="A225" s="120" t="str">
        <f>A224+1</f>
        <v>2025-05-25 00:00:00</v>
      </c>
      <c r="B225" s="121">
        <f>SUMIFS('Daily Writing Log'!$H$5:$H$34,'Daily Writing Log'!$A$5:$A$34,$A225)</f>
        <v>0</v>
      </c>
      <c r="C225" s="121">
        <f>SUMIFS('Daily Writing Log'!$I$5:$I$34,'Daily Writing Log'!$A$5:$A$34,$A225)</f>
        <v>0</v>
      </c>
      <c r="D225" s="122">
        <f>IF($C225&gt;=Config!$B$5,1,0)</f>
        <v>0</v>
      </c>
      <c r="E225" s="122">
        <f>IF(MONTH($A225)&lt;&gt;MONTH($A224),0,$G224)</f>
        <v>0</v>
      </c>
      <c r="F225" s="122">
        <f>IF(AND($D225=0,$H224&gt;0,$E225&lt;Config!$B$8,$A225&lt;Config!$A$2),1,0)</f>
        <v>0</v>
      </c>
      <c r="G225" s="122">
        <f>$E225+$F225</f>
        <v>0</v>
      </c>
      <c r="H225" s="122">
        <f>IF($D225=1,$H224+1,IF($F225=1,$H224,IF($A225=Config!$A$2,$H224,0)))</f>
        <v>0</v>
      </c>
      <c r="M225" s="123" t="n"/>
    </row>
    <row r="226">
      <c r="A226" s="120" t="str">
        <f>A225+1</f>
        <v>2025-05-26 00:00:00</v>
      </c>
      <c r="B226" s="121">
        <f>SUMIFS('Daily Writing Log'!$H$5:$H$34,'Daily Writing Log'!$A$5:$A$34,$A226)</f>
        <v>0</v>
      </c>
      <c r="C226" s="121">
        <f>SUMIFS('Daily Writing Log'!$I$5:$I$34,'Daily Writing Log'!$A$5:$A$34,$A226)</f>
        <v>0</v>
      </c>
      <c r="D226" s="122">
        <f>IF($C226&gt;=Config!$B$5,1,0)</f>
        <v>0</v>
      </c>
      <c r="E226" s="122">
        <f>IF(MONTH($A226)&lt;&gt;MONTH($A225),0,$G225)</f>
        <v>0</v>
      </c>
      <c r="F226" s="122">
        <f>IF(AND($D226=0,$H225&gt;0,$E226&lt;Config!$B$8,$A226&lt;Config!$A$2),1,0)</f>
        <v>0</v>
      </c>
      <c r="G226" s="122">
        <f>$E226+$F226</f>
        <v>0</v>
      </c>
      <c r="H226" s="122">
        <f>IF($D226=1,$H225+1,IF($F226=1,$H225,IF($A226=Config!$A$2,$H225,0)))</f>
        <v>0</v>
      </c>
      <c r="M226" s="123" t="n"/>
    </row>
    <row r="227">
      <c r="A227" s="120" t="str">
        <f>A226+1</f>
        <v>2025-05-27 00:00:00</v>
      </c>
      <c r="B227" s="121">
        <f>SUMIFS('Daily Writing Log'!$H$5:$H$34,'Daily Writing Log'!$A$5:$A$34,$A227)</f>
        <v>0</v>
      </c>
      <c r="C227" s="121">
        <f>SUMIFS('Daily Writing Log'!$I$5:$I$34,'Daily Writing Log'!$A$5:$A$34,$A227)</f>
        <v>0</v>
      </c>
      <c r="D227" s="122">
        <f>IF($C227&gt;=Config!$B$5,1,0)</f>
        <v>0</v>
      </c>
      <c r="E227" s="122">
        <f>IF(MONTH($A227)&lt;&gt;MONTH($A226),0,$G226)</f>
        <v>0</v>
      </c>
      <c r="F227" s="122">
        <f>IF(AND($D227=0,$H226&gt;0,$E227&lt;Config!$B$8,$A227&lt;Config!$A$2),1,0)</f>
        <v>0</v>
      </c>
      <c r="G227" s="122">
        <f>$E227+$F227</f>
        <v>0</v>
      </c>
      <c r="H227" s="122">
        <f>IF($D227=1,$H226+1,IF($F227=1,$H226,IF($A227=Config!$A$2,$H226,0)))</f>
        <v>0</v>
      </c>
      <c r="M227" s="123" t="n"/>
    </row>
    <row r="228">
      <c r="A228" s="120" t="str">
        <f>A227+1</f>
        <v>2025-05-28 00:00:00</v>
      </c>
      <c r="B228" s="121">
        <f>SUMIFS('Daily Writing Log'!$H$5:$H$34,'Daily Writing Log'!$A$5:$A$34,$A228)</f>
        <v>0</v>
      </c>
      <c r="C228" s="121">
        <f>SUMIFS('Daily Writing Log'!$I$5:$I$34,'Daily Writing Log'!$A$5:$A$34,$A228)</f>
        <v>0</v>
      </c>
      <c r="D228" s="122">
        <f>IF($C228&gt;=Config!$B$5,1,0)</f>
        <v>0</v>
      </c>
      <c r="E228" s="122">
        <f>IF(MONTH($A228)&lt;&gt;MONTH($A227),0,$G227)</f>
        <v>0</v>
      </c>
      <c r="F228" s="122">
        <f>IF(AND($D228=0,$H227&gt;0,$E228&lt;Config!$B$8,$A228&lt;Config!$A$2),1,0)</f>
        <v>0</v>
      </c>
      <c r="G228" s="122">
        <f>$E228+$F228</f>
        <v>0</v>
      </c>
      <c r="H228" s="122">
        <f>IF($D228=1,$H227+1,IF($F228=1,$H227,IF($A228=Config!$A$2,$H227,0)))</f>
        <v>0</v>
      </c>
      <c r="M228" s="123" t="n"/>
    </row>
    <row r="229">
      <c r="A229" s="120" t="str">
        <f>A228+1</f>
        <v>2025-05-29 00:00:00</v>
      </c>
      <c r="B229" s="121">
        <f>SUMIFS('Daily Writing Log'!$H$5:$H$34,'Daily Writing Log'!$A$5:$A$34,$A229)</f>
        <v>0</v>
      </c>
      <c r="C229" s="121">
        <f>SUMIFS('Daily Writing Log'!$I$5:$I$34,'Daily Writing Log'!$A$5:$A$34,$A229)</f>
        <v>0</v>
      </c>
      <c r="D229" s="122">
        <f>IF($C229&gt;=Config!$B$5,1,0)</f>
        <v>0</v>
      </c>
      <c r="E229" s="122">
        <f>IF(MONTH($A229)&lt;&gt;MONTH($A228),0,$G228)</f>
        <v>0</v>
      </c>
      <c r="F229" s="122">
        <f>IF(AND($D229=0,$H228&gt;0,$E229&lt;Config!$B$8,$A229&lt;Config!$A$2),1,0)</f>
        <v>0</v>
      </c>
      <c r="G229" s="122">
        <f>$E229+$F229</f>
        <v>0</v>
      </c>
      <c r="H229" s="122">
        <f>IF($D229=1,$H228+1,IF($F229=1,$H228,IF($A229=Config!$A$2,$H228,0)))</f>
        <v>0</v>
      </c>
      <c r="M229" s="123" t="n"/>
    </row>
    <row r="230">
      <c r="A230" s="120" t="str">
        <f>A229+1</f>
        <v>2025-05-30 00:00:00</v>
      </c>
      <c r="B230" s="121">
        <f>SUMIFS('Daily Writing Log'!$H$5:$H$34,'Daily Writing Log'!$A$5:$A$34,$A230)</f>
        <v>0</v>
      </c>
      <c r="C230" s="121">
        <f>SUMIFS('Daily Writing Log'!$I$5:$I$34,'Daily Writing Log'!$A$5:$A$34,$A230)</f>
        <v>0</v>
      </c>
      <c r="D230" s="122">
        <f>IF($C230&gt;=Config!$B$5,1,0)</f>
        <v>0</v>
      </c>
      <c r="E230" s="122">
        <f>IF(MONTH($A230)&lt;&gt;MONTH($A229),0,$G229)</f>
        <v>0</v>
      </c>
      <c r="F230" s="122">
        <f>IF(AND($D230=0,$H229&gt;0,$E230&lt;Config!$B$8,$A230&lt;Config!$A$2),1,0)</f>
        <v>0</v>
      </c>
      <c r="G230" s="122">
        <f>$E230+$F230</f>
        <v>0</v>
      </c>
      <c r="H230" s="122">
        <f>IF($D230=1,$H229+1,IF($F230=1,$H229,IF($A230=Config!$A$2,$H229,0)))</f>
        <v>0</v>
      </c>
      <c r="M230" s="123" t="n"/>
    </row>
    <row r="231">
      <c r="A231" s="120" t="str">
        <f>A230+1</f>
        <v>2025-05-31 00:00:00</v>
      </c>
      <c r="B231" s="121">
        <f>SUMIFS('Daily Writing Log'!$H$5:$H$34,'Daily Writing Log'!$A$5:$A$34,$A231)</f>
        <v>0</v>
      </c>
      <c r="C231" s="121">
        <f>SUMIFS('Daily Writing Log'!$I$5:$I$34,'Daily Writing Log'!$A$5:$A$34,$A231)</f>
        <v>0</v>
      </c>
      <c r="D231" s="122">
        <f>IF($C231&gt;=Config!$B$5,1,0)</f>
        <v>0</v>
      </c>
      <c r="E231" s="122">
        <f>IF(MONTH($A231)&lt;&gt;MONTH($A230),0,$G230)</f>
        <v>0</v>
      </c>
      <c r="F231" s="122">
        <f>IF(AND($D231=0,$H230&gt;0,$E231&lt;Config!$B$8,$A231&lt;Config!$A$2),1,0)</f>
        <v>0</v>
      </c>
      <c r="G231" s="122">
        <f>$E231+$F231</f>
        <v>0</v>
      </c>
      <c r="H231" s="122">
        <f>IF($D231=1,$H230+1,IF($F231=1,$H230,IF($A231=Config!$A$2,$H230,0)))</f>
        <v>0</v>
      </c>
      <c r="M231" s="123" t="n"/>
    </row>
    <row r="232">
      <c r="A232" s="120" t="str">
        <f>A231+1</f>
        <v>2025-06-01 00:00:00</v>
      </c>
      <c r="B232" s="121">
        <f>SUMIFS('Daily Writing Log'!$H$5:$H$34,'Daily Writing Log'!$A$5:$A$34,$A232)</f>
        <v>0</v>
      </c>
      <c r="C232" s="121">
        <f>SUMIFS('Daily Writing Log'!$I$5:$I$34,'Daily Writing Log'!$A$5:$A$34,$A232)</f>
        <v>0</v>
      </c>
      <c r="D232" s="122">
        <f>IF($C232&gt;=Config!$B$5,1,0)</f>
        <v>0</v>
      </c>
      <c r="E232" s="122">
        <f>IF(MONTH($A232)&lt;&gt;MONTH($A231),0,$G231)</f>
        <v>0</v>
      </c>
      <c r="F232" s="122">
        <f>IF(AND($D232=0,$H231&gt;0,$E232&lt;Config!$B$8,$A232&lt;Config!$A$2),1,0)</f>
        <v>0</v>
      </c>
      <c r="G232" s="122">
        <f>$E232+$F232</f>
        <v>0</v>
      </c>
      <c r="H232" s="122">
        <f>IF($D232=1,$H231+1,IF($F232=1,$H231,IF($A232=Config!$A$2,$H231,0)))</f>
        <v>0</v>
      </c>
      <c r="M232" s="123" t="n"/>
    </row>
    <row r="233">
      <c r="A233" s="120" t="str">
        <f>A232+1</f>
        <v>2025-06-02 00:00:00</v>
      </c>
      <c r="B233" s="121">
        <f>SUMIFS('Daily Writing Log'!$H$5:$H$34,'Daily Writing Log'!$A$5:$A$34,$A233)</f>
        <v>0</v>
      </c>
      <c r="C233" s="121">
        <f>SUMIFS('Daily Writing Log'!$I$5:$I$34,'Daily Writing Log'!$A$5:$A$34,$A233)</f>
        <v>0</v>
      </c>
      <c r="D233" s="122">
        <f>IF($C233&gt;=Config!$B$5,1,0)</f>
        <v>0</v>
      </c>
      <c r="E233" s="122">
        <f>IF(MONTH($A233)&lt;&gt;MONTH($A232),0,$G232)</f>
        <v>0</v>
      </c>
      <c r="F233" s="122">
        <f>IF(AND($D233=0,$H232&gt;0,$E233&lt;Config!$B$8,$A233&lt;Config!$A$2),1,0)</f>
        <v>0</v>
      </c>
      <c r="G233" s="122">
        <f>$E233+$F233</f>
        <v>0</v>
      </c>
      <c r="H233" s="122">
        <f>IF($D233=1,$H232+1,IF($F233=1,$H232,IF($A233=Config!$A$2,$H232,0)))</f>
        <v>0</v>
      </c>
      <c r="M233" s="123" t="n"/>
    </row>
    <row r="234">
      <c r="A234" s="120" t="str">
        <f>A233+1</f>
        <v>2025-06-03 00:00:00</v>
      </c>
      <c r="B234" s="121">
        <f>SUMIFS('Daily Writing Log'!$H$5:$H$34,'Daily Writing Log'!$A$5:$A$34,$A234)</f>
        <v>0</v>
      </c>
      <c r="C234" s="121">
        <f>SUMIFS('Daily Writing Log'!$I$5:$I$34,'Daily Writing Log'!$A$5:$A$34,$A234)</f>
        <v>0</v>
      </c>
      <c r="D234" s="122">
        <f>IF($C234&gt;=Config!$B$5,1,0)</f>
        <v>0</v>
      </c>
      <c r="E234" s="122">
        <f>IF(MONTH($A234)&lt;&gt;MONTH($A233),0,$G233)</f>
        <v>0</v>
      </c>
      <c r="F234" s="122">
        <f>IF(AND($D234=0,$H233&gt;0,$E234&lt;Config!$B$8,$A234&lt;Config!$A$2),1,0)</f>
        <v>0</v>
      </c>
      <c r="G234" s="122">
        <f>$E234+$F234</f>
        <v>0</v>
      </c>
      <c r="H234" s="122">
        <f>IF($D234=1,$H233+1,IF($F234=1,$H233,IF($A234=Config!$A$2,$H233,0)))</f>
        <v>0</v>
      </c>
      <c r="M234" s="123" t="n"/>
    </row>
    <row r="235">
      <c r="A235" s="120" t="str">
        <f>A234+1</f>
        <v>2025-06-04 00:00:00</v>
      </c>
      <c r="B235" s="121">
        <f>SUMIFS('Daily Writing Log'!$H$5:$H$34,'Daily Writing Log'!$A$5:$A$34,$A235)</f>
        <v>0</v>
      </c>
      <c r="C235" s="121">
        <f>SUMIFS('Daily Writing Log'!$I$5:$I$34,'Daily Writing Log'!$A$5:$A$34,$A235)</f>
        <v>0</v>
      </c>
      <c r="D235" s="122">
        <f>IF($C235&gt;=Config!$B$5,1,0)</f>
        <v>0</v>
      </c>
      <c r="E235" s="122">
        <f>IF(MONTH($A235)&lt;&gt;MONTH($A234),0,$G234)</f>
        <v>0</v>
      </c>
      <c r="F235" s="122">
        <f>IF(AND($D235=0,$H234&gt;0,$E235&lt;Config!$B$8,$A235&lt;Config!$A$2),1,0)</f>
        <v>0</v>
      </c>
      <c r="G235" s="122">
        <f>$E235+$F235</f>
        <v>0</v>
      </c>
      <c r="H235" s="122">
        <f>IF($D235=1,$H234+1,IF($F235=1,$H234,IF($A235=Config!$A$2,$H234,0)))</f>
        <v>0</v>
      </c>
      <c r="M235" s="123" t="n"/>
    </row>
    <row r="236">
      <c r="A236" s="120" t="str">
        <f>A235+1</f>
        <v>2025-06-05 00:00:00</v>
      </c>
      <c r="B236" s="121">
        <f>SUMIFS('Daily Writing Log'!$H$5:$H$34,'Daily Writing Log'!$A$5:$A$34,$A236)</f>
        <v>0</v>
      </c>
      <c r="C236" s="121">
        <f>SUMIFS('Daily Writing Log'!$I$5:$I$34,'Daily Writing Log'!$A$5:$A$34,$A236)</f>
        <v>0</v>
      </c>
      <c r="D236" s="122">
        <f>IF($C236&gt;=Config!$B$5,1,0)</f>
        <v>0</v>
      </c>
      <c r="E236" s="122">
        <f>IF(MONTH($A236)&lt;&gt;MONTH($A235),0,$G235)</f>
        <v>0</v>
      </c>
      <c r="F236" s="122">
        <f>IF(AND($D236=0,$H235&gt;0,$E236&lt;Config!$B$8,$A236&lt;Config!$A$2),1,0)</f>
        <v>0</v>
      </c>
      <c r="G236" s="122">
        <f>$E236+$F236</f>
        <v>0</v>
      </c>
      <c r="H236" s="122">
        <f>IF($D236=1,$H235+1,IF($F236=1,$H235,IF($A236=Config!$A$2,$H235,0)))</f>
        <v>0</v>
      </c>
      <c r="M236" s="123" t="n"/>
    </row>
    <row r="237">
      <c r="A237" s="120" t="str">
        <f>A236+1</f>
        <v>2025-06-06 00:00:00</v>
      </c>
      <c r="B237" s="121">
        <f>SUMIFS('Daily Writing Log'!$H$5:$H$34,'Daily Writing Log'!$A$5:$A$34,$A237)</f>
        <v>0</v>
      </c>
      <c r="C237" s="121">
        <f>SUMIFS('Daily Writing Log'!$I$5:$I$34,'Daily Writing Log'!$A$5:$A$34,$A237)</f>
        <v>0</v>
      </c>
      <c r="D237" s="122">
        <f>IF($C237&gt;=Config!$B$5,1,0)</f>
        <v>0</v>
      </c>
      <c r="E237" s="122">
        <f>IF(MONTH($A237)&lt;&gt;MONTH($A236),0,$G236)</f>
        <v>0</v>
      </c>
      <c r="F237" s="122">
        <f>IF(AND($D237=0,$H236&gt;0,$E237&lt;Config!$B$8,$A237&lt;Config!$A$2),1,0)</f>
        <v>0</v>
      </c>
      <c r="G237" s="122">
        <f>$E237+$F237</f>
        <v>0</v>
      </c>
      <c r="H237" s="122">
        <f>IF($D237=1,$H236+1,IF($F237=1,$H236,IF($A237=Config!$A$2,$H236,0)))</f>
        <v>0</v>
      </c>
      <c r="M237" s="123" t="n"/>
    </row>
    <row r="238">
      <c r="A238" s="120" t="str">
        <f>A237+1</f>
        <v>2025-06-07 00:00:00</v>
      </c>
      <c r="B238" s="121">
        <f>SUMIFS('Daily Writing Log'!$H$5:$H$34,'Daily Writing Log'!$A$5:$A$34,$A238)</f>
        <v>0</v>
      </c>
      <c r="C238" s="121">
        <f>SUMIFS('Daily Writing Log'!$I$5:$I$34,'Daily Writing Log'!$A$5:$A$34,$A238)</f>
        <v>0</v>
      </c>
      <c r="D238" s="122">
        <f>IF($C238&gt;=Config!$B$5,1,0)</f>
        <v>0</v>
      </c>
      <c r="E238" s="122">
        <f>IF(MONTH($A238)&lt;&gt;MONTH($A237),0,$G237)</f>
        <v>0</v>
      </c>
      <c r="F238" s="122">
        <f>IF(AND($D238=0,$H237&gt;0,$E238&lt;Config!$B$8,$A238&lt;Config!$A$2),1,0)</f>
        <v>0</v>
      </c>
      <c r="G238" s="122">
        <f>$E238+$F238</f>
        <v>0</v>
      </c>
      <c r="H238" s="122">
        <f>IF($D238=1,$H237+1,IF($F238=1,$H237,IF($A238=Config!$A$2,$H237,0)))</f>
        <v>0</v>
      </c>
      <c r="M238" s="123" t="n"/>
    </row>
    <row r="239">
      <c r="A239" s="120" t="str">
        <f>A238+1</f>
        <v>2025-06-08 00:00:00</v>
      </c>
      <c r="B239" s="121">
        <f>SUMIFS('Daily Writing Log'!$H$5:$H$34,'Daily Writing Log'!$A$5:$A$34,$A239)</f>
        <v>0</v>
      </c>
      <c r="C239" s="121">
        <f>SUMIFS('Daily Writing Log'!$I$5:$I$34,'Daily Writing Log'!$A$5:$A$34,$A239)</f>
        <v>0</v>
      </c>
      <c r="D239" s="122">
        <f>IF($C239&gt;=Config!$B$5,1,0)</f>
        <v>0</v>
      </c>
      <c r="E239" s="122">
        <f>IF(MONTH($A239)&lt;&gt;MONTH($A238),0,$G238)</f>
        <v>0</v>
      </c>
      <c r="F239" s="122">
        <f>IF(AND($D239=0,$H238&gt;0,$E239&lt;Config!$B$8,$A239&lt;Config!$A$2),1,0)</f>
        <v>0</v>
      </c>
      <c r="G239" s="122">
        <f>$E239+$F239</f>
        <v>0</v>
      </c>
      <c r="H239" s="122">
        <f>IF($D239=1,$H238+1,IF($F239=1,$H238,IF($A239=Config!$A$2,$H238,0)))</f>
        <v>0</v>
      </c>
      <c r="M239" s="123" t="n"/>
    </row>
    <row r="240">
      <c r="A240" s="120" t="str">
        <f>A239+1</f>
        <v>2025-06-09 00:00:00</v>
      </c>
      <c r="B240" s="121">
        <f>SUMIFS('Daily Writing Log'!$H$5:$H$34,'Daily Writing Log'!$A$5:$A$34,$A240)</f>
        <v>0</v>
      </c>
      <c r="C240" s="121">
        <f>SUMIFS('Daily Writing Log'!$I$5:$I$34,'Daily Writing Log'!$A$5:$A$34,$A240)</f>
        <v>0</v>
      </c>
      <c r="D240" s="122">
        <f>IF($C240&gt;=Config!$B$5,1,0)</f>
        <v>0</v>
      </c>
      <c r="E240" s="122">
        <f>IF(MONTH($A240)&lt;&gt;MONTH($A239),0,$G239)</f>
        <v>0</v>
      </c>
      <c r="F240" s="122">
        <f>IF(AND($D240=0,$H239&gt;0,$E240&lt;Config!$B$8,$A240&lt;Config!$A$2),1,0)</f>
        <v>0</v>
      </c>
      <c r="G240" s="122">
        <f>$E240+$F240</f>
        <v>0</v>
      </c>
      <c r="H240" s="122">
        <f>IF($D240=1,$H239+1,IF($F240=1,$H239,IF($A240=Config!$A$2,$H239,0)))</f>
        <v>0</v>
      </c>
      <c r="M240" s="123" t="n"/>
    </row>
    <row r="241">
      <c r="A241" s="120" t="str">
        <f>A240+1</f>
        <v>2025-06-10 00:00:00</v>
      </c>
      <c r="B241" s="121">
        <f>SUMIFS('Daily Writing Log'!$H$5:$H$34,'Daily Writing Log'!$A$5:$A$34,$A241)</f>
        <v>0</v>
      </c>
      <c r="C241" s="121">
        <f>SUMIFS('Daily Writing Log'!$I$5:$I$34,'Daily Writing Log'!$A$5:$A$34,$A241)</f>
        <v>0</v>
      </c>
      <c r="D241" s="122">
        <f>IF($C241&gt;=Config!$B$5,1,0)</f>
        <v>0</v>
      </c>
      <c r="E241" s="122">
        <f>IF(MONTH($A241)&lt;&gt;MONTH($A240),0,$G240)</f>
        <v>0</v>
      </c>
      <c r="F241" s="122">
        <f>IF(AND($D241=0,$H240&gt;0,$E241&lt;Config!$B$8,$A241&lt;Config!$A$2),1,0)</f>
        <v>0</v>
      </c>
      <c r="G241" s="122">
        <f>$E241+$F241</f>
        <v>0</v>
      </c>
      <c r="H241" s="122">
        <f>IF($D241=1,$H240+1,IF($F241=1,$H240,IF($A241=Config!$A$2,$H240,0)))</f>
        <v>0</v>
      </c>
      <c r="M241" s="123" t="n"/>
    </row>
    <row r="242">
      <c r="A242" s="120" t="str">
        <f>A241+1</f>
        <v>2025-06-11 00:00:00</v>
      </c>
      <c r="B242" s="121">
        <f>SUMIFS('Daily Writing Log'!$H$5:$H$34,'Daily Writing Log'!$A$5:$A$34,$A242)</f>
        <v>0</v>
      </c>
      <c r="C242" s="121">
        <f>SUMIFS('Daily Writing Log'!$I$5:$I$34,'Daily Writing Log'!$A$5:$A$34,$A242)</f>
        <v>0</v>
      </c>
      <c r="D242" s="122">
        <f>IF($C242&gt;=Config!$B$5,1,0)</f>
        <v>0</v>
      </c>
      <c r="E242" s="122">
        <f>IF(MONTH($A242)&lt;&gt;MONTH($A241),0,$G241)</f>
        <v>0</v>
      </c>
      <c r="F242" s="122">
        <f>IF(AND($D242=0,$H241&gt;0,$E242&lt;Config!$B$8,$A242&lt;Config!$A$2),1,0)</f>
        <v>0</v>
      </c>
      <c r="G242" s="122">
        <f>$E242+$F242</f>
        <v>0</v>
      </c>
      <c r="H242" s="122">
        <f>IF($D242=1,$H241+1,IF($F242=1,$H241,IF($A242=Config!$A$2,$H241,0)))</f>
        <v>0</v>
      </c>
      <c r="M242" s="123" t="n"/>
    </row>
    <row r="243">
      <c r="A243" s="120" t="str">
        <f>A242+1</f>
        <v>2025-06-12 00:00:00</v>
      </c>
      <c r="B243" s="121">
        <f>SUMIFS('Daily Writing Log'!$H$5:$H$34,'Daily Writing Log'!$A$5:$A$34,$A243)</f>
        <v>0</v>
      </c>
      <c r="C243" s="121">
        <f>SUMIFS('Daily Writing Log'!$I$5:$I$34,'Daily Writing Log'!$A$5:$A$34,$A243)</f>
        <v>0</v>
      </c>
      <c r="D243" s="122">
        <f>IF($C243&gt;=Config!$B$5,1,0)</f>
        <v>0</v>
      </c>
      <c r="E243" s="122">
        <f>IF(MONTH($A243)&lt;&gt;MONTH($A242),0,$G242)</f>
        <v>0</v>
      </c>
      <c r="F243" s="122">
        <f>IF(AND($D243=0,$H242&gt;0,$E243&lt;Config!$B$8,$A243&lt;Config!$A$2),1,0)</f>
        <v>0</v>
      </c>
      <c r="G243" s="122">
        <f>$E243+$F243</f>
        <v>0</v>
      </c>
      <c r="H243" s="122">
        <f>IF($D243=1,$H242+1,IF($F243=1,$H242,IF($A243=Config!$A$2,$H242,0)))</f>
        <v>0</v>
      </c>
      <c r="M243" s="123" t="n"/>
    </row>
    <row r="244">
      <c r="A244" s="120" t="str">
        <f>A243+1</f>
        <v>2025-06-13 00:00:00</v>
      </c>
      <c r="B244" s="121">
        <f>SUMIFS('Daily Writing Log'!$H$5:$H$34,'Daily Writing Log'!$A$5:$A$34,$A244)</f>
        <v>0</v>
      </c>
      <c r="C244" s="121">
        <f>SUMIFS('Daily Writing Log'!$I$5:$I$34,'Daily Writing Log'!$A$5:$A$34,$A244)</f>
        <v>0</v>
      </c>
      <c r="D244" s="122">
        <f>IF($C244&gt;=Config!$B$5,1,0)</f>
        <v>0</v>
      </c>
      <c r="E244" s="122">
        <f>IF(MONTH($A244)&lt;&gt;MONTH($A243),0,$G243)</f>
        <v>0</v>
      </c>
      <c r="F244" s="122">
        <f>IF(AND($D244=0,$H243&gt;0,$E244&lt;Config!$B$8,$A244&lt;Config!$A$2),1,0)</f>
        <v>0</v>
      </c>
      <c r="G244" s="122">
        <f>$E244+$F244</f>
        <v>0</v>
      </c>
      <c r="H244" s="122">
        <f>IF($D244=1,$H243+1,IF($F244=1,$H243,IF($A244=Config!$A$2,$H243,0)))</f>
        <v>0</v>
      </c>
      <c r="M244" s="123" t="n"/>
    </row>
    <row r="245">
      <c r="A245" s="120" t="str">
        <f>A244+1</f>
        <v>2025-06-14 00:00:00</v>
      </c>
      <c r="B245" s="121">
        <f>SUMIFS('Daily Writing Log'!$H$5:$H$34,'Daily Writing Log'!$A$5:$A$34,$A245)</f>
        <v>0</v>
      </c>
      <c r="C245" s="121">
        <f>SUMIFS('Daily Writing Log'!$I$5:$I$34,'Daily Writing Log'!$A$5:$A$34,$A245)</f>
        <v>0</v>
      </c>
      <c r="D245" s="122">
        <f>IF($C245&gt;=Config!$B$5,1,0)</f>
        <v>0</v>
      </c>
      <c r="E245" s="122">
        <f>IF(MONTH($A245)&lt;&gt;MONTH($A244),0,$G244)</f>
        <v>0</v>
      </c>
      <c r="F245" s="122">
        <f>IF(AND($D245=0,$H244&gt;0,$E245&lt;Config!$B$8,$A245&lt;Config!$A$2),1,0)</f>
        <v>0</v>
      </c>
      <c r="G245" s="122">
        <f>$E245+$F245</f>
        <v>0</v>
      </c>
      <c r="H245" s="122">
        <f>IF($D245=1,$H244+1,IF($F245=1,$H244,IF($A245=Config!$A$2,$H244,0)))</f>
        <v>0</v>
      </c>
      <c r="M245" s="123" t="n"/>
    </row>
    <row r="246">
      <c r="A246" s="120" t="str">
        <f>A245+1</f>
        <v>2025-06-15 00:00:00</v>
      </c>
      <c r="B246" s="121">
        <f>SUMIFS('Daily Writing Log'!$H$5:$H$34,'Daily Writing Log'!$A$5:$A$34,$A246)</f>
        <v>0</v>
      </c>
      <c r="C246" s="121">
        <f>SUMIFS('Daily Writing Log'!$I$5:$I$34,'Daily Writing Log'!$A$5:$A$34,$A246)</f>
        <v>0</v>
      </c>
      <c r="D246" s="122">
        <f>IF($C246&gt;=Config!$B$5,1,0)</f>
        <v>0</v>
      </c>
      <c r="E246" s="122">
        <f>IF(MONTH($A246)&lt;&gt;MONTH($A245),0,$G245)</f>
        <v>0</v>
      </c>
      <c r="F246" s="122">
        <f>IF(AND($D246=0,$H245&gt;0,$E246&lt;Config!$B$8,$A246&lt;Config!$A$2),1,0)</f>
        <v>0</v>
      </c>
      <c r="G246" s="122">
        <f>$E246+$F246</f>
        <v>0</v>
      </c>
      <c r="H246" s="122">
        <f>IF($D246=1,$H245+1,IF($F246=1,$H245,IF($A246=Config!$A$2,$H245,0)))</f>
        <v>0</v>
      </c>
      <c r="M246" s="123" t="n"/>
    </row>
    <row r="247">
      <c r="A247" s="120" t="str">
        <f>A246+1</f>
        <v>2025-06-16 00:00:00</v>
      </c>
      <c r="B247" s="121">
        <f>SUMIFS('Daily Writing Log'!$H$5:$H$34,'Daily Writing Log'!$A$5:$A$34,$A247)</f>
        <v>0</v>
      </c>
      <c r="C247" s="121">
        <f>SUMIFS('Daily Writing Log'!$I$5:$I$34,'Daily Writing Log'!$A$5:$A$34,$A247)</f>
        <v>0</v>
      </c>
      <c r="D247" s="122">
        <f>IF($C247&gt;=Config!$B$5,1,0)</f>
        <v>0</v>
      </c>
      <c r="E247" s="122">
        <f>IF(MONTH($A247)&lt;&gt;MONTH($A246),0,$G246)</f>
        <v>0</v>
      </c>
      <c r="F247" s="122">
        <f>IF(AND($D247=0,$H246&gt;0,$E247&lt;Config!$B$8,$A247&lt;Config!$A$2),1,0)</f>
        <v>0</v>
      </c>
      <c r="G247" s="122">
        <f>$E247+$F247</f>
        <v>0</v>
      </c>
      <c r="H247" s="122">
        <f>IF($D247=1,$H246+1,IF($F247=1,$H246,IF($A247=Config!$A$2,$H246,0)))</f>
        <v>0</v>
      </c>
      <c r="M247" s="123" t="n"/>
    </row>
    <row r="248">
      <c r="A248" s="120" t="str">
        <f>A247+1</f>
        <v>2025-06-17 00:00:00</v>
      </c>
      <c r="B248" s="121">
        <f>SUMIFS('Daily Writing Log'!$H$5:$H$34,'Daily Writing Log'!$A$5:$A$34,$A248)</f>
        <v>0</v>
      </c>
      <c r="C248" s="121">
        <f>SUMIFS('Daily Writing Log'!$I$5:$I$34,'Daily Writing Log'!$A$5:$A$34,$A248)</f>
        <v>0</v>
      </c>
      <c r="D248" s="122">
        <f>IF($C248&gt;=Config!$B$5,1,0)</f>
        <v>0</v>
      </c>
      <c r="E248" s="122">
        <f>IF(MONTH($A248)&lt;&gt;MONTH($A247),0,$G247)</f>
        <v>0</v>
      </c>
      <c r="F248" s="122">
        <f>IF(AND($D248=0,$H247&gt;0,$E248&lt;Config!$B$8,$A248&lt;Config!$A$2),1,0)</f>
        <v>0</v>
      </c>
      <c r="G248" s="122">
        <f>$E248+$F248</f>
        <v>0</v>
      </c>
      <c r="H248" s="122">
        <f>IF($D248=1,$H247+1,IF($F248=1,$H247,IF($A248=Config!$A$2,$H247,0)))</f>
        <v>0</v>
      </c>
      <c r="M248" s="123" t="n"/>
    </row>
    <row r="249">
      <c r="A249" s="120" t="str">
        <f>A248+1</f>
        <v>2025-06-18 00:00:00</v>
      </c>
      <c r="B249" s="121">
        <f>SUMIFS('Daily Writing Log'!$H$5:$H$34,'Daily Writing Log'!$A$5:$A$34,$A249)</f>
        <v>0</v>
      </c>
      <c r="C249" s="121">
        <f>SUMIFS('Daily Writing Log'!$I$5:$I$34,'Daily Writing Log'!$A$5:$A$34,$A249)</f>
        <v>0</v>
      </c>
      <c r="D249" s="122">
        <f>IF($C249&gt;=Config!$B$5,1,0)</f>
        <v>0</v>
      </c>
      <c r="E249" s="122">
        <f>IF(MONTH($A249)&lt;&gt;MONTH($A248),0,$G248)</f>
        <v>0</v>
      </c>
      <c r="F249" s="122">
        <f>IF(AND($D249=0,$H248&gt;0,$E249&lt;Config!$B$8,$A249&lt;Config!$A$2),1,0)</f>
        <v>0</v>
      </c>
      <c r="G249" s="122">
        <f>$E249+$F249</f>
        <v>0</v>
      </c>
      <c r="H249" s="122">
        <f>IF($D249=1,$H248+1,IF($F249=1,$H248,IF($A249=Config!$A$2,$H248,0)))</f>
        <v>0</v>
      </c>
      <c r="M249" s="123" t="n"/>
    </row>
    <row r="250">
      <c r="A250" s="120" t="str">
        <f>A249+1</f>
        <v>2025-06-19 00:00:00</v>
      </c>
      <c r="B250" s="121">
        <f>SUMIFS('Daily Writing Log'!$H$5:$H$34,'Daily Writing Log'!$A$5:$A$34,$A250)</f>
        <v>0</v>
      </c>
      <c r="C250" s="121">
        <f>SUMIFS('Daily Writing Log'!$I$5:$I$34,'Daily Writing Log'!$A$5:$A$34,$A250)</f>
        <v>0</v>
      </c>
      <c r="D250" s="122">
        <f>IF($C250&gt;=Config!$B$5,1,0)</f>
        <v>0</v>
      </c>
      <c r="E250" s="122">
        <f>IF(MONTH($A250)&lt;&gt;MONTH($A249),0,$G249)</f>
        <v>0</v>
      </c>
      <c r="F250" s="122">
        <f>IF(AND($D250=0,$H249&gt;0,$E250&lt;Config!$B$8,$A250&lt;Config!$A$2),1,0)</f>
        <v>0</v>
      </c>
      <c r="G250" s="122">
        <f>$E250+$F250</f>
        <v>0</v>
      </c>
      <c r="H250" s="122">
        <f>IF($D250=1,$H249+1,IF($F250=1,$H249,IF($A250=Config!$A$2,$H249,0)))</f>
        <v>0</v>
      </c>
      <c r="M250" s="123" t="n"/>
    </row>
    <row r="251">
      <c r="A251" s="120" t="str">
        <f>A250+1</f>
        <v>2025-06-20 00:00:00</v>
      </c>
      <c r="B251" s="121">
        <f>SUMIFS('Daily Writing Log'!$H$5:$H$34,'Daily Writing Log'!$A$5:$A$34,$A251)</f>
        <v>0</v>
      </c>
      <c r="C251" s="121">
        <f>SUMIFS('Daily Writing Log'!$I$5:$I$34,'Daily Writing Log'!$A$5:$A$34,$A251)</f>
        <v>0</v>
      </c>
      <c r="D251" s="122">
        <f>IF($C251&gt;=Config!$B$5,1,0)</f>
        <v>0</v>
      </c>
      <c r="E251" s="122">
        <f>IF(MONTH($A251)&lt;&gt;MONTH($A250),0,$G250)</f>
        <v>0</v>
      </c>
      <c r="F251" s="122">
        <f>IF(AND($D251=0,$H250&gt;0,$E251&lt;Config!$B$8,$A251&lt;Config!$A$2),1,0)</f>
        <v>0</v>
      </c>
      <c r="G251" s="122">
        <f>$E251+$F251</f>
        <v>0</v>
      </c>
      <c r="H251" s="122">
        <f>IF($D251=1,$H250+1,IF($F251=1,$H250,IF($A251=Config!$A$2,$H250,0)))</f>
        <v>0</v>
      </c>
      <c r="M251" s="123" t="n"/>
    </row>
    <row r="252">
      <c r="A252" s="120" t="str">
        <f>A251+1</f>
        <v>2025-06-21 00:00:00</v>
      </c>
      <c r="B252" s="121">
        <f>SUMIFS('Daily Writing Log'!$H$5:$H$34,'Daily Writing Log'!$A$5:$A$34,$A252)</f>
        <v>0</v>
      </c>
      <c r="C252" s="121">
        <f>SUMIFS('Daily Writing Log'!$I$5:$I$34,'Daily Writing Log'!$A$5:$A$34,$A252)</f>
        <v>0</v>
      </c>
      <c r="D252" s="122">
        <f>IF($C252&gt;=Config!$B$5,1,0)</f>
        <v>0</v>
      </c>
      <c r="E252" s="122">
        <f>IF(MONTH($A252)&lt;&gt;MONTH($A251),0,$G251)</f>
        <v>0</v>
      </c>
      <c r="F252" s="122">
        <f>IF(AND($D252=0,$H251&gt;0,$E252&lt;Config!$B$8,$A252&lt;Config!$A$2),1,0)</f>
        <v>0</v>
      </c>
      <c r="G252" s="122">
        <f>$E252+$F252</f>
        <v>0</v>
      </c>
      <c r="H252" s="122">
        <f>IF($D252=1,$H251+1,IF($F252=1,$H251,IF($A252=Config!$A$2,$H251,0)))</f>
        <v>0</v>
      </c>
      <c r="M252" s="123" t="n"/>
    </row>
    <row r="253">
      <c r="A253" s="120" t="str">
        <f>A252+1</f>
        <v>2025-06-22 00:00:00</v>
      </c>
      <c r="B253" s="121">
        <f>SUMIFS('Daily Writing Log'!$H$5:$H$34,'Daily Writing Log'!$A$5:$A$34,$A253)</f>
        <v>0</v>
      </c>
      <c r="C253" s="121">
        <f>SUMIFS('Daily Writing Log'!$I$5:$I$34,'Daily Writing Log'!$A$5:$A$34,$A253)</f>
        <v>0</v>
      </c>
      <c r="D253" s="122">
        <f>IF($C253&gt;=Config!$B$5,1,0)</f>
        <v>0</v>
      </c>
      <c r="E253" s="122">
        <f>IF(MONTH($A253)&lt;&gt;MONTH($A252),0,$G252)</f>
        <v>0</v>
      </c>
      <c r="F253" s="122">
        <f>IF(AND($D253=0,$H252&gt;0,$E253&lt;Config!$B$8,$A253&lt;Config!$A$2),1,0)</f>
        <v>0</v>
      </c>
      <c r="G253" s="122">
        <f>$E253+$F253</f>
        <v>0</v>
      </c>
      <c r="H253" s="122">
        <f>IF($D253=1,$H252+1,IF($F253=1,$H252,IF($A253=Config!$A$2,$H252,0)))</f>
        <v>0</v>
      </c>
      <c r="M253" s="123" t="n"/>
    </row>
    <row r="254">
      <c r="A254" s="120" t="str">
        <f>A253+1</f>
        <v>2025-06-23 00:00:00</v>
      </c>
      <c r="B254" s="121">
        <f>SUMIFS('Daily Writing Log'!$H$5:$H$34,'Daily Writing Log'!$A$5:$A$34,$A254)</f>
        <v>0</v>
      </c>
      <c r="C254" s="121">
        <f>SUMIFS('Daily Writing Log'!$I$5:$I$34,'Daily Writing Log'!$A$5:$A$34,$A254)</f>
        <v>0</v>
      </c>
      <c r="D254" s="122">
        <f>IF($C254&gt;=Config!$B$5,1,0)</f>
        <v>0</v>
      </c>
      <c r="E254" s="122">
        <f>IF(MONTH($A254)&lt;&gt;MONTH($A253),0,$G253)</f>
        <v>0</v>
      </c>
      <c r="F254" s="122">
        <f>IF(AND($D254=0,$H253&gt;0,$E254&lt;Config!$B$8,$A254&lt;Config!$A$2),1,0)</f>
        <v>0</v>
      </c>
      <c r="G254" s="122">
        <f>$E254+$F254</f>
        <v>0</v>
      </c>
      <c r="H254" s="122">
        <f>IF($D254=1,$H253+1,IF($F254=1,$H253,IF($A254=Config!$A$2,$H253,0)))</f>
        <v>0</v>
      </c>
      <c r="M254" s="123" t="n"/>
    </row>
    <row r="255">
      <c r="A255" s="120" t="str">
        <f>A254+1</f>
        <v>2025-06-24 00:00:00</v>
      </c>
      <c r="B255" s="121">
        <f>SUMIFS('Daily Writing Log'!$H$5:$H$34,'Daily Writing Log'!$A$5:$A$34,$A255)</f>
        <v>0</v>
      </c>
      <c r="C255" s="121">
        <f>SUMIFS('Daily Writing Log'!$I$5:$I$34,'Daily Writing Log'!$A$5:$A$34,$A255)</f>
        <v>0</v>
      </c>
      <c r="D255" s="122">
        <f>IF($C255&gt;=Config!$B$5,1,0)</f>
        <v>0</v>
      </c>
      <c r="E255" s="122">
        <f>IF(MONTH($A255)&lt;&gt;MONTH($A254),0,$G254)</f>
        <v>0</v>
      </c>
      <c r="F255" s="122">
        <f>IF(AND($D255=0,$H254&gt;0,$E255&lt;Config!$B$8,$A255&lt;Config!$A$2),1,0)</f>
        <v>0</v>
      </c>
      <c r="G255" s="122">
        <f>$E255+$F255</f>
        <v>0</v>
      </c>
      <c r="H255" s="122">
        <f>IF($D255=1,$H254+1,IF($F255=1,$H254,IF($A255=Config!$A$2,$H254,0)))</f>
        <v>0</v>
      </c>
      <c r="M255" s="123" t="n"/>
    </row>
    <row r="256">
      <c r="A256" s="120" t="str">
        <f>A255+1</f>
        <v>2025-06-25 00:00:00</v>
      </c>
      <c r="B256" s="121">
        <f>SUMIFS('Daily Writing Log'!$H$5:$H$34,'Daily Writing Log'!$A$5:$A$34,$A256)</f>
        <v>0</v>
      </c>
      <c r="C256" s="121">
        <f>SUMIFS('Daily Writing Log'!$I$5:$I$34,'Daily Writing Log'!$A$5:$A$34,$A256)</f>
        <v>0</v>
      </c>
      <c r="D256" s="122">
        <f>IF($C256&gt;=Config!$B$5,1,0)</f>
        <v>0</v>
      </c>
      <c r="E256" s="122">
        <f>IF(MONTH($A256)&lt;&gt;MONTH($A255),0,$G255)</f>
        <v>0</v>
      </c>
      <c r="F256" s="122">
        <f>IF(AND($D256=0,$H255&gt;0,$E256&lt;Config!$B$8,$A256&lt;Config!$A$2),1,0)</f>
        <v>0</v>
      </c>
      <c r="G256" s="122">
        <f>$E256+$F256</f>
        <v>0</v>
      </c>
      <c r="H256" s="122">
        <f>IF($D256=1,$H255+1,IF($F256=1,$H255,IF($A256=Config!$A$2,$H255,0)))</f>
        <v>0</v>
      </c>
      <c r="M256" s="123" t="n"/>
    </row>
    <row r="257">
      <c r="A257" s="120" t="str">
        <f>A256+1</f>
        <v>2025-06-26 00:00:00</v>
      </c>
      <c r="B257" s="121">
        <f>SUMIFS('Daily Writing Log'!$H$5:$H$34,'Daily Writing Log'!$A$5:$A$34,$A257)</f>
        <v>0</v>
      </c>
      <c r="C257" s="121">
        <f>SUMIFS('Daily Writing Log'!$I$5:$I$34,'Daily Writing Log'!$A$5:$A$34,$A257)</f>
        <v>0</v>
      </c>
      <c r="D257" s="122">
        <f>IF($C257&gt;=Config!$B$5,1,0)</f>
        <v>0</v>
      </c>
      <c r="E257" s="122">
        <f>IF(MONTH($A257)&lt;&gt;MONTH($A256),0,$G256)</f>
        <v>0</v>
      </c>
      <c r="F257" s="122">
        <f>IF(AND($D257=0,$H256&gt;0,$E257&lt;Config!$B$8,$A257&lt;Config!$A$2),1,0)</f>
        <v>0</v>
      </c>
      <c r="G257" s="122">
        <f>$E257+$F257</f>
        <v>0</v>
      </c>
      <c r="H257" s="122">
        <f>IF($D257=1,$H256+1,IF($F257=1,$H256,IF($A257=Config!$A$2,$H256,0)))</f>
        <v>0</v>
      </c>
      <c r="M257" s="123" t="n"/>
    </row>
    <row r="258">
      <c r="A258" s="120" t="str">
        <f>A257+1</f>
        <v>2025-06-27 00:00:00</v>
      </c>
      <c r="B258" s="121">
        <f>SUMIFS('Daily Writing Log'!$H$5:$H$34,'Daily Writing Log'!$A$5:$A$34,$A258)</f>
        <v>0</v>
      </c>
      <c r="C258" s="121">
        <f>SUMIFS('Daily Writing Log'!$I$5:$I$34,'Daily Writing Log'!$A$5:$A$34,$A258)</f>
        <v>0</v>
      </c>
      <c r="D258" s="122">
        <f>IF($C258&gt;=Config!$B$5,1,0)</f>
        <v>0</v>
      </c>
      <c r="E258" s="122">
        <f>IF(MONTH($A258)&lt;&gt;MONTH($A257),0,$G257)</f>
        <v>0</v>
      </c>
      <c r="F258" s="122">
        <f>IF(AND($D258=0,$H257&gt;0,$E258&lt;Config!$B$8,$A258&lt;Config!$A$2),1,0)</f>
        <v>0</v>
      </c>
      <c r="G258" s="122">
        <f>$E258+$F258</f>
        <v>0</v>
      </c>
      <c r="H258" s="122">
        <f>IF($D258=1,$H257+1,IF($F258=1,$H257,IF($A258=Config!$A$2,$H257,0)))</f>
        <v>0</v>
      </c>
      <c r="M258" s="123" t="n"/>
    </row>
    <row r="259">
      <c r="A259" s="120" t="str">
        <f>A258+1</f>
        <v>2025-06-28 00:00:00</v>
      </c>
      <c r="B259" s="121">
        <f>SUMIFS('Daily Writing Log'!$H$5:$H$34,'Daily Writing Log'!$A$5:$A$34,$A259)</f>
        <v>0</v>
      </c>
      <c r="C259" s="121">
        <f>SUMIFS('Daily Writing Log'!$I$5:$I$34,'Daily Writing Log'!$A$5:$A$34,$A259)</f>
        <v>0</v>
      </c>
      <c r="D259" s="122">
        <f>IF($C259&gt;=Config!$B$5,1,0)</f>
        <v>0</v>
      </c>
      <c r="E259" s="122">
        <f>IF(MONTH($A259)&lt;&gt;MONTH($A258),0,$G258)</f>
        <v>0</v>
      </c>
      <c r="F259" s="122">
        <f>IF(AND($D259=0,$H258&gt;0,$E259&lt;Config!$B$8,$A259&lt;Config!$A$2),1,0)</f>
        <v>0</v>
      </c>
      <c r="G259" s="122">
        <f>$E259+$F259</f>
        <v>0</v>
      </c>
      <c r="H259" s="122">
        <f>IF($D259=1,$H258+1,IF($F259=1,$H258,IF($A259=Config!$A$2,$H258,0)))</f>
        <v>0</v>
      </c>
      <c r="M259" s="123" t="n"/>
    </row>
    <row r="260">
      <c r="A260" s="120" t="str">
        <f>A259+1</f>
        <v>2025-06-29 00:00:00</v>
      </c>
      <c r="B260" s="121">
        <f>SUMIFS('Daily Writing Log'!$H$5:$H$34,'Daily Writing Log'!$A$5:$A$34,$A260)</f>
        <v>0</v>
      </c>
      <c r="C260" s="121">
        <f>SUMIFS('Daily Writing Log'!$I$5:$I$34,'Daily Writing Log'!$A$5:$A$34,$A260)</f>
        <v>0</v>
      </c>
      <c r="D260" s="122">
        <f>IF($C260&gt;=Config!$B$5,1,0)</f>
        <v>0</v>
      </c>
      <c r="E260" s="122">
        <f>IF(MONTH($A260)&lt;&gt;MONTH($A259),0,$G259)</f>
        <v>0</v>
      </c>
      <c r="F260" s="122">
        <f>IF(AND($D260=0,$H259&gt;0,$E260&lt;Config!$B$8,$A260&lt;Config!$A$2),1,0)</f>
        <v>0</v>
      </c>
      <c r="G260" s="122">
        <f>$E260+$F260</f>
        <v>0</v>
      </c>
      <c r="H260" s="122">
        <f>IF($D260=1,$H259+1,IF($F260=1,$H259,IF($A260=Config!$A$2,$H259,0)))</f>
        <v>0</v>
      </c>
      <c r="M260" s="123" t="n"/>
    </row>
    <row r="261">
      <c r="A261" s="120" t="str">
        <f>A260+1</f>
        <v>2025-06-30 00:00:00</v>
      </c>
      <c r="B261" s="121">
        <f>SUMIFS('Daily Writing Log'!$H$5:$H$34,'Daily Writing Log'!$A$5:$A$34,$A261)</f>
        <v>0</v>
      </c>
      <c r="C261" s="121">
        <f>SUMIFS('Daily Writing Log'!$I$5:$I$34,'Daily Writing Log'!$A$5:$A$34,$A261)</f>
        <v>0</v>
      </c>
      <c r="D261" s="122">
        <f>IF($C261&gt;=Config!$B$5,1,0)</f>
        <v>0</v>
      </c>
      <c r="E261" s="122">
        <f>IF(MONTH($A261)&lt;&gt;MONTH($A260),0,$G260)</f>
        <v>0</v>
      </c>
      <c r="F261" s="122">
        <f>IF(AND($D261=0,$H260&gt;0,$E261&lt;Config!$B$8,$A261&lt;Config!$A$2),1,0)</f>
        <v>0</v>
      </c>
      <c r="G261" s="122">
        <f>$E261+$F261</f>
        <v>0</v>
      </c>
      <c r="H261" s="122">
        <f>IF($D261=1,$H260+1,IF($F261=1,$H260,IF($A261=Config!$A$2,$H260,0)))</f>
        <v>0</v>
      </c>
      <c r="M261" s="123" t="n"/>
    </row>
    <row r="262">
      <c r="A262" s="120" t="str">
        <f>A261+1</f>
        <v>2025-07-01 00:00:00</v>
      </c>
      <c r="B262" s="121">
        <f>SUMIFS('Daily Writing Log'!$H$5:$H$34,'Daily Writing Log'!$A$5:$A$34,$A262)</f>
        <v>0</v>
      </c>
      <c r="C262" s="121">
        <f>SUMIFS('Daily Writing Log'!$I$5:$I$34,'Daily Writing Log'!$A$5:$A$34,$A262)</f>
        <v>0</v>
      </c>
      <c r="D262" s="122">
        <f>IF($C262&gt;=Config!$B$5,1,0)</f>
        <v>0</v>
      </c>
      <c r="E262" s="122">
        <f>IF(MONTH($A262)&lt;&gt;MONTH($A261),0,$G261)</f>
        <v>0</v>
      </c>
      <c r="F262" s="122">
        <f>IF(AND($D262=0,$H261&gt;0,$E262&lt;Config!$B$8,$A262&lt;Config!$A$2),1,0)</f>
        <v>0</v>
      </c>
      <c r="G262" s="122">
        <f>$E262+$F262</f>
        <v>0</v>
      </c>
      <c r="H262" s="122">
        <f>IF($D262=1,$H261+1,IF($F262=1,$H261,IF($A262=Config!$A$2,$H261,0)))</f>
        <v>0</v>
      </c>
      <c r="M262" s="123" t="n"/>
    </row>
    <row r="263">
      <c r="A263" s="120" t="str">
        <f>A262+1</f>
        <v>2025-07-02 00:00:00</v>
      </c>
      <c r="B263" s="121">
        <f>SUMIFS('Daily Writing Log'!$H$5:$H$34,'Daily Writing Log'!$A$5:$A$34,$A263)</f>
        <v>0</v>
      </c>
      <c r="C263" s="121">
        <f>SUMIFS('Daily Writing Log'!$I$5:$I$34,'Daily Writing Log'!$A$5:$A$34,$A263)</f>
        <v>0</v>
      </c>
      <c r="D263" s="122">
        <f>IF($C263&gt;=Config!$B$5,1,0)</f>
        <v>0</v>
      </c>
      <c r="E263" s="122">
        <f>IF(MONTH($A263)&lt;&gt;MONTH($A262),0,$G262)</f>
        <v>0</v>
      </c>
      <c r="F263" s="122">
        <f>IF(AND($D263=0,$H262&gt;0,$E263&lt;Config!$B$8,$A263&lt;Config!$A$2),1,0)</f>
        <v>0</v>
      </c>
      <c r="G263" s="122">
        <f>$E263+$F263</f>
        <v>0</v>
      </c>
      <c r="H263" s="122">
        <f>IF($D263=1,$H262+1,IF($F263=1,$H262,IF($A263=Config!$A$2,$H262,0)))</f>
        <v>0</v>
      </c>
      <c r="M263" s="123" t="n"/>
    </row>
    <row r="264">
      <c r="A264" s="120" t="str">
        <f>A263+1</f>
        <v>2025-07-03 00:00:00</v>
      </c>
      <c r="B264" s="121">
        <f>SUMIFS('Daily Writing Log'!$H$5:$H$34,'Daily Writing Log'!$A$5:$A$34,$A264)</f>
        <v>0</v>
      </c>
      <c r="C264" s="121">
        <f>SUMIFS('Daily Writing Log'!$I$5:$I$34,'Daily Writing Log'!$A$5:$A$34,$A264)</f>
        <v>0</v>
      </c>
      <c r="D264" s="122">
        <f>IF($C264&gt;=Config!$B$5,1,0)</f>
        <v>0</v>
      </c>
      <c r="E264" s="122">
        <f>IF(MONTH($A264)&lt;&gt;MONTH($A263),0,$G263)</f>
        <v>0</v>
      </c>
      <c r="F264" s="122">
        <f>IF(AND($D264=0,$H263&gt;0,$E264&lt;Config!$B$8,$A264&lt;Config!$A$2),1,0)</f>
        <v>0</v>
      </c>
      <c r="G264" s="122">
        <f>$E264+$F264</f>
        <v>0</v>
      </c>
      <c r="H264" s="122">
        <f>IF($D264=1,$H263+1,IF($F264=1,$H263,IF($A264=Config!$A$2,$H263,0)))</f>
        <v>0</v>
      </c>
      <c r="M264" s="123" t="n"/>
    </row>
    <row r="265">
      <c r="A265" s="120" t="str">
        <f>A264+1</f>
        <v>2025-07-04 00:00:00</v>
      </c>
      <c r="B265" s="121">
        <f>SUMIFS('Daily Writing Log'!$H$5:$H$34,'Daily Writing Log'!$A$5:$A$34,$A265)</f>
        <v>0</v>
      </c>
      <c r="C265" s="121">
        <f>SUMIFS('Daily Writing Log'!$I$5:$I$34,'Daily Writing Log'!$A$5:$A$34,$A265)</f>
        <v>0</v>
      </c>
      <c r="D265" s="122">
        <f>IF($C265&gt;=Config!$B$5,1,0)</f>
        <v>0</v>
      </c>
      <c r="E265" s="122">
        <f>IF(MONTH($A265)&lt;&gt;MONTH($A264),0,$G264)</f>
        <v>0</v>
      </c>
      <c r="F265" s="122">
        <f>IF(AND($D265=0,$H264&gt;0,$E265&lt;Config!$B$8,$A265&lt;Config!$A$2),1,0)</f>
        <v>0</v>
      </c>
      <c r="G265" s="122">
        <f>$E265+$F265</f>
        <v>0</v>
      </c>
      <c r="H265" s="122">
        <f>IF($D265=1,$H264+1,IF($F265=1,$H264,IF($A265=Config!$A$2,$H264,0)))</f>
        <v>0</v>
      </c>
      <c r="M265" s="123" t="n"/>
    </row>
    <row r="266">
      <c r="A266" s="120" t="str">
        <f>A265+1</f>
        <v>2025-07-05 00:00:00</v>
      </c>
      <c r="B266" s="121">
        <f>SUMIFS('Daily Writing Log'!$H$5:$H$34,'Daily Writing Log'!$A$5:$A$34,$A266)</f>
        <v>0</v>
      </c>
      <c r="C266" s="121">
        <f>SUMIFS('Daily Writing Log'!$I$5:$I$34,'Daily Writing Log'!$A$5:$A$34,$A266)</f>
        <v>0</v>
      </c>
      <c r="D266" s="122">
        <f>IF($C266&gt;=Config!$B$5,1,0)</f>
        <v>0</v>
      </c>
      <c r="E266" s="122">
        <f>IF(MONTH($A266)&lt;&gt;MONTH($A265),0,$G265)</f>
        <v>0</v>
      </c>
      <c r="F266" s="122">
        <f>IF(AND($D266=0,$H265&gt;0,$E266&lt;Config!$B$8,$A266&lt;Config!$A$2),1,0)</f>
        <v>0</v>
      </c>
      <c r="G266" s="122">
        <f>$E266+$F266</f>
        <v>0</v>
      </c>
      <c r="H266" s="122">
        <f>IF($D266=1,$H265+1,IF($F266=1,$H265,IF($A266=Config!$A$2,$H265,0)))</f>
        <v>0</v>
      </c>
      <c r="M266" s="123" t="n"/>
    </row>
    <row r="267">
      <c r="A267" s="120" t="str">
        <f>A266+1</f>
        <v>2025-07-06 00:00:00</v>
      </c>
      <c r="B267" s="121">
        <f>SUMIFS('Daily Writing Log'!$H$5:$H$34,'Daily Writing Log'!$A$5:$A$34,$A267)</f>
        <v>0</v>
      </c>
      <c r="C267" s="121">
        <f>SUMIFS('Daily Writing Log'!$I$5:$I$34,'Daily Writing Log'!$A$5:$A$34,$A267)</f>
        <v>0</v>
      </c>
      <c r="D267" s="122">
        <f>IF($C267&gt;=Config!$B$5,1,0)</f>
        <v>0</v>
      </c>
      <c r="E267" s="122">
        <f>IF(MONTH($A267)&lt;&gt;MONTH($A266),0,$G266)</f>
        <v>0</v>
      </c>
      <c r="F267" s="122">
        <f>IF(AND($D267=0,$H266&gt;0,$E267&lt;Config!$B$8,$A267&lt;Config!$A$2),1,0)</f>
        <v>0</v>
      </c>
      <c r="G267" s="122">
        <f>$E267+$F267</f>
        <v>0</v>
      </c>
      <c r="H267" s="122">
        <f>IF($D267=1,$H266+1,IF($F267=1,$H266,IF($A267=Config!$A$2,$H266,0)))</f>
        <v>0</v>
      </c>
      <c r="M267" s="123" t="n"/>
    </row>
    <row r="268">
      <c r="A268" s="120" t="str">
        <f>A267+1</f>
        <v>2025-07-07 00:00:00</v>
      </c>
      <c r="B268" s="121">
        <f>SUMIFS('Daily Writing Log'!$H$5:$H$34,'Daily Writing Log'!$A$5:$A$34,$A268)</f>
        <v>0</v>
      </c>
      <c r="C268" s="121">
        <f>SUMIFS('Daily Writing Log'!$I$5:$I$34,'Daily Writing Log'!$A$5:$A$34,$A268)</f>
        <v>0</v>
      </c>
      <c r="D268" s="122">
        <f>IF($C268&gt;=Config!$B$5,1,0)</f>
        <v>0</v>
      </c>
      <c r="E268" s="122">
        <f>IF(MONTH($A268)&lt;&gt;MONTH($A267),0,$G267)</f>
        <v>0</v>
      </c>
      <c r="F268" s="122">
        <f>IF(AND($D268=0,$H267&gt;0,$E268&lt;Config!$B$8,$A268&lt;Config!$A$2),1,0)</f>
        <v>0</v>
      </c>
      <c r="G268" s="122">
        <f>$E268+$F268</f>
        <v>0</v>
      </c>
      <c r="H268" s="122">
        <f>IF($D268=1,$H267+1,IF($F268=1,$H267,IF($A268=Config!$A$2,$H267,0)))</f>
        <v>0</v>
      </c>
      <c r="M268" s="123" t="n"/>
    </row>
    <row r="269">
      <c r="A269" s="120" t="str">
        <f>A268+1</f>
        <v>2025-07-08 00:00:00</v>
      </c>
      <c r="B269" s="121">
        <f>SUMIFS('Daily Writing Log'!$H$5:$H$34,'Daily Writing Log'!$A$5:$A$34,$A269)</f>
        <v>0</v>
      </c>
      <c r="C269" s="121">
        <f>SUMIFS('Daily Writing Log'!$I$5:$I$34,'Daily Writing Log'!$A$5:$A$34,$A269)</f>
        <v>0</v>
      </c>
      <c r="D269" s="122">
        <f>IF($C269&gt;=Config!$B$5,1,0)</f>
        <v>0</v>
      </c>
      <c r="E269" s="122">
        <f>IF(MONTH($A269)&lt;&gt;MONTH($A268),0,$G268)</f>
        <v>0</v>
      </c>
      <c r="F269" s="122">
        <f>IF(AND($D269=0,$H268&gt;0,$E269&lt;Config!$B$8,$A269&lt;Config!$A$2),1,0)</f>
        <v>0</v>
      </c>
      <c r="G269" s="122">
        <f>$E269+$F269</f>
        <v>0</v>
      </c>
      <c r="H269" s="122">
        <f>IF($D269=1,$H268+1,IF($F269=1,$H268,IF($A269=Config!$A$2,$H268,0)))</f>
        <v>0</v>
      </c>
      <c r="M269" s="123" t="n"/>
    </row>
    <row r="270">
      <c r="A270" s="120" t="str">
        <f>A269+1</f>
        <v>2025-07-09 00:00:00</v>
      </c>
      <c r="B270" s="121">
        <f>SUMIFS('Daily Writing Log'!$H$5:$H$34,'Daily Writing Log'!$A$5:$A$34,$A270)</f>
        <v>0</v>
      </c>
      <c r="C270" s="121">
        <f>SUMIFS('Daily Writing Log'!$I$5:$I$34,'Daily Writing Log'!$A$5:$A$34,$A270)</f>
        <v>0</v>
      </c>
      <c r="D270" s="122">
        <f>IF($C270&gt;=Config!$B$5,1,0)</f>
        <v>0</v>
      </c>
      <c r="E270" s="122">
        <f>IF(MONTH($A270)&lt;&gt;MONTH($A269),0,$G269)</f>
        <v>0</v>
      </c>
      <c r="F270" s="122">
        <f>IF(AND($D270=0,$H269&gt;0,$E270&lt;Config!$B$8,$A270&lt;Config!$A$2),1,0)</f>
        <v>0</v>
      </c>
      <c r="G270" s="122">
        <f>$E270+$F270</f>
        <v>0</v>
      </c>
      <c r="H270" s="122">
        <f>IF($D270=1,$H269+1,IF($F270=1,$H269,IF($A270=Config!$A$2,$H269,0)))</f>
        <v>0</v>
      </c>
      <c r="M270" s="123" t="n"/>
    </row>
    <row r="271">
      <c r="A271" s="120" t="str">
        <f>A270+1</f>
        <v>2025-07-10 00:00:00</v>
      </c>
      <c r="B271" s="121">
        <f>SUMIFS('Daily Writing Log'!$H$5:$H$34,'Daily Writing Log'!$A$5:$A$34,$A271)</f>
        <v>0</v>
      </c>
      <c r="C271" s="121">
        <f>SUMIFS('Daily Writing Log'!$I$5:$I$34,'Daily Writing Log'!$A$5:$A$34,$A271)</f>
        <v>0</v>
      </c>
      <c r="D271" s="122">
        <f>IF($C271&gt;=Config!$B$5,1,0)</f>
        <v>0</v>
      </c>
      <c r="E271" s="122">
        <f>IF(MONTH($A271)&lt;&gt;MONTH($A270),0,$G270)</f>
        <v>0</v>
      </c>
      <c r="F271" s="122">
        <f>IF(AND($D271=0,$H270&gt;0,$E271&lt;Config!$B$8,$A271&lt;Config!$A$2),1,0)</f>
        <v>0</v>
      </c>
      <c r="G271" s="122">
        <f>$E271+$F271</f>
        <v>0</v>
      </c>
      <c r="H271" s="122">
        <f>IF($D271=1,$H270+1,IF($F271=1,$H270,IF($A271=Config!$A$2,$H270,0)))</f>
        <v>0</v>
      </c>
      <c r="M271" s="123" t="n"/>
    </row>
    <row r="272">
      <c r="A272" s="120" t="str">
        <f>A271+1</f>
        <v>2025-07-11 00:00:00</v>
      </c>
      <c r="B272" s="121">
        <f>SUMIFS('Daily Writing Log'!$H$5:$H$34,'Daily Writing Log'!$A$5:$A$34,$A272)</f>
        <v>0</v>
      </c>
      <c r="C272" s="121">
        <f>SUMIFS('Daily Writing Log'!$I$5:$I$34,'Daily Writing Log'!$A$5:$A$34,$A272)</f>
        <v>0</v>
      </c>
      <c r="D272" s="122">
        <f>IF($C272&gt;=Config!$B$5,1,0)</f>
        <v>0</v>
      </c>
      <c r="E272" s="122">
        <f>IF(MONTH($A272)&lt;&gt;MONTH($A271),0,$G271)</f>
        <v>0</v>
      </c>
      <c r="F272" s="122">
        <f>IF(AND($D272=0,$H271&gt;0,$E272&lt;Config!$B$8,$A272&lt;Config!$A$2),1,0)</f>
        <v>0</v>
      </c>
      <c r="G272" s="122">
        <f>$E272+$F272</f>
        <v>0</v>
      </c>
      <c r="H272" s="122">
        <f>IF($D272=1,$H271+1,IF($F272=1,$H271,IF($A272=Config!$A$2,$H271,0)))</f>
        <v>0</v>
      </c>
      <c r="M272" s="123" t="n"/>
    </row>
    <row r="273">
      <c r="A273" s="120" t="str">
        <f>A272+1</f>
        <v>2025-07-12 00:00:00</v>
      </c>
      <c r="B273" s="121">
        <f>SUMIFS('Daily Writing Log'!$H$5:$H$34,'Daily Writing Log'!$A$5:$A$34,$A273)</f>
        <v>0</v>
      </c>
      <c r="C273" s="121">
        <f>SUMIFS('Daily Writing Log'!$I$5:$I$34,'Daily Writing Log'!$A$5:$A$34,$A273)</f>
        <v>0</v>
      </c>
      <c r="D273" s="122">
        <f>IF($C273&gt;=Config!$B$5,1,0)</f>
        <v>0</v>
      </c>
      <c r="E273" s="122">
        <f>IF(MONTH($A273)&lt;&gt;MONTH($A272),0,$G272)</f>
        <v>0</v>
      </c>
      <c r="F273" s="122">
        <f>IF(AND($D273=0,$H272&gt;0,$E273&lt;Config!$B$8,$A273&lt;Config!$A$2),1,0)</f>
        <v>0</v>
      </c>
      <c r="G273" s="122">
        <f>$E273+$F273</f>
        <v>0</v>
      </c>
      <c r="H273" s="122">
        <f>IF($D273=1,$H272+1,IF($F273=1,$H272,IF($A273=Config!$A$2,$H272,0)))</f>
        <v>0</v>
      </c>
      <c r="M273" s="123" t="n"/>
    </row>
    <row r="274">
      <c r="A274" s="120" t="str">
        <f>A273+1</f>
        <v>2025-07-13 00:00:00</v>
      </c>
      <c r="B274" s="121">
        <f>SUMIFS('Daily Writing Log'!$H$5:$H$34,'Daily Writing Log'!$A$5:$A$34,$A274)</f>
        <v>0</v>
      </c>
      <c r="C274" s="121">
        <f>SUMIFS('Daily Writing Log'!$I$5:$I$34,'Daily Writing Log'!$A$5:$A$34,$A274)</f>
        <v>0</v>
      </c>
      <c r="D274" s="122">
        <f>IF($C274&gt;=Config!$B$5,1,0)</f>
        <v>0</v>
      </c>
      <c r="E274" s="122">
        <f>IF(MONTH($A274)&lt;&gt;MONTH($A273),0,$G273)</f>
        <v>0</v>
      </c>
      <c r="F274" s="122">
        <f>IF(AND($D274=0,$H273&gt;0,$E274&lt;Config!$B$8,$A274&lt;Config!$A$2),1,0)</f>
        <v>0</v>
      </c>
      <c r="G274" s="122">
        <f>$E274+$F274</f>
        <v>0</v>
      </c>
      <c r="H274" s="122">
        <f>IF($D274=1,$H273+1,IF($F274=1,$H273,IF($A274=Config!$A$2,$H273,0)))</f>
        <v>0</v>
      </c>
      <c r="M274" s="123" t="n"/>
    </row>
    <row r="275">
      <c r="A275" s="120" t="str">
        <f>A274+1</f>
        <v>2025-07-14 00:00:00</v>
      </c>
      <c r="B275" s="121">
        <f>SUMIFS('Daily Writing Log'!$H$5:$H$34,'Daily Writing Log'!$A$5:$A$34,$A275)</f>
        <v>0</v>
      </c>
      <c r="C275" s="121">
        <f>SUMIFS('Daily Writing Log'!$I$5:$I$34,'Daily Writing Log'!$A$5:$A$34,$A275)</f>
        <v>0</v>
      </c>
      <c r="D275" s="122">
        <f>IF($C275&gt;=Config!$B$5,1,0)</f>
        <v>0</v>
      </c>
      <c r="E275" s="122">
        <f>IF(MONTH($A275)&lt;&gt;MONTH($A274),0,$G274)</f>
        <v>0</v>
      </c>
      <c r="F275" s="122">
        <f>IF(AND($D275=0,$H274&gt;0,$E275&lt;Config!$B$8,$A275&lt;Config!$A$2),1,0)</f>
        <v>0</v>
      </c>
      <c r="G275" s="122">
        <f>$E275+$F275</f>
        <v>0</v>
      </c>
      <c r="H275" s="122">
        <f>IF($D275=1,$H274+1,IF($F275=1,$H274,IF($A275=Config!$A$2,$H274,0)))</f>
        <v>0</v>
      </c>
      <c r="M275" s="123" t="n"/>
    </row>
    <row r="276">
      <c r="A276" s="120" t="str">
        <f>A275+1</f>
        <v>2025-07-15 00:00:00</v>
      </c>
      <c r="B276" s="121">
        <f>SUMIFS('Daily Writing Log'!$H$5:$H$34,'Daily Writing Log'!$A$5:$A$34,$A276)</f>
        <v>0</v>
      </c>
      <c r="C276" s="121">
        <f>SUMIFS('Daily Writing Log'!$I$5:$I$34,'Daily Writing Log'!$A$5:$A$34,$A276)</f>
        <v>0</v>
      </c>
      <c r="D276" s="122">
        <f>IF($C276&gt;=Config!$B$5,1,0)</f>
        <v>0</v>
      </c>
      <c r="E276" s="122">
        <f>IF(MONTH($A276)&lt;&gt;MONTH($A275),0,$G275)</f>
        <v>0</v>
      </c>
      <c r="F276" s="122">
        <f>IF(AND($D276=0,$H275&gt;0,$E276&lt;Config!$B$8,$A276&lt;Config!$A$2),1,0)</f>
        <v>0</v>
      </c>
      <c r="G276" s="122">
        <f>$E276+$F276</f>
        <v>0</v>
      </c>
      <c r="H276" s="122">
        <f>IF($D276=1,$H275+1,IF($F276=1,$H275,IF($A276=Config!$A$2,$H275,0)))</f>
        <v>0</v>
      </c>
      <c r="M276" s="123" t="n"/>
    </row>
    <row r="277">
      <c r="A277" s="120" t="str">
        <f>A276+1</f>
        <v>2025-07-16 00:00:00</v>
      </c>
      <c r="B277" s="121">
        <f>SUMIFS('Daily Writing Log'!$H$5:$H$34,'Daily Writing Log'!$A$5:$A$34,$A277)</f>
        <v>0</v>
      </c>
      <c r="C277" s="121">
        <f>SUMIFS('Daily Writing Log'!$I$5:$I$34,'Daily Writing Log'!$A$5:$A$34,$A277)</f>
        <v>0</v>
      </c>
      <c r="D277" s="122">
        <f>IF($C277&gt;=Config!$B$5,1,0)</f>
        <v>0</v>
      </c>
      <c r="E277" s="122">
        <f>IF(MONTH($A277)&lt;&gt;MONTH($A276),0,$G276)</f>
        <v>0</v>
      </c>
      <c r="F277" s="122">
        <f>IF(AND($D277=0,$H276&gt;0,$E277&lt;Config!$B$8,$A277&lt;Config!$A$2),1,0)</f>
        <v>0</v>
      </c>
      <c r="G277" s="122">
        <f>$E277+$F277</f>
        <v>0</v>
      </c>
      <c r="H277" s="122">
        <f>IF($D277=1,$H276+1,IF($F277=1,$H276,IF($A277=Config!$A$2,$H276,0)))</f>
        <v>0</v>
      </c>
      <c r="M277" s="123" t="n"/>
    </row>
    <row r="278">
      <c r="A278" s="120" t="str">
        <f>A277+1</f>
        <v>2025-07-17 00:00:00</v>
      </c>
      <c r="B278" s="121">
        <f>SUMIFS('Daily Writing Log'!$H$5:$H$34,'Daily Writing Log'!$A$5:$A$34,$A278)</f>
        <v>0</v>
      </c>
      <c r="C278" s="121">
        <f>SUMIFS('Daily Writing Log'!$I$5:$I$34,'Daily Writing Log'!$A$5:$A$34,$A278)</f>
        <v>0</v>
      </c>
      <c r="D278" s="122">
        <f>IF($C278&gt;=Config!$B$5,1,0)</f>
        <v>0</v>
      </c>
      <c r="E278" s="122">
        <f>IF(MONTH($A278)&lt;&gt;MONTH($A277),0,$G277)</f>
        <v>0</v>
      </c>
      <c r="F278" s="122">
        <f>IF(AND($D278=0,$H277&gt;0,$E278&lt;Config!$B$8,$A278&lt;Config!$A$2),1,0)</f>
        <v>0</v>
      </c>
      <c r="G278" s="122">
        <f>$E278+$F278</f>
        <v>0</v>
      </c>
      <c r="H278" s="122">
        <f>IF($D278=1,$H277+1,IF($F278=1,$H277,IF($A278=Config!$A$2,$H277,0)))</f>
        <v>0</v>
      </c>
      <c r="M278" s="123" t="n"/>
    </row>
    <row r="279">
      <c r="A279" s="120" t="str">
        <f>A278+1</f>
        <v>2025-07-18 00:00:00</v>
      </c>
      <c r="B279" s="121">
        <f>SUMIFS('Daily Writing Log'!$H$5:$H$34,'Daily Writing Log'!$A$5:$A$34,$A279)</f>
        <v>0</v>
      </c>
      <c r="C279" s="121">
        <f>SUMIFS('Daily Writing Log'!$I$5:$I$34,'Daily Writing Log'!$A$5:$A$34,$A279)</f>
        <v>0</v>
      </c>
      <c r="D279" s="122">
        <f>IF($C279&gt;=Config!$B$5,1,0)</f>
        <v>0</v>
      </c>
      <c r="E279" s="122">
        <f>IF(MONTH($A279)&lt;&gt;MONTH($A278),0,$G278)</f>
        <v>0</v>
      </c>
      <c r="F279" s="122">
        <f>IF(AND($D279=0,$H278&gt;0,$E279&lt;Config!$B$8,$A279&lt;Config!$A$2),1,0)</f>
        <v>0</v>
      </c>
      <c r="G279" s="122">
        <f>$E279+$F279</f>
        <v>0</v>
      </c>
      <c r="H279" s="122">
        <f>IF($D279=1,$H278+1,IF($F279=1,$H278,IF($A279=Config!$A$2,$H278,0)))</f>
        <v>0</v>
      </c>
      <c r="M279" s="123" t="n"/>
    </row>
    <row r="280">
      <c r="A280" s="120" t="str">
        <f>A279+1</f>
        <v>2025-07-19 00:00:00</v>
      </c>
      <c r="B280" s="121">
        <f>SUMIFS('Daily Writing Log'!$H$5:$H$34,'Daily Writing Log'!$A$5:$A$34,$A280)</f>
        <v>0</v>
      </c>
      <c r="C280" s="121">
        <f>SUMIFS('Daily Writing Log'!$I$5:$I$34,'Daily Writing Log'!$A$5:$A$34,$A280)</f>
        <v>0</v>
      </c>
      <c r="D280" s="122">
        <f>IF($C280&gt;=Config!$B$5,1,0)</f>
        <v>0</v>
      </c>
      <c r="E280" s="122">
        <f>IF(MONTH($A280)&lt;&gt;MONTH($A279),0,$G279)</f>
        <v>0</v>
      </c>
      <c r="F280" s="122">
        <f>IF(AND($D280=0,$H279&gt;0,$E280&lt;Config!$B$8,$A280&lt;Config!$A$2),1,0)</f>
        <v>0</v>
      </c>
      <c r="G280" s="122">
        <f>$E280+$F280</f>
        <v>0</v>
      </c>
      <c r="H280" s="122">
        <f>IF($D280=1,$H279+1,IF($F280=1,$H279,IF($A280=Config!$A$2,$H279,0)))</f>
        <v>0</v>
      </c>
      <c r="M280" s="123" t="n"/>
    </row>
    <row r="281">
      <c r="A281" s="120" t="str">
        <f>A280+1</f>
        <v>2025-07-20 00:00:00</v>
      </c>
      <c r="B281" s="121">
        <f>SUMIFS('Daily Writing Log'!$H$5:$H$34,'Daily Writing Log'!$A$5:$A$34,$A281)</f>
        <v>0</v>
      </c>
      <c r="C281" s="121">
        <f>SUMIFS('Daily Writing Log'!$I$5:$I$34,'Daily Writing Log'!$A$5:$A$34,$A281)</f>
        <v>0</v>
      </c>
      <c r="D281" s="122">
        <f>IF($C281&gt;=Config!$B$5,1,0)</f>
        <v>0</v>
      </c>
      <c r="E281" s="122">
        <f>IF(MONTH($A281)&lt;&gt;MONTH($A280),0,$G280)</f>
        <v>0</v>
      </c>
      <c r="F281" s="122">
        <f>IF(AND($D281=0,$H280&gt;0,$E281&lt;Config!$B$8,$A281&lt;Config!$A$2),1,0)</f>
        <v>0</v>
      </c>
      <c r="G281" s="122">
        <f>$E281+$F281</f>
        <v>0</v>
      </c>
      <c r="H281" s="122">
        <f>IF($D281=1,$H280+1,IF($F281=1,$H280,IF($A281=Config!$A$2,$H280,0)))</f>
        <v>0</v>
      </c>
      <c r="M281" s="123" t="n"/>
    </row>
    <row r="282">
      <c r="A282" s="120" t="str">
        <f>A281+1</f>
        <v>2025-07-21 00:00:00</v>
      </c>
      <c r="B282" s="121">
        <f>SUMIFS('Daily Writing Log'!$H$5:$H$34,'Daily Writing Log'!$A$5:$A$34,$A282)</f>
        <v>0</v>
      </c>
      <c r="C282" s="121">
        <f>SUMIFS('Daily Writing Log'!$I$5:$I$34,'Daily Writing Log'!$A$5:$A$34,$A282)</f>
        <v>0</v>
      </c>
      <c r="D282" s="122">
        <f>IF($C282&gt;=Config!$B$5,1,0)</f>
        <v>0</v>
      </c>
      <c r="E282" s="122">
        <f>IF(MONTH($A282)&lt;&gt;MONTH($A281),0,$G281)</f>
        <v>0</v>
      </c>
      <c r="F282" s="122">
        <f>IF(AND($D282=0,$H281&gt;0,$E282&lt;Config!$B$8,$A282&lt;Config!$A$2),1,0)</f>
        <v>0</v>
      </c>
      <c r="G282" s="122">
        <f>$E282+$F282</f>
        <v>0</v>
      </c>
      <c r="H282" s="122">
        <f>IF($D282=1,$H281+1,IF($F282=1,$H281,IF($A282=Config!$A$2,$H281,0)))</f>
        <v>0</v>
      </c>
      <c r="M282" s="123" t="n"/>
    </row>
    <row r="283">
      <c r="A283" s="120" t="str">
        <f>A282+1</f>
        <v>2025-07-22 00:00:00</v>
      </c>
      <c r="B283" s="121">
        <f>SUMIFS('Daily Writing Log'!$H$5:$H$34,'Daily Writing Log'!$A$5:$A$34,$A283)</f>
        <v>0</v>
      </c>
      <c r="C283" s="121">
        <f>SUMIFS('Daily Writing Log'!$I$5:$I$34,'Daily Writing Log'!$A$5:$A$34,$A283)</f>
        <v>0</v>
      </c>
      <c r="D283" s="122">
        <f>IF($C283&gt;=Config!$B$5,1,0)</f>
        <v>0</v>
      </c>
      <c r="E283" s="122">
        <f>IF(MONTH($A283)&lt;&gt;MONTH($A282),0,$G282)</f>
        <v>0</v>
      </c>
      <c r="F283" s="122">
        <f>IF(AND($D283=0,$H282&gt;0,$E283&lt;Config!$B$8,$A283&lt;Config!$A$2),1,0)</f>
        <v>0</v>
      </c>
      <c r="G283" s="122">
        <f>$E283+$F283</f>
        <v>0</v>
      </c>
      <c r="H283" s="122">
        <f>IF($D283=1,$H282+1,IF($F283=1,$H282,IF($A283=Config!$A$2,$H282,0)))</f>
        <v>0</v>
      </c>
      <c r="M283" s="123" t="n"/>
    </row>
    <row r="284">
      <c r="A284" s="120" t="str">
        <f>A283+1</f>
        <v>2025-07-23 00:00:00</v>
      </c>
      <c r="B284" s="121">
        <f>SUMIFS('Daily Writing Log'!$H$5:$H$34,'Daily Writing Log'!$A$5:$A$34,$A284)</f>
        <v>0</v>
      </c>
      <c r="C284" s="121">
        <f>SUMIFS('Daily Writing Log'!$I$5:$I$34,'Daily Writing Log'!$A$5:$A$34,$A284)</f>
        <v>0</v>
      </c>
      <c r="D284" s="122">
        <f>IF($C284&gt;=Config!$B$5,1,0)</f>
        <v>0</v>
      </c>
      <c r="E284" s="122">
        <f>IF(MONTH($A284)&lt;&gt;MONTH($A283),0,$G283)</f>
        <v>0</v>
      </c>
      <c r="F284" s="122">
        <f>IF(AND($D284=0,$H283&gt;0,$E284&lt;Config!$B$8,$A284&lt;Config!$A$2),1,0)</f>
        <v>0</v>
      </c>
      <c r="G284" s="122">
        <f>$E284+$F284</f>
        <v>0</v>
      </c>
      <c r="H284" s="122">
        <f>IF($D284=1,$H283+1,IF($F284=1,$H283,IF($A284=Config!$A$2,$H283,0)))</f>
        <v>0</v>
      </c>
      <c r="M284" s="123" t="n"/>
    </row>
    <row r="285">
      <c r="A285" s="120" t="str">
        <f>A284+1</f>
        <v>2025-07-24 00:00:00</v>
      </c>
      <c r="B285" s="121">
        <f>SUMIFS('Daily Writing Log'!$H$5:$H$34,'Daily Writing Log'!$A$5:$A$34,$A285)</f>
        <v>0</v>
      </c>
      <c r="C285" s="121">
        <f>SUMIFS('Daily Writing Log'!$I$5:$I$34,'Daily Writing Log'!$A$5:$A$34,$A285)</f>
        <v>0</v>
      </c>
      <c r="D285" s="122">
        <f>IF($C285&gt;=Config!$B$5,1,0)</f>
        <v>0</v>
      </c>
      <c r="E285" s="122">
        <f>IF(MONTH($A285)&lt;&gt;MONTH($A284),0,$G284)</f>
        <v>0</v>
      </c>
      <c r="F285" s="122">
        <f>IF(AND($D285=0,$H284&gt;0,$E285&lt;Config!$B$8,$A285&lt;Config!$A$2),1,0)</f>
        <v>0</v>
      </c>
      <c r="G285" s="122">
        <f>$E285+$F285</f>
        <v>0</v>
      </c>
      <c r="H285" s="122">
        <f>IF($D285=1,$H284+1,IF($F285=1,$H284,IF($A285=Config!$A$2,$H284,0)))</f>
        <v>0</v>
      </c>
      <c r="M285" s="123" t="n"/>
    </row>
    <row r="286">
      <c r="A286" s="120" t="str">
        <f>A285+1</f>
        <v>2025-07-25 00:00:00</v>
      </c>
      <c r="B286" s="121">
        <f>SUMIFS('Daily Writing Log'!$H$5:$H$34,'Daily Writing Log'!$A$5:$A$34,$A286)</f>
        <v>0</v>
      </c>
      <c r="C286" s="121">
        <f>SUMIFS('Daily Writing Log'!$I$5:$I$34,'Daily Writing Log'!$A$5:$A$34,$A286)</f>
        <v>0</v>
      </c>
      <c r="D286" s="122">
        <f>IF($C286&gt;=Config!$B$5,1,0)</f>
        <v>0</v>
      </c>
      <c r="E286" s="122">
        <f>IF(MONTH($A286)&lt;&gt;MONTH($A285),0,$G285)</f>
        <v>0</v>
      </c>
      <c r="F286" s="122">
        <f>IF(AND($D286=0,$H285&gt;0,$E286&lt;Config!$B$8,$A286&lt;Config!$A$2),1,0)</f>
        <v>0</v>
      </c>
      <c r="G286" s="122">
        <f>$E286+$F286</f>
        <v>0</v>
      </c>
      <c r="H286" s="122">
        <f>IF($D286=1,$H285+1,IF($F286=1,$H285,IF($A286=Config!$A$2,$H285,0)))</f>
        <v>0</v>
      </c>
      <c r="M286" s="123" t="n"/>
    </row>
    <row r="287">
      <c r="A287" s="120" t="str">
        <f>A286+1</f>
        <v>2025-07-26 00:00:00</v>
      </c>
      <c r="B287" s="121">
        <f>SUMIFS('Daily Writing Log'!$H$5:$H$34,'Daily Writing Log'!$A$5:$A$34,$A287)</f>
        <v>0</v>
      </c>
      <c r="C287" s="121">
        <f>SUMIFS('Daily Writing Log'!$I$5:$I$34,'Daily Writing Log'!$A$5:$A$34,$A287)</f>
        <v>0</v>
      </c>
      <c r="D287" s="122">
        <f>IF($C287&gt;=Config!$B$5,1,0)</f>
        <v>0</v>
      </c>
      <c r="E287" s="122">
        <f>IF(MONTH($A287)&lt;&gt;MONTH($A286),0,$G286)</f>
        <v>0</v>
      </c>
      <c r="F287" s="122">
        <f>IF(AND($D287=0,$H286&gt;0,$E287&lt;Config!$B$8,$A287&lt;Config!$A$2),1,0)</f>
        <v>0</v>
      </c>
      <c r="G287" s="122">
        <f>$E287+$F287</f>
        <v>0</v>
      </c>
      <c r="H287" s="122">
        <f>IF($D287=1,$H286+1,IF($F287=1,$H286,IF($A287=Config!$A$2,$H286,0)))</f>
        <v>0</v>
      </c>
      <c r="M287" s="123" t="n"/>
    </row>
    <row r="288">
      <c r="A288" s="120" t="str">
        <f>A287+1</f>
        <v>2025-07-27 00:00:00</v>
      </c>
      <c r="B288" s="121">
        <f>SUMIFS('Daily Writing Log'!$H$5:$H$34,'Daily Writing Log'!$A$5:$A$34,$A288)</f>
        <v>0</v>
      </c>
      <c r="C288" s="121">
        <f>SUMIFS('Daily Writing Log'!$I$5:$I$34,'Daily Writing Log'!$A$5:$A$34,$A288)</f>
        <v>0</v>
      </c>
      <c r="D288" s="122">
        <f>IF($C288&gt;=Config!$B$5,1,0)</f>
        <v>0</v>
      </c>
      <c r="E288" s="122">
        <f>IF(MONTH($A288)&lt;&gt;MONTH($A287),0,$G287)</f>
        <v>0</v>
      </c>
      <c r="F288" s="122">
        <f>IF(AND($D288=0,$H287&gt;0,$E288&lt;Config!$B$8,$A288&lt;Config!$A$2),1,0)</f>
        <v>0</v>
      </c>
      <c r="G288" s="122">
        <f>$E288+$F288</f>
        <v>0</v>
      </c>
      <c r="H288" s="122">
        <f>IF($D288=1,$H287+1,IF($F288=1,$H287,IF($A288=Config!$A$2,$H287,0)))</f>
        <v>0</v>
      </c>
      <c r="M288" s="123" t="n"/>
    </row>
    <row r="289">
      <c r="A289" s="120" t="str">
        <f>A288+1</f>
        <v>2025-07-28 00:00:00</v>
      </c>
      <c r="B289" s="121">
        <f>SUMIFS('Daily Writing Log'!$H$5:$H$34,'Daily Writing Log'!$A$5:$A$34,$A289)</f>
        <v>0</v>
      </c>
      <c r="C289" s="121">
        <f>SUMIFS('Daily Writing Log'!$I$5:$I$34,'Daily Writing Log'!$A$5:$A$34,$A289)</f>
        <v>0</v>
      </c>
      <c r="D289" s="122">
        <f>IF($C289&gt;=Config!$B$5,1,0)</f>
        <v>0</v>
      </c>
      <c r="E289" s="122">
        <f>IF(MONTH($A289)&lt;&gt;MONTH($A288),0,$G288)</f>
        <v>0</v>
      </c>
      <c r="F289" s="122">
        <f>IF(AND($D289=0,$H288&gt;0,$E289&lt;Config!$B$8,$A289&lt;Config!$A$2),1,0)</f>
        <v>0</v>
      </c>
      <c r="G289" s="122">
        <f>$E289+$F289</f>
        <v>0</v>
      </c>
      <c r="H289" s="122">
        <f>IF($D289=1,$H288+1,IF($F289=1,$H288,IF($A289=Config!$A$2,$H288,0)))</f>
        <v>0</v>
      </c>
      <c r="M289" s="123" t="n"/>
    </row>
    <row r="290">
      <c r="A290" s="120" t="str">
        <f>A289+1</f>
        <v>2025-07-29 00:00:00</v>
      </c>
      <c r="B290" s="121">
        <f>SUMIFS('Daily Writing Log'!$H$5:$H$34,'Daily Writing Log'!$A$5:$A$34,$A290)</f>
        <v>0</v>
      </c>
      <c r="C290" s="121">
        <f>SUMIFS('Daily Writing Log'!$I$5:$I$34,'Daily Writing Log'!$A$5:$A$34,$A290)</f>
        <v>0</v>
      </c>
      <c r="D290" s="122">
        <f>IF($C290&gt;=Config!$B$5,1,0)</f>
        <v>0</v>
      </c>
      <c r="E290" s="122">
        <f>IF(MONTH($A290)&lt;&gt;MONTH($A289),0,$G289)</f>
        <v>0</v>
      </c>
      <c r="F290" s="122">
        <f>IF(AND($D290=0,$H289&gt;0,$E290&lt;Config!$B$8,$A290&lt;Config!$A$2),1,0)</f>
        <v>0</v>
      </c>
      <c r="G290" s="122">
        <f>$E290+$F290</f>
        <v>0</v>
      </c>
      <c r="H290" s="122">
        <f>IF($D290=1,$H289+1,IF($F290=1,$H289,IF($A290=Config!$A$2,$H289,0)))</f>
        <v>0</v>
      </c>
      <c r="M290" s="123" t="n"/>
    </row>
    <row r="291">
      <c r="A291" s="120" t="str">
        <f>A290+1</f>
        <v>2025-07-30 00:00:00</v>
      </c>
      <c r="B291" s="121">
        <f>SUMIFS('Daily Writing Log'!$H$5:$H$34,'Daily Writing Log'!$A$5:$A$34,$A291)</f>
        <v>0</v>
      </c>
      <c r="C291" s="121">
        <f>SUMIFS('Daily Writing Log'!$I$5:$I$34,'Daily Writing Log'!$A$5:$A$34,$A291)</f>
        <v>0</v>
      </c>
      <c r="D291" s="122">
        <f>IF($C291&gt;=Config!$B$5,1,0)</f>
        <v>0</v>
      </c>
      <c r="E291" s="122">
        <f>IF(MONTH($A291)&lt;&gt;MONTH($A290),0,$G290)</f>
        <v>0</v>
      </c>
      <c r="F291" s="122">
        <f>IF(AND($D291=0,$H290&gt;0,$E291&lt;Config!$B$8,$A291&lt;Config!$A$2),1,0)</f>
        <v>0</v>
      </c>
      <c r="G291" s="122">
        <f>$E291+$F291</f>
        <v>0</v>
      </c>
      <c r="H291" s="122">
        <f>IF($D291=1,$H290+1,IF($F291=1,$H290,IF($A291=Config!$A$2,$H290,0)))</f>
        <v>0</v>
      </c>
      <c r="M291" s="123" t="n"/>
    </row>
    <row r="292">
      <c r="A292" s="120" t="str">
        <f>A291+1</f>
        <v>2025-07-31 00:00:00</v>
      </c>
      <c r="B292" s="121">
        <f>SUMIFS('Daily Writing Log'!$H$5:$H$34,'Daily Writing Log'!$A$5:$A$34,$A292)</f>
        <v>0</v>
      </c>
      <c r="C292" s="121">
        <f>SUMIFS('Daily Writing Log'!$I$5:$I$34,'Daily Writing Log'!$A$5:$A$34,$A292)</f>
        <v>0</v>
      </c>
      <c r="D292" s="122">
        <f>IF($C292&gt;=Config!$B$5,1,0)</f>
        <v>0</v>
      </c>
      <c r="E292" s="122">
        <f>IF(MONTH($A292)&lt;&gt;MONTH($A291),0,$G291)</f>
        <v>0</v>
      </c>
      <c r="F292" s="122">
        <f>IF(AND($D292=0,$H291&gt;0,$E292&lt;Config!$B$8,$A292&lt;Config!$A$2),1,0)</f>
        <v>0</v>
      </c>
      <c r="G292" s="122">
        <f>$E292+$F292</f>
        <v>0</v>
      </c>
      <c r="H292" s="122">
        <f>IF($D292=1,$H291+1,IF($F292=1,$H291,IF($A292=Config!$A$2,$H291,0)))</f>
        <v>0</v>
      </c>
      <c r="M292" s="123" t="n"/>
    </row>
    <row r="293">
      <c r="A293" s="120" t="str">
        <f>A292+1</f>
        <v>2025-08-01 00:00:00</v>
      </c>
      <c r="B293" s="121">
        <f>SUMIFS('Daily Writing Log'!$H$5:$H$34,'Daily Writing Log'!$A$5:$A$34,$A293)</f>
        <v>0</v>
      </c>
      <c r="C293" s="121">
        <f>SUMIFS('Daily Writing Log'!$I$5:$I$34,'Daily Writing Log'!$A$5:$A$34,$A293)</f>
        <v>0</v>
      </c>
      <c r="D293" s="122">
        <f>IF($C293&gt;=Config!$B$5,1,0)</f>
        <v>0</v>
      </c>
      <c r="E293" s="122">
        <f>IF(MONTH($A293)&lt;&gt;MONTH($A292),0,$G292)</f>
        <v>0</v>
      </c>
      <c r="F293" s="122">
        <f>IF(AND($D293=0,$H292&gt;0,$E293&lt;Config!$B$8,$A293&lt;Config!$A$2),1,0)</f>
        <v>0</v>
      </c>
      <c r="G293" s="122">
        <f>$E293+$F293</f>
        <v>0</v>
      </c>
      <c r="H293" s="122">
        <f>IF($D293=1,$H292+1,IF($F293=1,$H292,IF($A293=Config!$A$2,$H292,0)))</f>
        <v>0</v>
      </c>
      <c r="M293" s="123" t="n"/>
    </row>
    <row r="294">
      <c r="A294" s="120" t="str">
        <f>A293+1</f>
        <v>2025-08-02 00:00:00</v>
      </c>
      <c r="B294" s="121">
        <f>SUMIFS('Daily Writing Log'!$H$5:$H$34,'Daily Writing Log'!$A$5:$A$34,$A294)</f>
        <v>0</v>
      </c>
      <c r="C294" s="121">
        <f>SUMIFS('Daily Writing Log'!$I$5:$I$34,'Daily Writing Log'!$A$5:$A$34,$A294)</f>
        <v>0</v>
      </c>
      <c r="D294" s="122">
        <f>IF($C294&gt;=Config!$B$5,1,0)</f>
        <v>0</v>
      </c>
      <c r="E294" s="122">
        <f>IF(MONTH($A294)&lt;&gt;MONTH($A293),0,$G293)</f>
        <v>0</v>
      </c>
      <c r="F294" s="122">
        <f>IF(AND($D294=0,$H293&gt;0,$E294&lt;Config!$B$8,$A294&lt;Config!$A$2),1,0)</f>
        <v>0</v>
      </c>
      <c r="G294" s="122">
        <f>$E294+$F294</f>
        <v>0</v>
      </c>
      <c r="H294" s="122">
        <f>IF($D294=1,$H293+1,IF($F294=1,$H293,IF($A294=Config!$A$2,$H293,0)))</f>
        <v>0</v>
      </c>
      <c r="M294" s="123" t="n"/>
    </row>
    <row r="295">
      <c r="A295" s="120" t="str">
        <f>A294+1</f>
        <v>2025-08-03 00:00:00</v>
      </c>
      <c r="B295" s="121">
        <f>SUMIFS('Daily Writing Log'!$H$5:$H$34,'Daily Writing Log'!$A$5:$A$34,$A295)</f>
        <v>0</v>
      </c>
      <c r="C295" s="121">
        <f>SUMIFS('Daily Writing Log'!$I$5:$I$34,'Daily Writing Log'!$A$5:$A$34,$A295)</f>
        <v>0</v>
      </c>
      <c r="D295" s="122">
        <f>IF($C295&gt;=Config!$B$5,1,0)</f>
        <v>0</v>
      </c>
      <c r="E295" s="122">
        <f>IF(MONTH($A295)&lt;&gt;MONTH($A294),0,$G294)</f>
        <v>0</v>
      </c>
      <c r="F295" s="122">
        <f>IF(AND($D295=0,$H294&gt;0,$E295&lt;Config!$B$8,$A295&lt;Config!$A$2),1,0)</f>
        <v>0</v>
      </c>
      <c r="G295" s="122">
        <f>$E295+$F295</f>
        <v>0</v>
      </c>
      <c r="H295" s="122">
        <f>IF($D295=1,$H294+1,IF($F295=1,$H294,IF($A295=Config!$A$2,$H294,0)))</f>
        <v>0</v>
      </c>
      <c r="M295" s="123" t="n"/>
    </row>
    <row r="296">
      <c r="A296" s="120" t="str">
        <f>A295+1</f>
        <v>2025-08-04 00:00:00</v>
      </c>
      <c r="B296" s="121">
        <f>SUMIFS('Daily Writing Log'!$H$5:$H$34,'Daily Writing Log'!$A$5:$A$34,$A296)</f>
        <v>0</v>
      </c>
      <c r="C296" s="121">
        <f>SUMIFS('Daily Writing Log'!$I$5:$I$34,'Daily Writing Log'!$A$5:$A$34,$A296)</f>
        <v>0</v>
      </c>
      <c r="D296" s="122">
        <f>IF($C296&gt;=Config!$B$5,1,0)</f>
        <v>0</v>
      </c>
      <c r="E296" s="122">
        <f>IF(MONTH($A296)&lt;&gt;MONTH($A295),0,$G295)</f>
        <v>0</v>
      </c>
      <c r="F296" s="122">
        <f>IF(AND($D296=0,$H295&gt;0,$E296&lt;Config!$B$8,$A296&lt;Config!$A$2),1,0)</f>
        <v>0</v>
      </c>
      <c r="G296" s="122">
        <f>$E296+$F296</f>
        <v>0</v>
      </c>
      <c r="H296" s="122">
        <f>IF($D296=1,$H295+1,IF($F296=1,$H295,IF($A296=Config!$A$2,$H295,0)))</f>
        <v>0</v>
      </c>
      <c r="M296" s="123" t="n"/>
    </row>
    <row r="297">
      <c r="A297" s="120" t="str">
        <f>A296+1</f>
        <v>2025-08-05 00:00:00</v>
      </c>
      <c r="B297" s="121">
        <f>SUMIFS('Daily Writing Log'!$H$5:$H$34,'Daily Writing Log'!$A$5:$A$34,$A297)</f>
        <v>0</v>
      </c>
      <c r="C297" s="121">
        <f>SUMIFS('Daily Writing Log'!$I$5:$I$34,'Daily Writing Log'!$A$5:$A$34,$A297)</f>
        <v>0</v>
      </c>
      <c r="D297" s="122">
        <f>IF($C297&gt;=Config!$B$5,1,0)</f>
        <v>0</v>
      </c>
      <c r="E297" s="122">
        <f>IF(MONTH($A297)&lt;&gt;MONTH($A296),0,$G296)</f>
        <v>0</v>
      </c>
      <c r="F297" s="122">
        <f>IF(AND($D297=0,$H296&gt;0,$E297&lt;Config!$B$8,$A297&lt;Config!$A$2),1,0)</f>
        <v>0</v>
      </c>
      <c r="G297" s="122">
        <f>$E297+$F297</f>
        <v>0</v>
      </c>
      <c r="H297" s="122">
        <f>IF($D297=1,$H296+1,IF($F297=1,$H296,IF($A297=Config!$A$2,$H296,0)))</f>
        <v>0</v>
      </c>
      <c r="M297" s="123" t="n"/>
    </row>
    <row r="298">
      <c r="A298" s="120" t="str">
        <f>A297+1</f>
        <v>2025-08-06 00:00:00</v>
      </c>
      <c r="B298" s="121">
        <f>SUMIFS('Daily Writing Log'!$H$5:$H$34,'Daily Writing Log'!$A$5:$A$34,$A298)</f>
        <v>0</v>
      </c>
      <c r="C298" s="121">
        <f>SUMIFS('Daily Writing Log'!$I$5:$I$34,'Daily Writing Log'!$A$5:$A$34,$A298)</f>
        <v>0</v>
      </c>
      <c r="D298" s="122">
        <f>IF($C298&gt;=Config!$B$5,1,0)</f>
        <v>0</v>
      </c>
      <c r="E298" s="122">
        <f>IF(MONTH($A298)&lt;&gt;MONTH($A297),0,$G297)</f>
        <v>0</v>
      </c>
      <c r="F298" s="122">
        <f>IF(AND($D298=0,$H297&gt;0,$E298&lt;Config!$B$8,$A298&lt;Config!$A$2),1,0)</f>
        <v>0</v>
      </c>
      <c r="G298" s="122">
        <f>$E298+$F298</f>
        <v>0</v>
      </c>
      <c r="H298" s="122">
        <f>IF($D298=1,$H297+1,IF($F298=1,$H297,IF($A298=Config!$A$2,$H297,0)))</f>
        <v>0</v>
      </c>
      <c r="M298" s="123" t="n"/>
    </row>
    <row r="299">
      <c r="A299" s="120" t="str">
        <f>A298+1</f>
        <v>2025-08-07 00:00:00</v>
      </c>
      <c r="B299" s="121">
        <f>SUMIFS('Daily Writing Log'!$H$5:$H$34,'Daily Writing Log'!$A$5:$A$34,$A299)</f>
        <v>0</v>
      </c>
      <c r="C299" s="121">
        <f>SUMIFS('Daily Writing Log'!$I$5:$I$34,'Daily Writing Log'!$A$5:$A$34,$A299)</f>
        <v>0</v>
      </c>
      <c r="D299" s="122">
        <f>IF($C299&gt;=Config!$B$5,1,0)</f>
        <v>0</v>
      </c>
      <c r="E299" s="122">
        <f>IF(MONTH($A299)&lt;&gt;MONTH($A298),0,$G298)</f>
        <v>0</v>
      </c>
      <c r="F299" s="122">
        <f>IF(AND($D299=0,$H298&gt;0,$E299&lt;Config!$B$8,$A299&lt;Config!$A$2),1,0)</f>
        <v>0</v>
      </c>
      <c r="G299" s="122">
        <f>$E299+$F299</f>
        <v>0</v>
      </c>
      <c r="H299" s="122">
        <f>IF($D299=1,$H298+1,IF($F299=1,$H298,IF($A299=Config!$A$2,$H298,0)))</f>
        <v>0</v>
      </c>
      <c r="M299" s="123" t="n"/>
    </row>
    <row r="300">
      <c r="A300" s="120" t="str">
        <f>A299+1</f>
        <v>2025-08-08 00:00:00</v>
      </c>
      <c r="B300" s="121">
        <f>SUMIFS('Daily Writing Log'!$H$5:$H$34,'Daily Writing Log'!$A$5:$A$34,$A300)</f>
        <v>0</v>
      </c>
      <c r="C300" s="121">
        <f>SUMIFS('Daily Writing Log'!$I$5:$I$34,'Daily Writing Log'!$A$5:$A$34,$A300)</f>
        <v>0</v>
      </c>
      <c r="D300" s="122">
        <f>IF($C300&gt;=Config!$B$5,1,0)</f>
        <v>0</v>
      </c>
      <c r="E300" s="122">
        <f>IF(MONTH($A300)&lt;&gt;MONTH($A299),0,$G299)</f>
        <v>0</v>
      </c>
      <c r="F300" s="122">
        <f>IF(AND($D300=0,$H299&gt;0,$E300&lt;Config!$B$8,$A300&lt;Config!$A$2),1,0)</f>
        <v>0</v>
      </c>
      <c r="G300" s="122">
        <f>$E300+$F300</f>
        <v>0</v>
      </c>
      <c r="H300" s="122">
        <f>IF($D300=1,$H299+1,IF($F300=1,$H299,IF($A300=Config!$A$2,$H299,0)))</f>
        <v>0</v>
      </c>
      <c r="M300" s="123" t="n"/>
    </row>
    <row r="301">
      <c r="A301" s="120" t="str">
        <f>A300+1</f>
        <v>2025-08-09 00:00:00</v>
      </c>
      <c r="B301" s="121">
        <f>SUMIFS('Daily Writing Log'!$H$5:$H$34,'Daily Writing Log'!$A$5:$A$34,$A301)</f>
        <v>0</v>
      </c>
      <c r="C301" s="121">
        <f>SUMIFS('Daily Writing Log'!$I$5:$I$34,'Daily Writing Log'!$A$5:$A$34,$A301)</f>
        <v>0</v>
      </c>
      <c r="D301" s="122">
        <f>IF($C301&gt;=Config!$B$5,1,0)</f>
        <v>0</v>
      </c>
      <c r="E301" s="122">
        <f>IF(MONTH($A301)&lt;&gt;MONTH($A300),0,$G300)</f>
        <v>0</v>
      </c>
      <c r="F301" s="122">
        <f>IF(AND($D301=0,$H300&gt;0,$E301&lt;Config!$B$8,$A301&lt;Config!$A$2),1,0)</f>
        <v>0</v>
      </c>
      <c r="G301" s="122">
        <f>$E301+$F301</f>
        <v>0</v>
      </c>
      <c r="H301" s="122">
        <f>IF($D301=1,$H300+1,IF($F301=1,$H300,IF($A301=Config!$A$2,$H300,0)))</f>
        <v>0</v>
      </c>
      <c r="M301" s="123" t="n"/>
    </row>
    <row r="302">
      <c r="A302" s="120" t="str">
        <f>A301+1</f>
        <v>2025-08-10 00:00:00</v>
      </c>
      <c r="B302" s="121">
        <f>SUMIFS('Daily Writing Log'!$H$5:$H$34,'Daily Writing Log'!$A$5:$A$34,$A302)</f>
        <v>0</v>
      </c>
      <c r="C302" s="121">
        <f>SUMIFS('Daily Writing Log'!$I$5:$I$34,'Daily Writing Log'!$A$5:$A$34,$A302)</f>
        <v>0</v>
      </c>
      <c r="D302" s="122">
        <f>IF($C302&gt;=Config!$B$5,1,0)</f>
        <v>0</v>
      </c>
      <c r="E302" s="122">
        <f>IF(MONTH($A302)&lt;&gt;MONTH($A301),0,$G301)</f>
        <v>0</v>
      </c>
      <c r="F302" s="122">
        <f>IF(AND($D302=0,$H301&gt;0,$E302&lt;Config!$B$8,$A302&lt;Config!$A$2),1,0)</f>
        <v>0</v>
      </c>
      <c r="G302" s="122">
        <f>$E302+$F302</f>
        <v>0</v>
      </c>
      <c r="H302" s="122">
        <f>IF($D302=1,$H301+1,IF($F302=1,$H301,IF($A302=Config!$A$2,$H301,0)))</f>
        <v>0</v>
      </c>
      <c r="M302" s="123" t="n"/>
    </row>
    <row r="303">
      <c r="A303" s="120" t="str">
        <f>A302+1</f>
        <v>2025-08-11 00:00:00</v>
      </c>
      <c r="B303" s="121">
        <f>SUMIFS('Daily Writing Log'!$H$5:$H$34,'Daily Writing Log'!$A$5:$A$34,$A303)</f>
        <v>0</v>
      </c>
      <c r="C303" s="121">
        <f>SUMIFS('Daily Writing Log'!$I$5:$I$34,'Daily Writing Log'!$A$5:$A$34,$A303)</f>
        <v>0</v>
      </c>
      <c r="D303" s="122">
        <f>IF($C303&gt;=Config!$B$5,1,0)</f>
        <v>0</v>
      </c>
      <c r="E303" s="122">
        <f>IF(MONTH($A303)&lt;&gt;MONTH($A302),0,$G302)</f>
        <v>0</v>
      </c>
      <c r="F303" s="122">
        <f>IF(AND($D303=0,$H302&gt;0,$E303&lt;Config!$B$8,$A303&lt;Config!$A$2),1,0)</f>
        <v>0</v>
      </c>
      <c r="G303" s="122">
        <f>$E303+$F303</f>
        <v>0</v>
      </c>
      <c r="H303" s="122">
        <f>IF($D303=1,$H302+1,IF($F303=1,$H302,IF($A303=Config!$A$2,$H302,0)))</f>
        <v>0</v>
      </c>
      <c r="M303" s="123" t="n"/>
    </row>
    <row r="304">
      <c r="A304" s="120" t="str">
        <f>A303+1</f>
        <v>2025-08-12 00:00:00</v>
      </c>
      <c r="B304" s="121">
        <f>SUMIFS('Daily Writing Log'!$H$5:$H$34,'Daily Writing Log'!$A$5:$A$34,$A304)</f>
        <v>0</v>
      </c>
      <c r="C304" s="121">
        <f>SUMIFS('Daily Writing Log'!$I$5:$I$34,'Daily Writing Log'!$A$5:$A$34,$A304)</f>
        <v>0</v>
      </c>
      <c r="D304" s="122">
        <f>IF($C304&gt;=Config!$B$5,1,0)</f>
        <v>0</v>
      </c>
      <c r="E304" s="122">
        <f>IF(MONTH($A304)&lt;&gt;MONTH($A303),0,$G303)</f>
        <v>0</v>
      </c>
      <c r="F304" s="122">
        <f>IF(AND($D304=0,$H303&gt;0,$E304&lt;Config!$B$8,$A304&lt;Config!$A$2),1,0)</f>
        <v>0</v>
      </c>
      <c r="G304" s="122">
        <f>$E304+$F304</f>
        <v>0</v>
      </c>
      <c r="H304" s="122">
        <f>IF($D304=1,$H303+1,IF($F304=1,$H303,IF($A304=Config!$A$2,$H303,0)))</f>
        <v>0</v>
      </c>
      <c r="M304" s="123" t="n"/>
    </row>
    <row r="305">
      <c r="A305" s="120" t="str">
        <f>A304+1</f>
        <v>2025-08-13 00:00:00</v>
      </c>
      <c r="B305" s="121">
        <f>SUMIFS('Daily Writing Log'!$H$5:$H$34,'Daily Writing Log'!$A$5:$A$34,$A305)</f>
        <v>0</v>
      </c>
      <c r="C305" s="121">
        <f>SUMIFS('Daily Writing Log'!$I$5:$I$34,'Daily Writing Log'!$A$5:$A$34,$A305)</f>
        <v>0</v>
      </c>
      <c r="D305" s="122">
        <f>IF($C305&gt;=Config!$B$5,1,0)</f>
        <v>0</v>
      </c>
      <c r="E305" s="122">
        <f>IF(MONTH($A305)&lt;&gt;MONTH($A304),0,$G304)</f>
        <v>0</v>
      </c>
      <c r="F305" s="122">
        <f>IF(AND($D305=0,$H304&gt;0,$E305&lt;Config!$B$8,$A305&lt;Config!$A$2),1,0)</f>
        <v>0</v>
      </c>
      <c r="G305" s="122">
        <f>$E305+$F305</f>
        <v>0</v>
      </c>
      <c r="H305" s="122">
        <f>IF($D305=1,$H304+1,IF($F305=1,$H304,IF($A305=Config!$A$2,$H304,0)))</f>
        <v>0</v>
      </c>
      <c r="M305" s="123" t="n"/>
    </row>
    <row r="306">
      <c r="A306" s="120" t="str">
        <f>A305+1</f>
        <v>2025-08-14 00:00:00</v>
      </c>
      <c r="B306" s="121">
        <f>SUMIFS('Daily Writing Log'!$H$5:$H$34,'Daily Writing Log'!$A$5:$A$34,$A306)</f>
        <v>0</v>
      </c>
      <c r="C306" s="121">
        <f>SUMIFS('Daily Writing Log'!$I$5:$I$34,'Daily Writing Log'!$A$5:$A$34,$A306)</f>
        <v>0</v>
      </c>
      <c r="D306" s="122">
        <f>IF($C306&gt;=Config!$B$5,1,0)</f>
        <v>0</v>
      </c>
      <c r="E306" s="122">
        <f>IF(MONTH($A306)&lt;&gt;MONTH($A305),0,$G305)</f>
        <v>0</v>
      </c>
      <c r="F306" s="122">
        <f>IF(AND($D306=0,$H305&gt;0,$E306&lt;Config!$B$8,$A306&lt;Config!$A$2),1,0)</f>
        <v>0</v>
      </c>
      <c r="G306" s="122">
        <f>$E306+$F306</f>
        <v>0</v>
      </c>
      <c r="H306" s="122">
        <f>IF($D306=1,$H305+1,IF($F306=1,$H305,IF($A306=Config!$A$2,$H305,0)))</f>
        <v>0</v>
      </c>
      <c r="M306" s="123" t="n"/>
    </row>
    <row r="307">
      <c r="A307" s="120" t="str">
        <f>A306+1</f>
        <v>2025-08-15 00:00:00</v>
      </c>
      <c r="B307" s="121">
        <f>SUMIFS('Daily Writing Log'!$H$5:$H$34,'Daily Writing Log'!$A$5:$A$34,$A307)</f>
        <v>0</v>
      </c>
      <c r="C307" s="121">
        <f>SUMIFS('Daily Writing Log'!$I$5:$I$34,'Daily Writing Log'!$A$5:$A$34,$A307)</f>
        <v>0</v>
      </c>
      <c r="D307" s="122">
        <f>IF($C307&gt;=Config!$B$5,1,0)</f>
        <v>0</v>
      </c>
      <c r="E307" s="122">
        <f>IF(MONTH($A307)&lt;&gt;MONTH($A306),0,$G306)</f>
        <v>0</v>
      </c>
      <c r="F307" s="122">
        <f>IF(AND($D307=0,$H306&gt;0,$E307&lt;Config!$B$8,$A307&lt;Config!$A$2),1,0)</f>
        <v>0</v>
      </c>
      <c r="G307" s="122">
        <f>$E307+$F307</f>
        <v>0</v>
      </c>
      <c r="H307" s="122">
        <f>IF($D307=1,$H306+1,IF($F307=1,$H306,IF($A307=Config!$A$2,$H306,0)))</f>
        <v>0</v>
      </c>
      <c r="M307" s="123" t="n"/>
    </row>
    <row r="308">
      <c r="A308" s="120" t="str">
        <f>A307+1</f>
        <v>2025-08-16 00:00:00</v>
      </c>
      <c r="B308" s="121">
        <f>SUMIFS('Daily Writing Log'!$H$5:$H$34,'Daily Writing Log'!$A$5:$A$34,$A308)</f>
        <v>0</v>
      </c>
      <c r="C308" s="121">
        <f>SUMIFS('Daily Writing Log'!$I$5:$I$34,'Daily Writing Log'!$A$5:$A$34,$A308)</f>
        <v>0</v>
      </c>
      <c r="D308" s="122">
        <f>IF($C308&gt;=Config!$B$5,1,0)</f>
        <v>0</v>
      </c>
      <c r="E308" s="122">
        <f>IF(MONTH($A308)&lt;&gt;MONTH($A307),0,$G307)</f>
        <v>0</v>
      </c>
      <c r="F308" s="122">
        <f>IF(AND($D308=0,$H307&gt;0,$E308&lt;Config!$B$8,$A308&lt;Config!$A$2),1,0)</f>
        <v>0</v>
      </c>
      <c r="G308" s="122">
        <f>$E308+$F308</f>
        <v>0</v>
      </c>
      <c r="H308" s="122">
        <f>IF($D308=1,$H307+1,IF($F308=1,$H307,IF($A308=Config!$A$2,$H307,0)))</f>
        <v>0</v>
      </c>
      <c r="M308" s="123" t="n"/>
    </row>
    <row r="309">
      <c r="A309" s="120" t="str">
        <f>A308+1</f>
        <v>2025-08-17 00:00:00</v>
      </c>
      <c r="B309" s="121">
        <f>SUMIFS('Daily Writing Log'!$H$5:$H$34,'Daily Writing Log'!$A$5:$A$34,$A309)</f>
        <v>0</v>
      </c>
      <c r="C309" s="121">
        <f>SUMIFS('Daily Writing Log'!$I$5:$I$34,'Daily Writing Log'!$A$5:$A$34,$A309)</f>
        <v>0</v>
      </c>
      <c r="D309" s="122">
        <f>IF($C309&gt;=Config!$B$5,1,0)</f>
        <v>0</v>
      </c>
      <c r="E309" s="122">
        <f>IF(MONTH($A309)&lt;&gt;MONTH($A308),0,$G308)</f>
        <v>0</v>
      </c>
      <c r="F309" s="122">
        <f>IF(AND($D309=0,$H308&gt;0,$E309&lt;Config!$B$8,$A309&lt;Config!$A$2),1,0)</f>
        <v>0</v>
      </c>
      <c r="G309" s="122">
        <f>$E309+$F309</f>
        <v>0</v>
      </c>
      <c r="H309" s="122">
        <f>IF($D309=1,$H308+1,IF($F309=1,$H308,IF($A309=Config!$A$2,$H308,0)))</f>
        <v>0</v>
      </c>
      <c r="M309" s="123" t="n"/>
    </row>
    <row r="310">
      <c r="A310" s="120" t="str">
        <f>A309+1</f>
        <v>2025-08-18 00:00:00</v>
      </c>
      <c r="B310" s="121">
        <f>SUMIFS('Daily Writing Log'!$H$5:$H$34,'Daily Writing Log'!$A$5:$A$34,$A310)</f>
        <v>0</v>
      </c>
      <c r="C310" s="121">
        <f>SUMIFS('Daily Writing Log'!$I$5:$I$34,'Daily Writing Log'!$A$5:$A$34,$A310)</f>
        <v>0</v>
      </c>
      <c r="D310" s="122">
        <f>IF($C310&gt;=Config!$B$5,1,0)</f>
        <v>0</v>
      </c>
      <c r="E310" s="122">
        <f>IF(MONTH($A310)&lt;&gt;MONTH($A309),0,$G309)</f>
        <v>0</v>
      </c>
      <c r="F310" s="122">
        <f>IF(AND($D310=0,$H309&gt;0,$E310&lt;Config!$B$8,$A310&lt;Config!$A$2),1,0)</f>
        <v>0</v>
      </c>
      <c r="G310" s="122">
        <f>$E310+$F310</f>
        <v>0</v>
      </c>
      <c r="H310" s="122">
        <f>IF($D310=1,$H309+1,IF($F310=1,$H309,IF($A310=Config!$A$2,$H309,0)))</f>
        <v>0</v>
      </c>
      <c r="M310" s="123" t="n"/>
    </row>
    <row r="311">
      <c r="A311" s="120" t="str">
        <f>A310+1</f>
        <v>2025-08-19 00:00:00</v>
      </c>
      <c r="B311" s="121">
        <f>SUMIFS('Daily Writing Log'!$H$5:$H$34,'Daily Writing Log'!$A$5:$A$34,$A311)</f>
        <v>0</v>
      </c>
      <c r="C311" s="121">
        <f>SUMIFS('Daily Writing Log'!$I$5:$I$34,'Daily Writing Log'!$A$5:$A$34,$A311)</f>
        <v>0</v>
      </c>
      <c r="D311" s="122">
        <f>IF($C311&gt;=Config!$B$5,1,0)</f>
        <v>0</v>
      </c>
      <c r="E311" s="122">
        <f>IF(MONTH($A311)&lt;&gt;MONTH($A310),0,$G310)</f>
        <v>0</v>
      </c>
      <c r="F311" s="122">
        <f>IF(AND($D311=0,$H310&gt;0,$E311&lt;Config!$B$8,$A311&lt;Config!$A$2),1,0)</f>
        <v>0</v>
      </c>
      <c r="G311" s="122">
        <f>$E311+$F311</f>
        <v>0</v>
      </c>
      <c r="H311" s="122">
        <f>IF($D311=1,$H310+1,IF($F311=1,$H310,IF($A311=Config!$A$2,$H310,0)))</f>
        <v>0</v>
      </c>
      <c r="M311" s="123" t="n"/>
    </row>
    <row r="312">
      <c r="A312" s="120" t="str">
        <f>A311+1</f>
        <v>2025-08-20 00:00:00</v>
      </c>
      <c r="B312" s="121">
        <f>SUMIFS('Daily Writing Log'!$H$5:$H$34,'Daily Writing Log'!$A$5:$A$34,$A312)</f>
        <v>0</v>
      </c>
      <c r="C312" s="121">
        <f>SUMIFS('Daily Writing Log'!$I$5:$I$34,'Daily Writing Log'!$A$5:$A$34,$A312)</f>
        <v>0</v>
      </c>
      <c r="D312" s="122">
        <f>IF($C312&gt;=Config!$B$5,1,0)</f>
        <v>0</v>
      </c>
      <c r="E312" s="122">
        <f>IF(MONTH($A312)&lt;&gt;MONTH($A311),0,$G311)</f>
        <v>0</v>
      </c>
      <c r="F312" s="122">
        <f>IF(AND($D312=0,$H311&gt;0,$E312&lt;Config!$B$8,$A312&lt;Config!$A$2),1,0)</f>
        <v>0</v>
      </c>
      <c r="G312" s="122">
        <f>$E312+$F312</f>
        <v>0</v>
      </c>
      <c r="H312" s="122">
        <f>IF($D312=1,$H311+1,IF($F312=1,$H311,IF($A312=Config!$A$2,$H311,0)))</f>
        <v>0</v>
      </c>
      <c r="M312" s="123" t="n"/>
    </row>
    <row r="313">
      <c r="A313" s="120" t="str">
        <f>A312+1</f>
        <v>2025-08-21 00:00:00</v>
      </c>
      <c r="B313" s="121">
        <f>SUMIFS('Daily Writing Log'!$H$5:$H$34,'Daily Writing Log'!$A$5:$A$34,$A313)</f>
        <v>0</v>
      </c>
      <c r="C313" s="121">
        <f>SUMIFS('Daily Writing Log'!$I$5:$I$34,'Daily Writing Log'!$A$5:$A$34,$A313)</f>
        <v>0</v>
      </c>
      <c r="D313" s="122">
        <f>IF($C313&gt;=Config!$B$5,1,0)</f>
        <v>0</v>
      </c>
      <c r="E313" s="122">
        <f>IF(MONTH($A313)&lt;&gt;MONTH($A312),0,$G312)</f>
        <v>0</v>
      </c>
      <c r="F313" s="122">
        <f>IF(AND($D313=0,$H312&gt;0,$E313&lt;Config!$B$8,$A313&lt;Config!$A$2),1,0)</f>
        <v>0</v>
      </c>
      <c r="G313" s="122">
        <f>$E313+$F313</f>
        <v>0</v>
      </c>
      <c r="H313" s="122">
        <f>IF($D313=1,$H312+1,IF($F313=1,$H312,IF($A313=Config!$A$2,$H312,0)))</f>
        <v>0</v>
      </c>
      <c r="M313" s="123" t="n"/>
    </row>
    <row r="314">
      <c r="A314" s="120" t="str">
        <f>A313+1</f>
        <v>2025-08-22 00:00:00</v>
      </c>
      <c r="B314" s="121">
        <f>SUMIFS('Daily Writing Log'!$H$5:$H$34,'Daily Writing Log'!$A$5:$A$34,$A314)</f>
        <v>0</v>
      </c>
      <c r="C314" s="121">
        <f>SUMIFS('Daily Writing Log'!$I$5:$I$34,'Daily Writing Log'!$A$5:$A$34,$A314)</f>
        <v>0</v>
      </c>
      <c r="D314" s="122">
        <f>IF($C314&gt;=Config!$B$5,1,0)</f>
        <v>0</v>
      </c>
      <c r="E314" s="122">
        <f>IF(MONTH($A314)&lt;&gt;MONTH($A313),0,$G313)</f>
        <v>0</v>
      </c>
      <c r="F314" s="122">
        <f>IF(AND($D314=0,$H313&gt;0,$E314&lt;Config!$B$8,$A314&lt;Config!$A$2),1,0)</f>
        <v>0</v>
      </c>
      <c r="G314" s="122">
        <f>$E314+$F314</f>
        <v>0</v>
      </c>
      <c r="H314" s="122">
        <f>IF($D314=1,$H313+1,IF($F314=1,$H313,IF($A314=Config!$A$2,$H313,0)))</f>
        <v>0</v>
      </c>
      <c r="M314" s="123" t="n"/>
    </row>
    <row r="315">
      <c r="A315" s="120" t="str">
        <f>A314+1</f>
        <v>2025-08-23 00:00:00</v>
      </c>
      <c r="B315" s="121">
        <f>SUMIFS('Daily Writing Log'!$H$5:$H$34,'Daily Writing Log'!$A$5:$A$34,$A315)</f>
        <v>0</v>
      </c>
      <c r="C315" s="121">
        <f>SUMIFS('Daily Writing Log'!$I$5:$I$34,'Daily Writing Log'!$A$5:$A$34,$A315)</f>
        <v>0</v>
      </c>
      <c r="D315" s="122">
        <f>IF($C315&gt;=Config!$B$5,1,0)</f>
        <v>0</v>
      </c>
      <c r="E315" s="122">
        <f>IF(MONTH($A315)&lt;&gt;MONTH($A314),0,$G314)</f>
        <v>0</v>
      </c>
      <c r="F315" s="122">
        <f>IF(AND($D315=0,$H314&gt;0,$E315&lt;Config!$B$8,$A315&lt;Config!$A$2),1,0)</f>
        <v>0</v>
      </c>
      <c r="G315" s="122">
        <f>$E315+$F315</f>
        <v>0</v>
      </c>
      <c r="H315" s="122">
        <f>IF($D315=1,$H314+1,IF($F315=1,$H314,IF($A315=Config!$A$2,$H314,0)))</f>
        <v>0</v>
      </c>
      <c r="M315" s="123" t="n"/>
    </row>
    <row r="316">
      <c r="A316" s="120" t="str">
        <f>A315+1</f>
        <v>2025-08-24 00:00:00</v>
      </c>
      <c r="B316" s="121">
        <f>SUMIFS('Daily Writing Log'!$H$5:$H$34,'Daily Writing Log'!$A$5:$A$34,$A316)</f>
        <v>0</v>
      </c>
      <c r="C316" s="121">
        <f>SUMIFS('Daily Writing Log'!$I$5:$I$34,'Daily Writing Log'!$A$5:$A$34,$A316)</f>
        <v>0</v>
      </c>
      <c r="D316" s="122">
        <f>IF($C316&gt;=Config!$B$5,1,0)</f>
        <v>0</v>
      </c>
      <c r="E316" s="122">
        <f>IF(MONTH($A316)&lt;&gt;MONTH($A315),0,$G315)</f>
        <v>0</v>
      </c>
      <c r="F316" s="122">
        <f>IF(AND($D316=0,$H315&gt;0,$E316&lt;Config!$B$8,$A316&lt;Config!$A$2),1,0)</f>
        <v>0</v>
      </c>
      <c r="G316" s="122">
        <f>$E316+$F316</f>
        <v>0</v>
      </c>
      <c r="H316" s="122">
        <f>IF($D316=1,$H315+1,IF($F316=1,$H315,IF($A316=Config!$A$2,$H315,0)))</f>
        <v>0</v>
      </c>
      <c r="M316" s="123" t="n"/>
    </row>
    <row r="317">
      <c r="A317" s="120" t="str">
        <f>A316+1</f>
        <v>2025-08-25 00:00:00</v>
      </c>
      <c r="B317" s="121">
        <f>SUMIFS('Daily Writing Log'!$H$5:$H$34,'Daily Writing Log'!$A$5:$A$34,$A317)</f>
        <v>0</v>
      </c>
      <c r="C317" s="121">
        <f>SUMIFS('Daily Writing Log'!$I$5:$I$34,'Daily Writing Log'!$A$5:$A$34,$A317)</f>
        <v>0</v>
      </c>
      <c r="D317" s="122">
        <f>IF($C317&gt;=Config!$B$5,1,0)</f>
        <v>0</v>
      </c>
      <c r="E317" s="122">
        <f>IF(MONTH($A317)&lt;&gt;MONTH($A316),0,$G316)</f>
        <v>0</v>
      </c>
      <c r="F317" s="122">
        <f>IF(AND($D317=0,$H316&gt;0,$E317&lt;Config!$B$8,$A317&lt;Config!$A$2),1,0)</f>
        <v>0</v>
      </c>
      <c r="G317" s="122">
        <f>$E317+$F317</f>
        <v>0</v>
      </c>
      <c r="H317" s="122">
        <f>IF($D317=1,$H316+1,IF($F317=1,$H316,IF($A317=Config!$A$2,$H316,0)))</f>
        <v>0</v>
      </c>
      <c r="M317" s="123" t="n"/>
    </row>
    <row r="318">
      <c r="A318" s="120" t="str">
        <f>A317+1</f>
        <v>2025-08-26 00:00:00</v>
      </c>
      <c r="B318" s="121">
        <f>SUMIFS('Daily Writing Log'!$H$5:$H$34,'Daily Writing Log'!$A$5:$A$34,$A318)</f>
        <v>0</v>
      </c>
      <c r="C318" s="121">
        <f>SUMIFS('Daily Writing Log'!$I$5:$I$34,'Daily Writing Log'!$A$5:$A$34,$A318)</f>
        <v>0</v>
      </c>
      <c r="D318" s="122">
        <f>IF($C318&gt;=Config!$B$5,1,0)</f>
        <v>0</v>
      </c>
      <c r="E318" s="122">
        <f>IF(MONTH($A318)&lt;&gt;MONTH($A317),0,$G317)</f>
        <v>0</v>
      </c>
      <c r="F318" s="122">
        <f>IF(AND($D318=0,$H317&gt;0,$E318&lt;Config!$B$8,$A318&lt;Config!$A$2),1,0)</f>
        <v>0</v>
      </c>
      <c r="G318" s="122">
        <f>$E318+$F318</f>
        <v>0</v>
      </c>
      <c r="H318" s="122">
        <f>IF($D318=1,$H317+1,IF($F318=1,$H317,IF($A318=Config!$A$2,$H317,0)))</f>
        <v>0</v>
      </c>
      <c r="M318" s="123" t="n"/>
    </row>
    <row r="319">
      <c r="A319" s="120" t="str">
        <f>A318+1</f>
        <v>2025-08-27 00:00:00</v>
      </c>
      <c r="B319" s="121">
        <f>SUMIFS('Daily Writing Log'!$H$5:$H$34,'Daily Writing Log'!$A$5:$A$34,$A319)</f>
        <v>0</v>
      </c>
      <c r="C319" s="121">
        <f>SUMIFS('Daily Writing Log'!$I$5:$I$34,'Daily Writing Log'!$A$5:$A$34,$A319)</f>
        <v>0</v>
      </c>
      <c r="D319" s="122">
        <f>IF($C319&gt;=Config!$B$5,1,0)</f>
        <v>0</v>
      </c>
      <c r="E319" s="122">
        <f>IF(MONTH($A319)&lt;&gt;MONTH($A318),0,$G318)</f>
        <v>0</v>
      </c>
      <c r="F319" s="122">
        <f>IF(AND($D319=0,$H318&gt;0,$E319&lt;Config!$B$8,$A319&lt;Config!$A$2),1,0)</f>
        <v>0</v>
      </c>
      <c r="G319" s="122">
        <f>$E319+$F319</f>
        <v>0</v>
      </c>
      <c r="H319" s="122">
        <f>IF($D319=1,$H318+1,IF($F319=1,$H318,IF($A319=Config!$A$2,$H318,0)))</f>
        <v>0</v>
      </c>
      <c r="M319" s="123" t="n"/>
    </row>
    <row r="320">
      <c r="A320" s="120" t="str">
        <f>A319+1</f>
        <v>2025-08-28 00:00:00</v>
      </c>
      <c r="B320" s="121">
        <f>SUMIFS('Daily Writing Log'!$H$5:$H$34,'Daily Writing Log'!$A$5:$A$34,$A320)</f>
        <v>0</v>
      </c>
      <c r="C320" s="121">
        <f>SUMIFS('Daily Writing Log'!$I$5:$I$34,'Daily Writing Log'!$A$5:$A$34,$A320)</f>
        <v>0</v>
      </c>
      <c r="D320" s="122">
        <f>IF($C320&gt;=Config!$B$5,1,0)</f>
        <v>0</v>
      </c>
      <c r="E320" s="122">
        <f>IF(MONTH($A320)&lt;&gt;MONTH($A319),0,$G319)</f>
        <v>0</v>
      </c>
      <c r="F320" s="122">
        <f>IF(AND($D320=0,$H319&gt;0,$E320&lt;Config!$B$8,$A320&lt;Config!$A$2),1,0)</f>
        <v>0</v>
      </c>
      <c r="G320" s="122">
        <f>$E320+$F320</f>
        <v>0</v>
      </c>
      <c r="H320" s="122">
        <f>IF($D320=1,$H319+1,IF($F320=1,$H319,IF($A320=Config!$A$2,$H319,0)))</f>
        <v>0</v>
      </c>
      <c r="M320" s="123" t="n"/>
    </row>
    <row r="321">
      <c r="A321" s="120" t="str">
        <f>A320+1</f>
        <v>2025-08-29 00:00:00</v>
      </c>
      <c r="B321" s="121">
        <f>SUMIFS('Daily Writing Log'!$H$5:$H$34,'Daily Writing Log'!$A$5:$A$34,$A321)</f>
        <v>0</v>
      </c>
      <c r="C321" s="121">
        <f>SUMIFS('Daily Writing Log'!$I$5:$I$34,'Daily Writing Log'!$A$5:$A$34,$A321)</f>
        <v>0</v>
      </c>
      <c r="D321" s="122">
        <f>IF($C321&gt;=Config!$B$5,1,0)</f>
        <v>0</v>
      </c>
      <c r="E321" s="122">
        <f>IF(MONTH($A321)&lt;&gt;MONTH($A320),0,$G320)</f>
        <v>0</v>
      </c>
      <c r="F321" s="122">
        <f>IF(AND($D321=0,$H320&gt;0,$E321&lt;Config!$B$8,$A321&lt;Config!$A$2),1,0)</f>
        <v>0</v>
      </c>
      <c r="G321" s="122">
        <f>$E321+$F321</f>
        <v>0</v>
      </c>
      <c r="H321" s="122">
        <f>IF($D321=1,$H320+1,IF($F321=1,$H320,IF($A321=Config!$A$2,$H320,0)))</f>
        <v>0</v>
      </c>
      <c r="M321" s="123" t="n"/>
    </row>
    <row r="322">
      <c r="A322" s="120" t="str">
        <f>A321+1</f>
        <v>2025-08-30 00:00:00</v>
      </c>
      <c r="B322" s="121">
        <f>SUMIFS('Daily Writing Log'!$H$5:$H$34,'Daily Writing Log'!$A$5:$A$34,$A322)</f>
        <v>0</v>
      </c>
      <c r="C322" s="121">
        <f>SUMIFS('Daily Writing Log'!$I$5:$I$34,'Daily Writing Log'!$A$5:$A$34,$A322)</f>
        <v>0</v>
      </c>
      <c r="D322" s="122">
        <f>IF($C322&gt;=Config!$B$5,1,0)</f>
        <v>0</v>
      </c>
      <c r="E322" s="122">
        <f>IF(MONTH($A322)&lt;&gt;MONTH($A321),0,$G321)</f>
        <v>0</v>
      </c>
      <c r="F322" s="122">
        <f>IF(AND($D322=0,$H321&gt;0,$E322&lt;Config!$B$8,$A322&lt;Config!$A$2),1,0)</f>
        <v>0</v>
      </c>
      <c r="G322" s="122">
        <f>$E322+$F322</f>
        <v>0</v>
      </c>
      <c r="H322" s="122">
        <f>IF($D322=1,$H321+1,IF($F322=1,$H321,IF($A322=Config!$A$2,$H321,0)))</f>
        <v>0</v>
      </c>
      <c r="M322" s="123" t="n"/>
    </row>
    <row r="323">
      <c r="A323" s="120" t="str">
        <f>A322+1</f>
        <v>2025-08-31 00:00:00</v>
      </c>
      <c r="B323" s="121">
        <f>SUMIFS('Daily Writing Log'!$H$5:$H$34,'Daily Writing Log'!$A$5:$A$34,$A323)</f>
        <v>0</v>
      </c>
      <c r="C323" s="121">
        <f>SUMIFS('Daily Writing Log'!$I$5:$I$34,'Daily Writing Log'!$A$5:$A$34,$A323)</f>
        <v>0</v>
      </c>
      <c r="D323" s="122">
        <f>IF($C323&gt;=Config!$B$5,1,0)</f>
        <v>0</v>
      </c>
      <c r="E323" s="122">
        <f>IF(MONTH($A323)&lt;&gt;MONTH($A322),0,$G322)</f>
        <v>0</v>
      </c>
      <c r="F323" s="122">
        <f>IF(AND($D323=0,$H322&gt;0,$E323&lt;Config!$B$8,$A323&lt;Config!$A$2),1,0)</f>
        <v>0</v>
      </c>
      <c r="G323" s="122">
        <f>$E323+$F323</f>
        <v>0</v>
      </c>
      <c r="H323" s="122">
        <f>IF($D323=1,$H322+1,IF($F323=1,$H322,IF($A323=Config!$A$2,$H322,0)))</f>
        <v>0</v>
      </c>
      <c r="M323" s="123" t="n"/>
    </row>
    <row r="324">
      <c r="A324" s="120" t="str">
        <f>A323+1</f>
        <v>2025-09-01 00:00:00</v>
      </c>
      <c r="B324" s="121">
        <f>SUMIFS('Daily Writing Log'!$H$5:$H$34,'Daily Writing Log'!$A$5:$A$34,$A324)</f>
        <v>0</v>
      </c>
      <c r="C324" s="121">
        <f>SUMIFS('Daily Writing Log'!$I$5:$I$34,'Daily Writing Log'!$A$5:$A$34,$A324)</f>
        <v>0</v>
      </c>
      <c r="D324" s="122">
        <f>IF($C324&gt;=Config!$B$5,1,0)</f>
        <v>0</v>
      </c>
      <c r="E324" s="122">
        <f>IF(MONTH($A324)&lt;&gt;MONTH($A323),0,$G323)</f>
        <v>0</v>
      </c>
      <c r="F324" s="122">
        <f>IF(AND($D324=0,$H323&gt;0,$E324&lt;Config!$B$8,$A324&lt;Config!$A$2),1,0)</f>
        <v>0</v>
      </c>
      <c r="G324" s="122">
        <f>$E324+$F324</f>
        <v>0</v>
      </c>
      <c r="H324" s="122">
        <f>IF($D324=1,$H323+1,IF($F324=1,$H323,IF($A324=Config!$A$2,$H323,0)))</f>
        <v>0</v>
      </c>
      <c r="M324" s="123" t="n"/>
    </row>
    <row r="325">
      <c r="A325" s="120" t="str">
        <f>A324+1</f>
        <v>2025-09-02 00:00:00</v>
      </c>
      <c r="B325" s="121">
        <f>SUMIFS('Daily Writing Log'!$H$5:$H$34,'Daily Writing Log'!$A$5:$A$34,$A325)</f>
        <v>0</v>
      </c>
      <c r="C325" s="121">
        <f>SUMIFS('Daily Writing Log'!$I$5:$I$34,'Daily Writing Log'!$A$5:$A$34,$A325)</f>
        <v>0</v>
      </c>
      <c r="D325" s="122">
        <f>IF($C325&gt;=Config!$B$5,1,0)</f>
        <v>0</v>
      </c>
      <c r="E325" s="122">
        <f>IF(MONTH($A325)&lt;&gt;MONTH($A324),0,$G324)</f>
        <v>0</v>
      </c>
      <c r="F325" s="122">
        <f>IF(AND($D325=0,$H324&gt;0,$E325&lt;Config!$B$8,$A325&lt;Config!$A$2),1,0)</f>
        <v>0</v>
      </c>
      <c r="G325" s="122">
        <f>$E325+$F325</f>
        <v>0</v>
      </c>
      <c r="H325" s="122">
        <f>IF($D325=1,$H324+1,IF($F325=1,$H324,IF($A325=Config!$A$2,$H324,0)))</f>
        <v>0</v>
      </c>
      <c r="M325" s="123" t="n"/>
    </row>
    <row r="326">
      <c r="A326" s="120" t="str">
        <f>A325+1</f>
        <v>2025-09-03 00:00:00</v>
      </c>
      <c r="B326" s="121">
        <f>SUMIFS('Daily Writing Log'!$H$5:$H$34,'Daily Writing Log'!$A$5:$A$34,$A326)</f>
        <v>0</v>
      </c>
      <c r="C326" s="121">
        <f>SUMIFS('Daily Writing Log'!$I$5:$I$34,'Daily Writing Log'!$A$5:$A$34,$A326)</f>
        <v>0</v>
      </c>
      <c r="D326" s="122">
        <f>IF($C326&gt;=Config!$B$5,1,0)</f>
        <v>0</v>
      </c>
      <c r="E326" s="122">
        <f>IF(MONTH($A326)&lt;&gt;MONTH($A325),0,$G325)</f>
        <v>0</v>
      </c>
      <c r="F326" s="122">
        <f>IF(AND($D326=0,$H325&gt;0,$E326&lt;Config!$B$8,$A326&lt;Config!$A$2),1,0)</f>
        <v>0</v>
      </c>
      <c r="G326" s="122">
        <f>$E326+$F326</f>
        <v>0</v>
      </c>
      <c r="H326" s="122">
        <f>IF($D326=1,$H325+1,IF($F326=1,$H325,IF($A326=Config!$A$2,$H325,0)))</f>
        <v>0</v>
      </c>
      <c r="M326" s="123" t="n"/>
    </row>
    <row r="327">
      <c r="A327" s="120" t="str">
        <f>A326+1</f>
        <v>2025-09-04 00:00:00</v>
      </c>
      <c r="B327" s="121">
        <f>SUMIFS('Daily Writing Log'!$H$5:$H$34,'Daily Writing Log'!$A$5:$A$34,$A327)</f>
        <v>0</v>
      </c>
      <c r="C327" s="121">
        <f>SUMIFS('Daily Writing Log'!$I$5:$I$34,'Daily Writing Log'!$A$5:$A$34,$A327)</f>
        <v>0</v>
      </c>
      <c r="D327" s="122">
        <f>IF($C327&gt;=Config!$B$5,1,0)</f>
        <v>0</v>
      </c>
      <c r="E327" s="122">
        <f>IF(MONTH($A327)&lt;&gt;MONTH($A326),0,$G326)</f>
        <v>0</v>
      </c>
      <c r="F327" s="122">
        <f>IF(AND($D327=0,$H326&gt;0,$E327&lt;Config!$B$8,$A327&lt;Config!$A$2),1,0)</f>
        <v>0</v>
      </c>
      <c r="G327" s="122">
        <f>$E327+$F327</f>
        <v>0</v>
      </c>
      <c r="H327" s="122">
        <f>IF($D327=1,$H326+1,IF($F327=1,$H326,IF($A327=Config!$A$2,$H326,0)))</f>
        <v>0</v>
      </c>
      <c r="M327" s="123" t="n"/>
    </row>
    <row r="328">
      <c r="A328" s="120" t="str">
        <f>A327+1</f>
        <v>2025-09-05 00:00:00</v>
      </c>
      <c r="B328" s="121">
        <f>SUMIFS('Daily Writing Log'!$H$5:$H$34,'Daily Writing Log'!$A$5:$A$34,$A328)</f>
        <v>0</v>
      </c>
      <c r="C328" s="121">
        <f>SUMIFS('Daily Writing Log'!$I$5:$I$34,'Daily Writing Log'!$A$5:$A$34,$A328)</f>
        <v>0</v>
      </c>
      <c r="D328" s="122">
        <f>IF($C328&gt;=Config!$B$5,1,0)</f>
        <v>0</v>
      </c>
      <c r="E328" s="122">
        <f>IF(MONTH($A328)&lt;&gt;MONTH($A327),0,$G327)</f>
        <v>0</v>
      </c>
      <c r="F328" s="122">
        <f>IF(AND($D328=0,$H327&gt;0,$E328&lt;Config!$B$8,$A328&lt;Config!$A$2),1,0)</f>
        <v>0</v>
      </c>
      <c r="G328" s="122">
        <f>$E328+$F328</f>
        <v>0</v>
      </c>
      <c r="H328" s="122">
        <f>IF($D328=1,$H327+1,IF($F328=1,$H327,IF($A328=Config!$A$2,$H327,0)))</f>
        <v>0</v>
      </c>
      <c r="M328" s="123" t="n"/>
    </row>
    <row r="329">
      <c r="A329" s="120" t="str">
        <f>A328+1</f>
        <v>2025-09-06 00:00:00</v>
      </c>
      <c r="B329" s="121">
        <f>SUMIFS('Daily Writing Log'!$H$5:$H$34,'Daily Writing Log'!$A$5:$A$34,$A329)</f>
        <v>0</v>
      </c>
      <c r="C329" s="121">
        <f>SUMIFS('Daily Writing Log'!$I$5:$I$34,'Daily Writing Log'!$A$5:$A$34,$A329)</f>
        <v>0</v>
      </c>
      <c r="D329" s="122">
        <f>IF($C329&gt;=Config!$B$5,1,0)</f>
        <v>0</v>
      </c>
      <c r="E329" s="122">
        <f>IF(MONTH($A329)&lt;&gt;MONTH($A328),0,$G328)</f>
        <v>0</v>
      </c>
      <c r="F329" s="122">
        <f>IF(AND($D329=0,$H328&gt;0,$E329&lt;Config!$B$8,$A329&lt;Config!$A$2),1,0)</f>
        <v>0</v>
      </c>
      <c r="G329" s="122">
        <f>$E329+$F329</f>
        <v>0</v>
      </c>
      <c r="H329" s="122">
        <f>IF($D329=1,$H328+1,IF($F329=1,$H328,IF($A329=Config!$A$2,$H328,0)))</f>
        <v>0</v>
      </c>
      <c r="M329" s="123" t="n"/>
    </row>
    <row r="330">
      <c r="A330" s="120" t="str">
        <f>A329+1</f>
        <v>2025-09-07 00:00:00</v>
      </c>
      <c r="B330" s="121">
        <f>SUMIFS('Daily Writing Log'!$H$5:$H$34,'Daily Writing Log'!$A$5:$A$34,$A330)</f>
        <v>0</v>
      </c>
      <c r="C330" s="121">
        <f>SUMIFS('Daily Writing Log'!$I$5:$I$34,'Daily Writing Log'!$A$5:$A$34,$A330)</f>
        <v>0</v>
      </c>
      <c r="D330" s="122">
        <f>IF($C330&gt;=Config!$B$5,1,0)</f>
        <v>0</v>
      </c>
      <c r="E330" s="122">
        <f>IF(MONTH($A330)&lt;&gt;MONTH($A329),0,$G329)</f>
        <v>0</v>
      </c>
      <c r="F330" s="122">
        <f>IF(AND($D330=0,$H329&gt;0,$E330&lt;Config!$B$8,$A330&lt;Config!$A$2),1,0)</f>
        <v>0</v>
      </c>
      <c r="G330" s="122">
        <f>$E330+$F330</f>
        <v>0</v>
      </c>
      <c r="H330" s="122">
        <f>IF($D330=1,$H329+1,IF($F330=1,$H329,IF($A330=Config!$A$2,$H329,0)))</f>
        <v>0</v>
      </c>
      <c r="M330" s="123" t="n"/>
    </row>
    <row r="331">
      <c r="A331" s="120" t="str">
        <f>A330+1</f>
        <v>2025-09-08 00:00:00</v>
      </c>
      <c r="B331" s="121">
        <f>SUMIFS('Daily Writing Log'!$H$5:$H$34,'Daily Writing Log'!$A$5:$A$34,$A331)</f>
        <v>0</v>
      </c>
      <c r="C331" s="121">
        <f>SUMIFS('Daily Writing Log'!$I$5:$I$34,'Daily Writing Log'!$A$5:$A$34,$A331)</f>
        <v>0</v>
      </c>
      <c r="D331" s="122">
        <f>IF($C331&gt;=Config!$B$5,1,0)</f>
        <v>0</v>
      </c>
      <c r="E331" s="122">
        <f>IF(MONTH($A331)&lt;&gt;MONTH($A330),0,$G330)</f>
        <v>0</v>
      </c>
      <c r="F331" s="122">
        <f>IF(AND($D331=0,$H330&gt;0,$E331&lt;Config!$B$8,$A331&lt;Config!$A$2),1,0)</f>
        <v>0</v>
      </c>
      <c r="G331" s="122">
        <f>$E331+$F331</f>
        <v>0</v>
      </c>
      <c r="H331" s="122">
        <f>IF($D331=1,$H330+1,IF($F331=1,$H330,IF($A331=Config!$A$2,$H330,0)))</f>
        <v>0</v>
      </c>
      <c r="M331" s="123" t="n"/>
    </row>
    <row r="332">
      <c r="A332" s="120" t="str">
        <f>A331+1</f>
        <v>2025-09-09 00:00:00</v>
      </c>
      <c r="B332" s="121">
        <f>SUMIFS('Daily Writing Log'!$H$5:$H$34,'Daily Writing Log'!$A$5:$A$34,$A332)</f>
        <v>0</v>
      </c>
      <c r="C332" s="121">
        <f>SUMIFS('Daily Writing Log'!$I$5:$I$34,'Daily Writing Log'!$A$5:$A$34,$A332)</f>
        <v>0</v>
      </c>
      <c r="D332" s="122">
        <f>IF($C332&gt;=Config!$B$5,1,0)</f>
        <v>0</v>
      </c>
      <c r="E332" s="122">
        <f>IF(MONTH($A332)&lt;&gt;MONTH($A331),0,$G331)</f>
        <v>0</v>
      </c>
      <c r="F332" s="122">
        <f>IF(AND($D332=0,$H331&gt;0,$E332&lt;Config!$B$8,$A332&lt;Config!$A$2),1,0)</f>
        <v>0</v>
      </c>
      <c r="G332" s="122">
        <f>$E332+$F332</f>
        <v>0</v>
      </c>
      <c r="H332" s="122">
        <f>IF($D332=1,$H331+1,IF($F332=1,$H331,IF($A332=Config!$A$2,$H331,0)))</f>
        <v>0</v>
      </c>
      <c r="M332" s="123" t="n"/>
    </row>
    <row r="333">
      <c r="A333" s="120" t="str">
        <f>A332+1</f>
        <v>2025-09-10 00:00:00</v>
      </c>
      <c r="B333" s="121">
        <f>SUMIFS('Daily Writing Log'!$H$5:$H$34,'Daily Writing Log'!$A$5:$A$34,$A333)</f>
        <v>0</v>
      </c>
      <c r="C333" s="121">
        <f>SUMIFS('Daily Writing Log'!$I$5:$I$34,'Daily Writing Log'!$A$5:$A$34,$A333)</f>
        <v>0</v>
      </c>
      <c r="D333" s="122">
        <f>IF($C333&gt;=Config!$B$5,1,0)</f>
        <v>0</v>
      </c>
      <c r="E333" s="122">
        <f>IF(MONTH($A333)&lt;&gt;MONTH($A332),0,$G332)</f>
        <v>0</v>
      </c>
      <c r="F333" s="122">
        <f>IF(AND($D333=0,$H332&gt;0,$E333&lt;Config!$B$8,$A333&lt;Config!$A$2),1,0)</f>
        <v>0</v>
      </c>
      <c r="G333" s="122">
        <f>$E333+$F333</f>
        <v>0</v>
      </c>
      <c r="H333" s="122">
        <f>IF($D333=1,$H332+1,IF($F333=1,$H332,IF($A333=Config!$A$2,$H332,0)))</f>
        <v>0</v>
      </c>
      <c r="M333" s="123" t="n"/>
    </row>
    <row r="334">
      <c r="A334" s="120" t="str">
        <f>A333+1</f>
        <v>2025-09-11 00:00:00</v>
      </c>
      <c r="B334" s="121">
        <f>SUMIFS('Daily Writing Log'!$H$5:$H$34,'Daily Writing Log'!$A$5:$A$34,$A334)</f>
        <v>0</v>
      </c>
      <c r="C334" s="121">
        <f>SUMIFS('Daily Writing Log'!$I$5:$I$34,'Daily Writing Log'!$A$5:$A$34,$A334)</f>
        <v>0</v>
      </c>
      <c r="D334" s="122">
        <f>IF($C334&gt;=Config!$B$5,1,0)</f>
        <v>0</v>
      </c>
      <c r="E334" s="122">
        <f>IF(MONTH($A334)&lt;&gt;MONTH($A333),0,$G333)</f>
        <v>0</v>
      </c>
      <c r="F334" s="122">
        <f>IF(AND($D334=0,$H333&gt;0,$E334&lt;Config!$B$8,$A334&lt;Config!$A$2),1,0)</f>
        <v>0</v>
      </c>
      <c r="G334" s="122">
        <f>$E334+$F334</f>
        <v>0</v>
      </c>
      <c r="H334" s="122">
        <f>IF($D334=1,$H333+1,IF($F334=1,$H333,IF($A334=Config!$A$2,$H333,0)))</f>
        <v>0</v>
      </c>
      <c r="M334" s="123" t="n"/>
    </row>
    <row r="335">
      <c r="A335" s="120" t="str">
        <f>A334+1</f>
        <v>2025-09-12 00:00:00</v>
      </c>
      <c r="B335" s="121">
        <f>SUMIFS('Daily Writing Log'!$H$5:$H$34,'Daily Writing Log'!$A$5:$A$34,$A335)</f>
        <v>0</v>
      </c>
      <c r="C335" s="121">
        <f>SUMIFS('Daily Writing Log'!$I$5:$I$34,'Daily Writing Log'!$A$5:$A$34,$A335)</f>
        <v>0</v>
      </c>
      <c r="D335" s="122">
        <f>IF($C335&gt;=Config!$B$5,1,0)</f>
        <v>0</v>
      </c>
      <c r="E335" s="122">
        <f>IF(MONTH($A335)&lt;&gt;MONTH($A334),0,$G334)</f>
        <v>0</v>
      </c>
      <c r="F335" s="122">
        <f>IF(AND($D335=0,$H334&gt;0,$E335&lt;Config!$B$8,$A335&lt;Config!$A$2),1,0)</f>
        <v>0</v>
      </c>
      <c r="G335" s="122">
        <f>$E335+$F335</f>
        <v>0</v>
      </c>
      <c r="H335" s="122">
        <f>IF($D335=1,$H334+1,IF($F335=1,$H334,IF($A335=Config!$A$2,$H334,0)))</f>
        <v>0</v>
      </c>
      <c r="M335" s="123" t="n"/>
    </row>
    <row r="336">
      <c r="A336" s="120" t="str">
        <f>A335+1</f>
        <v>2025-09-13 00:00:00</v>
      </c>
      <c r="B336" s="121">
        <f>SUMIFS('Daily Writing Log'!$H$5:$H$34,'Daily Writing Log'!$A$5:$A$34,$A336)</f>
        <v>0</v>
      </c>
      <c r="C336" s="121">
        <f>SUMIFS('Daily Writing Log'!$I$5:$I$34,'Daily Writing Log'!$A$5:$A$34,$A336)</f>
        <v>0</v>
      </c>
      <c r="D336" s="122">
        <f>IF($C336&gt;=Config!$B$5,1,0)</f>
        <v>0</v>
      </c>
      <c r="E336" s="122">
        <f>IF(MONTH($A336)&lt;&gt;MONTH($A335),0,$G335)</f>
        <v>0</v>
      </c>
      <c r="F336" s="122">
        <f>IF(AND($D336=0,$H335&gt;0,$E336&lt;Config!$B$8,$A336&lt;Config!$A$2),1,0)</f>
        <v>0</v>
      </c>
      <c r="G336" s="122">
        <f>$E336+$F336</f>
        <v>0</v>
      </c>
      <c r="H336" s="122">
        <f>IF($D336=1,$H335+1,IF($F336=1,$H335,IF($A336=Config!$A$2,$H335,0)))</f>
        <v>0</v>
      </c>
      <c r="M336" s="123" t="n"/>
    </row>
    <row r="337">
      <c r="A337" s="120" t="str">
        <f>A336+1</f>
        <v>2025-09-14 00:00:00</v>
      </c>
      <c r="B337" s="121">
        <f>SUMIFS('Daily Writing Log'!$H$5:$H$34,'Daily Writing Log'!$A$5:$A$34,$A337)</f>
        <v>0</v>
      </c>
      <c r="C337" s="121">
        <f>SUMIFS('Daily Writing Log'!$I$5:$I$34,'Daily Writing Log'!$A$5:$A$34,$A337)</f>
        <v>0</v>
      </c>
      <c r="D337" s="122">
        <f>IF($C337&gt;=Config!$B$5,1,0)</f>
        <v>0</v>
      </c>
      <c r="E337" s="122">
        <f>IF(MONTH($A337)&lt;&gt;MONTH($A336),0,$G336)</f>
        <v>0</v>
      </c>
      <c r="F337" s="122">
        <f>IF(AND($D337=0,$H336&gt;0,$E337&lt;Config!$B$8,$A337&lt;Config!$A$2),1,0)</f>
        <v>0</v>
      </c>
      <c r="G337" s="122">
        <f>$E337+$F337</f>
        <v>0</v>
      </c>
      <c r="H337" s="122">
        <f>IF($D337=1,$H336+1,IF($F337=1,$H336,IF($A337=Config!$A$2,$H336,0)))</f>
        <v>0</v>
      </c>
      <c r="M337" s="123" t="n"/>
    </row>
    <row r="338">
      <c r="A338" s="120" t="str">
        <f>A337+1</f>
        <v>2025-09-15 00:00:00</v>
      </c>
      <c r="B338" s="121">
        <f>SUMIFS('Daily Writing Log'!$H$5:$H$34,'Daily Writing Log'!$A$5:$A$34,$A338)</f>
        <v>0</v>
      </c>
      <c r="C338" s="121">
        <f>SUMIFS('Daily Writing Log'!$I$5:$I$34,'Daily Writing Log'!$A$5:$A$34,$A338)</f>
        <v>0</v>
      </c>
      <c r="D338" s="122">
        <f>IF($C338&gt;=Config!$B$5,1,0)</f>
        <v>0</v>
      </c>
      <c r="E338" s="122">
        <f>IF(MONTH($A338)&lt;&gt;MONTH($A337),0,$G337)</f>
        <v>0</v>
      </c>
      <c r="F338" s="122">
        <f>IF(AND($D338=0,$H337&gt;0,$E338&lt;Config!$B$8,$A338&lt;Config!$A$2),1,0)</f>
        <v>0</v>
      </c>
      <c r="G338" s="122">
        <f>$E338+$F338</f>
        <v>0</v>
      </c>
      <c r="H338" s="122">
        <f>IF($D338=1,$H337+1,IF($F338=1,$H337,IF($A338=Config!$A$2,$H337,0)))</f>
        <v>0</v>
      </c>
      <c r="M338" s="123" t="n"/>
    </row>
    <row r="339">
      <c r="A339" s="120" t="str">
        <f>A338+1</f>
        <v>2025-09-16 00:00:00</v>
      </c>
      <c r="B339" s="121">
        <f>SUMIFS('Daily Writing Log'!$H$5:$H$34,'Daily Writing Log'!$A$5:$A$34,$A339)</f>
        <v>0</v>
      </c>
      <c r="C339" s="121">
        <f>SUMIFS('Daily Writing Log'!$I$5:$I$34,'Daily Writing Log'!$A$5:$A$34,$A339)</f>
        <v>0</v>
      </c>
      <c r="D339" s="122">
        <f>IF($C339&gt;=Config!$B$5,1,0)</f>
        <v>0</v>
      </c>
      <c r="E339" s="122">
        <f>IF(MONTH($A339)&lt;&gt;MONTH($A338),0,$G338)</f>
        <v>0</v>
      </c>
      <c r="F339" s="122">
        <f>IF(AND($D339=0,$H338&gt;0,$E339&lt;Config!$B$8,$A339&lt;Config!$A$2),1,0)</f>
        <v>0</v>
      </c>
      <c r="G339" s="122">
        <f>$E339+$F339</f>
        <v>0</v>
      </c>
      <c r="H339" s="122">
        <f>IF($D339=1,$H338+1,IF($F339=1,$H338,IF($A339=Config!$A$2,$H338,0)))</f>
        <v>0</v>
      </c>
      <c r="M339" s="123" t="n"/>
    </row>
    <row r="340">
      <c r="A340" s="120" t="str">
        <f>A339+1</f>
        <v>2025-09-17 00:00:00</v>
      </c>
      <c r="B340" s="121">
        <f>SUMIFS('Daily Writing Log'!$H$5:$H$34,'Daily Writing Log'!$A$5:$A$34,$A340)</f>
        <v>0</v>
      </c>
      <c r="C340" s="121">
        <f>SUMIFS('Daily Writing Log'!$I$5:$I$34,'Daily Writing Log'!$A$5:$A$34,$A340)</f>
        <v>0</v>
      </c>
      <c r="D340" s="122">
        <f>IF($C340&gt;=Config!$B$5,1,0)</f>
        <v>0</v>
      </c>
      <c r="E340" s="122">
        <f>IF(MONTH($A340)&lt;&gt;MONTH($A339),0,$G339)</f>
        <v>0</v>
      </c>
      <c r="F340" s="122">
        <f>IF(AND($D340=0,$H339&gt;0,$E340&lt;Config!$B$8,$A340&lt;Config!$A$2),1,0)</f>
        <v>0</v>
      </c>
      <c r="G340" s="122">
        <f>$E340+$F340</f>
        <v>0</v>
      </c>
      <c r="H340" s="122">
        <f>IF($D340=1,$H339+1,IF($F340=1,$H339,IF($A340=Config!$A$2,$H339,0)))</f>
        <v>0</v>
      </c>
      <c r="M340" s="123" t="n"/>
    </row>
    <row r="341">
      <c r="A341" s="120" t="str">
        <f>A340+1</f>
        <v>2025-09-18 00:00:00</v>
      </c>
      <c r="B341" s="121">
        <f>SUMIFS('Daily Writing Log'!$H$5:$H$34,'Daily Writing Log'!$A$5:$A$34,$A341)</f>
        <v>0</v>
      </c>
      <c r="C341" s="121">
        <f>SUMIFS('Daily Writing Log'!$I$5:$I$34,'Daily Writing Log'!$A$5:$A$34,$A341)</f>
        <v>0</v>
      </c>
      <c r="D341" s="122">
        <f>IF($C341&gt;=Config!$B$5,1,0)</f>
        <v>0</v>
      </c>
      <c r="E341" s="122">
        <f>IF(MONTH($A341)&lt;&gt;MONTH($A340),0,$G340)</f>
        <v>0</v>
      </c>
      <c r="F341" s="122">
        <f>IF(AND($D341=0,$H340&gt;0,$E341&lt;Config!$B$8,$A341&lt;Config!$A$2),1,0)</f>
        <v>0</v>
      </c>
      <c r="G341" s="122">
        <f>$E341+$F341</f>
        <v>0</v>
      </c>
      <c r="H341" s="122">
        <f>IF($D341=1,$H340+1,IF($F341=1,$H340,IF($A341=Config!$A$2,$H340,0)))</f>
        <v>0</v>
      </c>
      <c r="M341" s="123" t="n"/>
    </row>
    <row r="342">
      <c r="A342" s="120" t="str">
        <f>A341+1</f>
        <v>2025-09-19 00:00:00</v>
      </c>
      <c r="B342" s="121">
        <f>SUMIFS('Daily Writing Log'!$H$5:$H$34,'Daily Writing Log'!$A$5:$A$34,$A342)</f>
        <v>0</v>
      </c>
      <c r="C342" s="121">
        <f>SUMIFS('Daily Writing Log'!$I$5:$I$34,'Daily Writing Log'!$A$5:$A$34,$A342)</f>
        <v>0</v>
      </c>
      <c r="D342" s="122">
        <f>IF($C342&gt;=Config!$B$5,1,0)</f>
        <v>0</v>
      </c>
      <c r="E342" s="122">
        <f>IF(MONTH($A342)&lt;&gt;MONTH($A341),0,$G341)</f>
        <v>0</v>
      </c>
      <c r="F342" s="122">
        <f>IF(AND($D342=0,$H341&gt;0,$E342&lt;Config!$B$8,$A342&lt;Config!$A$2),1,0)</f>
        <v>0</v>
      </c>
      <c r="G342" s="122">
        <f>$E342+$F342</f>
        <v>0</v>
      </c>
      <c r="H342" s="122">
        <f>IF($D342=1,$H341+1,IF($F342=1,$H341,IF($A342=Config!$A$2,$H341,0)))</f>
        <v>0</v>
      </c>
      <c r="M342" s="123" t="n"/>
    </row>
    <row r="343">
      <c r="A343" s="120" t="str">
        <f>A342+1</f>
        <v>2025-09-20 00:00:00</v>
      </c>
      <c r="B343" s="121">
        <f>SUMIFS('Daily Writing Log'!$H$5:$H$34,'Daily Writing Log'!$A$5:$A$34,$A343)</f>
        <v>0</v>
      </c>
      <c r="C343" s="121">
        <f>SUMIFS('Daily Writing Log'!$I$5:$I$34,'Daily Writing Log'!$A$5:$A$34,$A343)</f>
        <v>0</v>
      </c>
      <c r="D343" s="122">
        <f>IF($C343&gt;=Config!$B$5,1,0)</f>
        <v>0</v>
      </c>
      <c r="E343" s="122">
        <f>IF(MONTH($A343)&lt;&gt;MONTH($A342),0,$G342)</f>
        <v>0</v>
      </c>
      <c r="F343" s="122">
        <f>IF(AND($D343=0,$H342&gt;0,$E343&lt;Config!$B$8,$A343&lt;Config!$A$2),1,0)</f>
        <v>0</v>
      </c>
      <c r="G343" s="122">
        <f>$E343+$F343</f>
        <v>0</v>
      </c>
      <c r="H343" s="122">
        <f>IF($D343=1,$H342+1,IF($F343=1,$H342,IF($A343=Config!$A$2,$H342,0)))</f>
        <v>0</v>
      </c>
      <c r="M343" s="123" t="n"/>
    </row>
    <row r="344">
      <c r="A344" s="120" t="str">
        <f>A343+1</f>
        <v>2025-09-21 00:00:00</v>
      </c>
      <c r="B344" s="121">
        <f>SUMIFS('Daily Writing Log'!$H$5:$H$34,'Daily Writing Log'!$A$5:$A$34,$A344)</f>
        <v>0</v>
      </c>
      <c r="C344" s="121">
        <f>SUMIFS('Daily Writing Log'!$I$5:$I$34,'Daily Writing Log'!$A$5:$A$34,$A344)</f>
        <v>0</v>
      </c>
      <c r="D344" s="122">
        <f>IF($C344&gt;=Config!$B$5,1,0)</f>
        <v>0</v>
      </c>
      <c r="E344" s="122">
        <f>IF(MONTH($A344)&lt;&gt;MONTH($A343),0,$G343)</f>
        <v>0</v>
      </c>
      <c r="F344" s="122">
        <f>IF(AND($D344=0,$H343&gt;0,$E344&lt;Config!$B$8,$A344&lt;Config!$A$2),1,0)</f>
        <v>0</v>
      </c>
      <c r="G344" s="122">
        <f>$E344+$F344</f>
        <v>0</v>
      </c>
      <c r="H344" s="122">
        <f>IF($D344=1,$H343+1,IF($F344=1,$H343,IF($A344=Config!$A$2,$H343,0)))</f>
        <v>0</v>
      </c>
      <c r="M344" s="123" t="n"/>
    </row>
    <row r="345">
      <c r="A345" s="120" t="str">
        <f>A344+1</f>
        <v>2025-09-22 00:00:00</v>
      </c>
      <c r="B345" s="121">
        <f>SUMIFS('Daily Writing Log'!$H$5:$H$34,'Daily Writing Log'!$A$5:$A$34,$A345)</f>
        <v>0</v>
      </c>
      <c r="C345" s="121">
        <f>SUMIFS('Daily Writing Log'!$I$5:$I$34,'Daily Writing Log'!$A$5:$A$34,$A345)</f>
        <v>0</v>
      </c>
      <c r="D345" s="122">
        <f>IF($C345&gt;=Config!$B$5,1,0)</f>
        <v>0</v>
      </c>
      <c r="E345" s="122">
        <f>IF(MONTH($A345)&lt;&gt;MONTH($A344),0,$G344)</f>
        <v>0</v>
      </c>
      <c r="F345" s="122">
        <f>IF(AND($D345=0,$H344&gt;0,$E345&lt;Config!$B$8,$A345&lt;Config!$A$2),1,0)</f>
        <v>0</v>
      </c>
      <c r="G345" s="122">
        <f>$E345+$F345</f>
        <v>0</v>
      </c>
      <c r="H345" s="122">
        <f>IF($D345=1,$H344+1,IF($F345=1,$H344,IF($A345=Config!$A$2,$H344,0)))</f>
        <v>0</v>
      </c>
      <c r="M345" s="123" t="n"/>
    </row>
    <row r="346">
      <c r="A346" s="120" t="str">
        <f>A345+1</f>
        <v>2025-09-23 00:00:00</v>
      </c>
      <c r="B346" s="121">
        <f>SUMIFS('Daily Writing Log'!$H$5:$H$34,'Daily Writing Log'!$A$5:$A$34,$A346)</f>
        <v>0</v>
      </c>
      <c r="C346" s="121">
        <f>SUMIFS('Daily Writing Log'!$I$5:$I$34,'Daily Writing Log'!$A$5:$A$34,$A346)</f>
        <v>0</v>
      </c>
      <c r="D346" s="122">
        <f>IF($C346&gt;=Config!$B$5,1,0)</f>
        <v>0</v>
      </c>
      <c r="E346" s="122">
        <f>IF(MONTH($A346)&lt;&gt;MONTH($A345),0,$G345)</f>
        <v>0</v>
      </c>
      <c r="F346" s="122">
        <f>IF(AND($D346=0,$H345&gt;0,$E346&lt;Config!$B$8,$A346&lt;Config!$A$2),1,0)</f>
        <v>0</v>
      </c>
      <c r="G346" s="122">
        <f>$E346+$F346</f>
        <v>0</v>
      </c>
      <c r="H346" s="122">
        <f>IF($D346=1,$H345+1,IF($F346=1,$H345,IF($A346=Config!$A$2,$H345,0)))</f>
        <v>0</v>
      </c>
      <c r="M346" s="123" t="n"/>
    </row>
    <row r="347">
      <c r="A347" s="120" t="str">
        <f>A346+1</f>
        <v>2025-09-24 00:00:00</v>
      </c>
      <c r="B347" s="121">
        <f>SUMIFS('Daily Writing Log'!$H$5:$H$34,'Daily Writing Log'!$A$5:$A$34,$A347)</f>
        <v>0</v>
      </c>
      <c r="C347" s="121">
        <f>SUMIFS('Daily Writing Log'!$I$5:$I$34,'Daily Writing Log'!$A$5:$A$34,$A347)</f>
        <v>0</v>
      </c>
      <c r="D347" s="122">
        <f>IF($C347&gt;=Config!$B$5,1,0)</f>
        <v>0</v>
      </c>
      <c r="E347" s="122">
        <f>IF(MONTH($A347)&lt;&gt;MONTH($A346),0,$G346)</f>
        <v>0</v>
      </c>
      <c r="F347" s="122">
        <f>IF(AND($D347=0,$H346&gt;0,$E347&lt;Config!$B$8,$A347&lt;Config!$A$2),1,0)</f>
        <v>0</v>
      </c>
      <c r="G347" s="122">
        <f>$E347+$F347</f>
        <v>0</v>
      </c>
      <c r="H347" s="122">
        <f>IF($D347=1,$H346+1,IF($F347=1,$H346,IF($A347=Config!$A$2,$H346,0)))</f>
        <v>0</v>
      </c>
      <c r="M347" s="123" t="n"/>
    </row>
    <row r="348">
      <c r="A348" s="120" t="str">
        <f>A347+1</f>
        <v>2025-09-25 00:00:00</v>
      </c>
      <c r="B348" s="121">
        <f>SUMIFS('Daily Writing Log'!$H$5:$H$34,'Daily Writing Log'!$A$5:$A$34,$A348)</f>
        <v>0</v>
      </c>
      <c r="C348" s="121">
        <f>SUMIFS('Daily Writing Log'!$I$5:$I$34,'Daily Writing Log'!$A$5:$A$34,$A348)</f>
        <v>0</v>
      </c>
      <c r="D348" s="122">
        <f>IF($C348&gt;=Config!$B$5,1,0)</f>
        <v>0</v>
      </c>
      <c r="E348" s="122">
        <f>IF(MONTH($A348)&lt;&gt;MONTH($A347),0,$G347)</f>
        <v>0</v>
      </c>
      <c r="F348" s="122">
        <f>IF(AND($D348=0,$H347&gt;0,$E348&lt;Config!$B$8,$A348&lt;Config!$A$2),1,0)</f>
        <v>0</v>
      </c>
      <c r="G348" s="122">
        <f>$E348+$F348</f>
        <v>0</v>
      </c>
      <c r="H348" s="122">
        <f>IF($D348=1,$H347+1,IF($F348=1,$H347,IF($A348=Config!$A$2,$H347,0)))</f>
        <v>0</v>
      </c>
      <c r="M348" s="123" t="n"/>
    </row>
    <row r="349">
      <c r="A349" s="120" t="str">
        <f>A348+1</f>
        <v>2025-09-26 00:00:00</v>
      </c>
      <c r="B349" s="121">
        <f>SUMIFS('Daily Writing Log'!$H$5:$H$34,'Daily Writing Log'!$A$5:$A$34,$A349)</f>
        <v>0</v>
      </c>
      <c r="C349" s="121">
        <f>SUMIFS('Daily Writing Log'!$I$5:$I$34,'Daily Writing Log'!$A$5:$A$34,$A349)</f>
        <v>0</v>
      </c>
      <c r="D349" s="122">
        <f>IF($C349&gt;=Config!$B$5,1,0)</f>
        <v>0</v>
      </c>
      <c r="E349" s="122">
        <f>IF(MONTH($A349)&lt;&gt;MONTH($A348),0,$G348)</f>
        <v>0</v>
      </c>
      <c r="F349" s="122">
        <f>IF(AND($D349=0,$H348&gt;0,$E349&lt;Config!$B$8,$A349&lt;Config!$A$2),1,0)</f>
        <v>0</v>
      </c>
      <c r="G349" s="122">
        <f>$E349+$F349</f>
        <v>0</v>
      </c>
      <c r="H349" s="122">
        <f>IF($D349=1,$H348+1,IF($F349=1,$H348,IF($A349=Config!$A$2,$H348,0)))</f>
        <v>0</v>
      </c>
      <c r="M349" s="123" t="n"/>
    </row>
    <row r="350">
      <c r="A350" s="120" t="str">
        <f>A349+1</f>
        <v>2025-09-27 00:00:00</v>
      </c>
      <c r="B350" s="121">
        <f>SUMIFS('Daily Writing Log'!$H$5:$H$34,'Daily Writing Log'!$A$5:$A$34,$A350)</f>
        <v>0</v>
      </c>
      <c r="C350" s="121">
        <f>SUMIFS('Daily Writing Log'!$I$5:$I$34,'Daily Writing Log'!$A$5:$A$34,$A350)</f>
        <v>0</v>
      </c>
      <c r="D350" s="122">
        <f>IF($C350&gt;=Config!$B$5,1,0)</f>
        <v>0</v>
      </c>
      <c r="E350" s="122">
        <f>IF(MONTH($A350)&lt;&gt;MONTH($A349),0,$G349)</f>
        <v>0</v>
      </c>
      <c r="F350" s="122">
        <f>IF(AND($D350=0,$H349&gt;0,$E350&lt;Config!$B$8,$A350&lt;Config!$A$2),1,0)</f>
        <v>0</v>
      </c>
      <c r="G350" s="122">
        <f>$E350+$F350</f>
        <v>0</v>
      </c>
      <c r="H350" s="122">
        <f>IF($D350=1,$H349+1,IF($F350=1,$H349,IF($A350=Config!$A$2,$H349,0)))</f>
        <v>0</v>
      </c>
      <c r="M350" s="123" t="n"/>
    </row>
    <row r="351">
      <c r="A351" s="120" t="str">
        <f>A350+1</f>
        <v>2025-09-28 00:00:00</v>
      </c>
      <c r="B351" s="121">
        <f>SUMIFS('Daily Writing Log'!$H$5:$H$34,'Daily Writing Log'!$A$5:$A$34,$A351)</f>
        <v>0</v>
      </c>
      <c r="C351" s="121">
        <f>SUMIFS('Daily Writing Log'!$I$5:$I$34,'Daily Writing Log'!$A$5:$A$34,$A351)</f>
        <v>0</v>
      </c>
      <c r="D351" s="122">
        <f>IF($C351&gt;=Config!$B$5,1,0)</f>
        <v>0</v>
      </c>
      <c r="E351" s="122">
        <f>IF(MONTH($A351)&lt;&gt;MONTH($A350),0,$G350)</f>
        <v>0</v>
      </c>
      <c r="F351" s="122">
        <f>IF(AND($D351=0,$H350&gt;0,$E351&lt;Config!$B$8,$A351&lt;Config!$A$2),1,0)</f>
        <v>0</v>
      </c>
      <c r="G351" s="122">
        <f>$E351+$F351</f>
        <v>0</v>
      </c>
      <c r="H351" s="122">
        <f>IF($D351=1,$H350+1,IF($F351=1,$H350,IF($A351=Config!$A$2,$H350,0)))</f>
        <v>0</v>
      </c>
      <c r="M351" s="123" t="n"/>
    </row>
    <row r="352">
      <c r="A352" s="120" t="str">
        <f>A351+1</f>
        <v>2025-09-29 00:00:00</v>
      </c>
      <c r="B352" s="121">
        <f>SUMIFS('Daily Writing Log'!$H$5:$H$34,'Daily Writing Log'!$A$5:$A$34,$A352)</f>
        <v>0</v>
      </c>
      <c r="C352" s="121">
        <f>SUMIFS('Daily Writing Log'!$I$5:$I$34,'Daily Writing Log'!$A$5:$A$34,$A352)</f>
        <v>0</v>
      </c>
      <c r="D352" s="122">
        <f>IF($C352&gt;=Config!$B$5,1,0)</f>
        <v>0</v>
      </c>
      <c r="E352" s="122">
        <f>IF(MONTH($A352)&lt;&gt;MONTH($A351),0,$G351)</f>
        <v>0</v>
      </c>
      <c r="F352" s="122">
        <f>IF(AND($D352=0,$H351&gt;0,$E352&lt;Config!$B$8,$A352&lt;Config!$A$2),1,0)</f>
        <v>0</v>
      </c>
      <c r="G352" s="122">
        <f>$E352+$F352</f>
        <v>0</v>
      </c>
      <c r="H352" s="122">
        <f>IF($D352=1,$H351+1,IF($F352=1,$H351,IF($A352=Config!$A$2,$H351,0)))</f>
        <v>0</v>
      </c>
      <c r="M352" s="123" t="n"/>
    </row>
    <row r="353">
      <c r="A353" s="120" t="str">
        <f>A352+1</f>
        <v>2025-09-30 00:00:00</v>
      </c>
      <c r="B353" s="121">
        <f>SUMIFS('Daily Writing Log'!$H$5:$H$34,'Daily Writing Log'!$A$5:$A$34,$A353)</f>
        <v>0</v>
      </c>
      <c r="C353" s="121">
        <f>SUMIFS('Daily Writing Log'!$I$5:$I$34,'Daily Writing Log'!$A$5:$A$34,$A353)</f>
        <v>0</v>
      </c>
      <c r="D353" s="122">
        <f>IF($C353&gt;=Config!$B$5,1,0)</f>
        <v>0</v>
      </c>
      <c r="E353" s="122">
        <f>IF(MONTH($A353)&lt;&gt;MONTH($A352),0,$G352)</f>
        <v>0</v>
      </c>
      <c r="F353" s="122">
        <f>IF(AND($D353=0,$H352&gt;0,$E353&lt;Config!$B$8,$A353&lt;Config!$A$2),1,0)</f>
        <v>0</v>
      </c>
      <c r="G353" s="122">
        <f>$E353+$F353</f>
        <v>0</v>
      </c>
      <c r="H353" s="122">
        <f>IF($D353=1,$H352+1,IF($F353=1,$H352,IF($A353=Config!$A$2,$H352,0)))</f>
        <v>0</v>
      </c>
      <c r="M353" s="123" t="n"/>
    </row>
    <row r="354">
      <c r="A354" s="120" t="str">
        <f>A353+1</f>
        <v>2025-10-01 00:00:00</v>
      </c>
      <c r="B354" s="121">
        <f>SUMIFS('Daily Writing Log'!$H$5:$H$34,'Daily Writing Log'!$A$5:$A$34,$A354)</f>
        <v>0</v>
      </c>
      <c r="C354" s="121">
        <f>SUMIFS('Daily Writing Log'!$I$5:$I$34,'Daily Writing Log'!$A$5:$A$34,$A354)</f>
        <v>0</v>
      </c>
      <c r="D354" s="122">
        <f>IF($C354&gt;=Config!$B$5,1,0)</f>
        <v>0</v>
      </c>
      <c r="E354" s="122">
        <f>IF(MONTH($A354)&lt;&gt;MONTH($A353),0,$G353)</f>
        <v>0</v>
      </c>
      <c r="F354" s="122">
        <f>IF(AND($D354=0,$H353&gt;0,$E354&lt;Config!$B$8,$A354&lt;Config!$A$2),1,0)</f>
        <v>0</v>
      </c>
      <c r="G354" s="122">
        <f>$E354+$F354</f>
        <v>0</v>
      </c>
      <c r="H354" s="122">
        <f>IF($D354=1,$H353+1,IF($F354=1,$H353,IF($A354=Config!$A$2,$H353,0)))</f>
        <v>0</v>
      </c>
      <c r="M354" s="123" t="n"/>
    </row>
    <row r="355">
      <c r="A355" s="120" t="str">
        <f>A354+1</f>
        <v>2025-10-02 00:00:00</v>
      </c>
      <c r="B355" s="121">
        <f>SUMIFS('Daily Writing Log'!$H$5:$H$34,'Daily Writing Log'!$A$5:$A$34,$A355)</f>
        <v>0</v>
      </c>
      <c r="C355" s="121">
        <f>SUMIFS('Daily Writing Log'!$I$5:$I$34,'Daily Writing Log'!$A$5:$A$34,$A355)</f>
        <v>0</v>
      </c>
      <c r="D355" s="122">
        <f>IF($C355&gt;=Config!$B$5,1,0)</f>
        <v>0</v>
      </c>
      <c r="E355" s="122">
        <f>IF(MONTH($A355)&lt;&gt;MONTH($A354),0,$G354)</f>
        <v>0</v>
      </c>
      <c r="F355" s="122">
        <f>IF(AND($D355=0,$H354&gt;0,$E355&lt;Config!$B$8,$A355&lt;Config!$A$2),1,0)</f>
        <v>0</v>
      </c>
      <c r="G355" s="122">
        <f>$E355+$F355</f>
        <v>0</v>
      </c>
      <c r="H355" s="122">
        <f>IF($D355=1,$H354+1,IF($F355=1,$H354,IF($A355=Config!$A$2,$H354,0)))</f>
        <v>0</v>
      </c>
      <c r="M355" s="123" t="n"/>
    </row>
    <row r="356">
      <c r="A356" s="120" t="str">
        <f>A355+1</f>
        <v>2025-10-03 00:00:00</v>
      </c>
      <c r="B356" s="121">
        <f>SUMIFS('Daily Writing Log'!$H$5:$H$34,'Daily Writing Log'!$A$5:$A$34,$A356)</f>
        <v>0</v>
      </c>
      <c r="C356" s="121">
        <f>SUMIFS('Daily Writing Log'!$I$5:$I$34,'Daily Writing Log'!$A$5:$A$34,$A356)</f>
        <v>0</v>
      </c>
      <c r="D356" s="122">
        <f>IF($C356&gt;=Config!$B$5,1,0)</f>
        <v>0</v>
      </c>
      <c r="E356" s="122">
        <f>IF(MONTH($A356)&lt;&gt;MONTH($A355),0,$G355)</f>
        <v>0</v>
      </c>
      <c r="F356" s="122">
        <f>IF(AND($D356=0,$H355&gt;0,$E356&lt;Config!$B$8,$A356&lt;Config!$A$2),1,0)</f>
        <v>0</v>
      </c>
      <c r="G356" s="122">
        <f>$E356+$F356</f>
        <v>0</v>
      </c>
      <c r="H356" s="122">
        <f>IF($D356=1,$H355+1,IF($F356=1,$H355,IF($A356=Config!$A$2,$H355,0)))</f>
        <v>0</v>
      </c>
      <c r="M356" s="123" t="n"/>
    </row>
    <row r="357">
      <c r="A357" s="120" t="str">
        <f>A356+1</f>
        <v>2025-10-04 00:00:00</v>
      </c>
      <c r="B357" s="121">
        <f>SUMIFS('Daily Writing Log'!$H$5:$H$34,'Daily Writing Log'!$A$5:$A$34,$A357)</f>
        <v>0</v>
      </c>
      <c r="C357" s="121">
        <f>SUMIFS('Daily Writing Log'!$I$5:$I$34,'Daily Writing Log'!$A$5:$A$34,$A357)</f>
        <v>0</v>
      </c>
      <c r="D357" s="122">
        <f>IF($C357&gt;=Config!$B$5,1,0)</f>
        <v>0</v>
      </c>
      <c r="E357" s="122">
        <f>IF(MONTH($A357)&lt;&gt;MONTH($A356),0,$G356)</f>
        <v>0</v>
      </c>
      <c r="F357" s="122">
        <f>IF(AND($D357=0,$H356&gt;0,$E357&lt;Config!$B$8,$A357&lt;Config!$A$2),1,0)</f>
        <v>0</v>
      </c>
      <c r="G357" s="122">
        <f>$E357+$F357</f>
        <v>0</v>
      </c>
      <c r="H357" s="122">
        <f>IF($D357=1,$H356+1,IF($F357=1,$H356,IF($A357=Config!$A$2,$H356,0)))</f>
        <v>0</v>
      </c>
      <c r="M357" s="123" t="n"/>
    </row>
    <row r="358">
      <c r="A358" s="120" t="str">
        <f>A357+1</f>
        <v>2025-10-05 00:00:00</v>
      </c>
      <c r="B358" s="121">
        <f>SUMIFS('Daily Writing Log'!$H$5:$H$34,'Daily Writing Log'!$A$5:$A$34,$A358)</f>
        <v>0</v>
      </c>
      <c r="C358" s="121">
        <f>SUMIFS('Daily Writing Log'!$I$5:$I$34,'Daily Writing Log'!$A$5:$A$34,$A358)</f>
        <v>0</v>
      </c>
      <c r="D358" s="122">
        <f>IF($C358&gt;=Config!$B$5,1,0)</f>
        <v>0</v>
      </c>
      <c r="E358" s="122">
        <f>IF(MONTH($A358)&lt;&gt;MONTH($A357),0,$G357)</f>
        <v>0</v>
      </c>
      <c r="F358" s="122">
        <f>IF(AND($D358=0,$H357&gt;0,$E358&lt;Config!$B$8,$A358&lt;Config!$A$2),1,0)</f>
        <v>0</v>
      </c>
      <c r="G358" s="122">
        <f>$E358+$F358</f>
        <v>0</v>
      </c>
      <c r="H358" s="122">
        <f>IF($D358=1,$H357+1,IF($F358=1,$H357,IF($A358=Config!$A$2,$H357,0)))</f>
        <v>0</v>
      </c>
      <c r="M358" s="123" t="n"/>
    </row>
    <row r="359">
      <c r="A359" s="120" t="str">
        <f>A358+1</f>
        <v>2025-10-06 00:00:00</v>
      </c>
      <c r="B359" s="121">
        <f>SUMIFS('Daily Writing Log'!$H$5:$H$34,'Daily Writing Log'!$A$5:$A$34,$A359)</f>
        <v>0</v>
      </c>
      <c r="C359" s="121">
        <f>SUMIFS('Daily Writing Log'!$I$5:$I$34,'Daily Writing Log'!$A$5:$A$34,$A359)</f>
        <v>0</v>
      </c>
      <c r="D359" s="122">
        <f>IF($C359&gt;=Config!$B$5,1,0)</f>
        <v>0</v>
      </c>
      <c r="E359" s="122">
        <f>IF(MONTH($A359)&lt;&gt;MONTH($A358),0,$G358)</f>
        <v>0</v>
      </c>
      <c r="F359" s="122">
        <f>IF(AND($D359=0,$H358&gt;0,$E359&lt;Config!$B$8,$A359&lt;Config!$A$2),1,0)</f>
        <v>0</v>
      </c>
      <c r="G359" s="122">
        <f>$E359+$F359</f>
        <v>0</v>
      </c>
      <c r="H359" s="122">
        <f>IF($D359=1,$H358+1,IF($F359=1,$H358,IF($A359=Config!$A$2,$H358,0)))</f>
        <v>0</v>
      </c>
      <c r="M359" s="123" t="n"/>
    </row>
    <row r="360">
      <c r="A360" s="120" t="str">
        <f>A359+1</f>
        <v>2025-10-07 00:00:00</v>
      </c>
      <c r="B360" s="121">
        <f>SUMIFS('Daily Writing Log'!$H$5:$H$34,'Daily Writing Log'!$A$5:$A$34,$A360)</f>
        <v>0</v>
      </c>
      <c r="C360" s="121">
        <f>SUMIFS('Daily Writing Log'!$I$5:$I$34,'Daily Writing Log'!$A$5:$A$34,$A360)</f>
        <v>0</v>
      </c>
      <c r="D360" s="122">
        <f>IF($C360&gt;=Config!$B$5,1,0)</f>
        <v>0</v>
      </c>
      <c r="E360" s="122">
        <f>IF(MONTH($A360)&lt;&gt;MONTH($A359),0,$G359)</f>
        <v>0</v>
      </c>
      <c r="F360" s="122">
        <f>IF(AND($D360=0,$H359&gt;0,$E360&lt;Config!$B$8,$A360&lt;Config!$A$2),1,0)</f>
        <v>0</v>
      </c>
      <c r="G360" s="122">
        <f>$E360+$F360</f>
        <v>0</v>
      </c>
      <c r="H360" s="122">
        <f>IF($D360=1,$H359+1,IF($F360=1,$H359,IF($A360=Config!$A$2,$H359,0)))</f>
        <v>0</v>
      </c>
      <c r="M360" s="123" t="n"/>
    </row>
    <row r="361">
      <c r="A361" s="120" t="str">
        <f>A360+1</f>
        <v>2025-10-08 00:00:00</v>
      </c>
      <c r="B361" s="121">
        <f>SUMIFS('Daily Writing Log'!$H$5:$H$34,'Daily Writing Log'!$A$5:$A$34,$A361)</f>
        <v>0</v>
      </c>
      <c r="C361" s="121">
        <f>SUMIFS('Daily Writing Log'!$I$5:$I$34,'Daily Writing Log'!$A$5:$A$34,$A361)</f>
        <v>0</v>
      </c>
      <c r="D361" s="122">
        <f>IF($C361&gt;=Config!$B$5,1,0)</f>
        <v>0</v>
      </c>
      <c r="E361" s="122">
        <f>IF(MONTH($A361)&lt;&gt;MONTH($A360),0,$G360)</f>
        <v>0</v>
      </c>
      <c r="F361" s="122">
        <f>IF(AND($D361=0,$H360&gt;0,$E361&lt;Config!$B$8,$A361&lt;Config!$A$2),1,0)</f>
        <v>0</v>
      </c>
      <c r="G361" s="122">
        <f>$E361+$F361</f>
        <v>0</v>
      </c>
      <c r="H361" s="122">
        <f>IF($D361=1,$H360+1,IF($F361=1,$H360,IF($A361=Config!$A$2,$H360,0)))</f>
        <v>0</v>
      </c>
      <c r="M361" s="123" t="n"/>
    </row>
    <row r="362">
      <c r="A362" s="120" t="str">
        <f>A361+1</f>
        <v>2025-10-09 00:00:00</v>
      </c>
      <c r="B362" s="121">
        <f>SUMIFS('Daily Writing Log'!$H$5:$H$34,'Daily Writing Log'!$A$5:$A$34,$A362)</f>
        <v>0</v>
      </c>
      <c r="C362" s="121">
        <f>SUMIFS('Daily Writing Log'!$I$5:$I$34,'Daily Writing Log'!$A$5:$A$34,$A362)</f>
        <v>0</v>
      </c>
      <c r="D362" s="122">
        <f>IF($C362&gt;=Config!$B$5,1,0)</f>
        <v>0</v>
      </c>
      <c r="E362" s="122">
        <f>IF(MONTH($A362)&lt;&gt;MONTH($A361),0,$G361)</f>
        <v>0</v>
      </c>
      <c r="F362" s="122">
        <f>IF(AND($D362=0,$H361&gt;0,$E362&lt;Config!$B$8,$A362&lt;Config!$A$2),1,0)</f>
        <v>0</v>
      </c>
      <c r="G362" s="122">
        <f>$E362+$F362</f>
        <v>0</v>
      </c>
      <c r="H362" s="122">
        <f>IF($D362=1,$H361+1,IF($F362=1,$H361,IF($A362=Config!$A$2,$H361,0)))</f>
        <v>0</v>
      </c>
      <c r="M362" s="123" t="n"/>
    </row>
    <row r="363">
      <c r="A363" s="120" t="str">
        <f>A362+1</f>
        <v>2025-10-10 00:00:00</v>
      </c>
      <c r="B363" s="121">
        <f>SUMIFS('Daily Writing Log'!$H$5:$H$34,'Daily Writing Log'!$A$5:$A$34,$A363)</f>
        <v>0</v>
      </c>
      <c r="C363" s="121">
        <f>SUMIFS('Daily Writing Log'!$I$5:$I$34,'Daily Writing Log'!$A$5:$A$34,$A363)</f>
        <v>0</v>
      </c>
      <c r="D363" s="122">
        <f>IF($C363&gt;=Config!$B$5,1,0)</f>
        <v>0</v>
      </c>
      <c r="E363" s="122">
        <f>IF(MONTH($A363)&lt;&gt;MONTH($A362),0,$G362)</f>
        <v>0</v>
      </c>
      <c r="F363" s="122">
        <f>IF(AND($D363=0,$H362&gt;0,$E363&lt;Config!$B$8,$A363&lt;Config!$A$2),1,0)</f>
        <v>0</v>
      </c>
      <c r="G363" s="122">
        <f>$E363+$F363</f>
        <v>0</v>
      </c>
      <c r="H363" s="122">
        <f>IF($D363=1,$H362+1,IF($F363=1,$H362,IF($A363=Config!$A$2,$H362,0)))</f>
        <v>0</v>
      </c>
      <c r="M363" s="123" t="n"/>
    </row>
    <row r="364">
      <c r="A364" s="120" t="str">
        <f>A363+1</f>
        <v>2025-10-11 00:00:00</v>
      </c>
      <c r="B364" s="121">
        <f>SUMIFS('Daily Writing Log'!$H$5:$H$34,'Daily Writing Log'!$A$5:$A$34,$A364)</f>
        <v>0</v>
      </c>
      <c r="C364" s="121">
        <f>SUMIFS('Daily Writing Log'!$I$5:$I$34,'Daily Writing Log'!$A$5:$A$34,$A364)</f>
        <v>0</v>
      </c>
      <c r="D364" s="122">
        <f>IF($C364&gt;=Config!$B$5,1,0)</f>
        <v>0</v>
      </c>
      <c r="E364" s="122">
        <f>IF(MONTH($A364)&lt;&gt;MONTH($A363),0,$G363)</f>
        <v>0</v>
      </c>
      <c r="F364" s="122">
        <f>IF(AND($D364=0,$H363&gt;0,$E364&lt;Config!$B$8,$A364&lt;Config!$A$2),1,0)</f>
        <v>0</v>
      </c>
      <c r="G364" s="122">
        <f>$E364+$F364</f>
        <v>0</v>
      </c>
      <c r="H364" s="122">
        <f>IF($D364=1,$H363+1,IF($F364=1,$H363,IF($A364=Config!$A$2,$H363,0)))</f>
        <v>0</v>
      </c>
      <c r="M364" s="123" t="n"/>
    </row>
    <row r="365">
      <c r="A365" s="120" t="str">
        <f>A364+1</f>
        <v>2025-10-12 00:00:00</v>
      </c>
      <c r="B365" s="121">
        <f>SUMIFS('Daily Writing Log'!$H$5:$H$34,'Daily Writing Log'!$A$5:$A$34,$A365)</f>
        <v>0</v>
      </c>
      <c r="C365" s="121">
        <f>SUMIFS('Daily Writing Log'!$I$5:$I$34,'Daily Writing Log'!$A$5:$A$34,$A365)</f>
        <v>0</v>
      </c>
      <c r="D365" s="122">
        <f>IF($C365&gt;=Config!$B$5,1,0)</f>
        <v>0</v>
      </c>
      <c r="E365" s="122">
        <f>IF(MONTH($A365)&lt;&gt;MONTH($A364),0,$G364)</f>
        <v>0</v>
      </c>
      <c r="F365" s="122">
        <f>IF(AND($D365=0,$H364&gt;0,$E365&lt;Config!$B$8,$A365&lt;Config!$A$2),1,0)</f>
        <v>0</v>
      </c>
      <c r="G365" s="122">
        <f>$E365+$F365</f>
        <v>0</v>
      </c>
      <c r="H365" s="122">
        <f>IF($D365=1,$H364+1,IF($F365=1,$H364,IF($A365=Config!$A$2,$H364,0)))</f>
        <v>0</v>
      </c>
      <c r="M365" s="123" t="n"/>
    </row>
    <row r="366">
      <c r="A366" s="120" t="str">
        <f>A365+1</f>
        <v>2025-10-13 00:00:00</v>
      </c>
      <c r="B366" s="121">
        <f>SUMIFS('Daily Writing Log'!$H$5:$H$34,'Daily Writing Log'!$A$5:$A$34,$A366)</f>
        <v>0</v>
      </c>
      <c r="C366" s="121">
        <f>SUMIFS('Daily Writing Log'!$I$5:$I$34,'Daily Writing Log'!$A$5:$A$34,$A366)</f>
        <v>0</v>
      </c>
      <c r="D366" s="122">
        <f>IF($C366&gt;=Config!$B$5,1,0)</f>
        <v>0</v>
      </c>
      <c r="E366" s="122">
        <f>IF(MONTH($A366)&lt;&gt;MONTH($A365),0,$G365)</f>
        <v>0</v>
      </c>
      <c r="F366" s="122">
        <f>IF(AND($D366=0,$H365&gt;0,$E366&lt;Config!$B$8,$A366&lt;Config!$A$2),1,0)</f>
        <v>0</v>
      </c>
      <c r="G366" s="122">
        <f>$E366+$F366</f>
        <v>0</v>
      </c>
      <c r="H366" s="122">
        <f>IF($D366=1,$H365+1,IF($F366=1,$H365,IF($A366=Config!$A$2,$H365,0)))</f>
        <v>0</v>
      </c>
      <c r="M366" s="123" t="n"/>
    </row>
    <row r="367">
      <c r="A367" s="120" t="str">
        <f>A366+1</f>
        <v>2025-10-14 00:00:00</v>
      </c>
      <c r="B367" s="121">
        <f>SUMIFS('Daily Writing Log'!$H$5:$H$34,'Daily Writing Log'!$A$5:$A$34,$A367)</f>
        <v>0</v>
      </c>
      <c r="C367" s="121">
        <f>SUMIFS('Daily Writing Log'!$I$5:$I$34,'Daily Writing Log'!$A$5:$A$34,$A367)</f>
        <v>0</v>
      </c>
      <c r="D367" s="122">
        <f>IF($C367&gt;=Config!$B$5,1,0)</f>
        <v>0</v>
      </c>
      <c r="E367" s="122">
        <f>IF(MONTH($A367)&lt;&gt;MONTH($A366),0,$G366)</f>
        <v>0</v>
      </c>
      <c r="F367" s="122">
        <f>IF(AND($D367=0,$H366&gt;0,$E367&lt;Config!$B$8,$A367&lt;Config!$A$2),1,0)</f>
        <v>0</v>
      </c>
      <c r="G367" s="122">
        <f>$E367+$F367</f>
        <v>0</v>
      </c>
      <c r="H367" s="122">
        <f>IF($D367=1,$H366+1,IF($F367=1,$H366,IF($A367=Config!$A$2,$H366,0)))</f>
        <v>0</v>
      </c>
      <c r="M367" s="123" t="n"/>
    </row>
    <row r="368">
      <c r="A368" s="120" t="str">
        <f>A367+1</f>
        <v>2025-10-15 00:00:00</v>
      </c>
      <c r="B368" s="121">
        <f>SUMIFS('Daily Writing Log'!$H$5:$H$34,'Daily Writing Log'!$A$5:$A$34,$A368)</f>
        <v>0</v>
      </c>
      <c r="C368" s="121">
        <f>SUMIFS('Daily Writing Log'!$I$5:$I$34,'Daily Writing Log'!$A$5:$A$34,$A368)</f>
        <v>0</v>
      </c>
      <c r="D368" s="122">
        <f>IF($C368&gt;=Config!$B$5,1,0)</f>
        <v>0</v>
      </c>
      <c r="E368" s="122">
        <f>IF(MONTH($A368)&lt;&gt;MONTH($A367),0,$G367)</f>
        <v>0</v>
      </c>
      <c r="F368" s="122">
        <f>IF(AND($D368=0,$H367&gt;0,$E368&lt;Config!$B$8,$A368&lt;Config!$A$2),1,0)</f>
        <v>0</v>
      </c>
      <c r="G368" s="122">
        <f>$E368+$F368</f>
        <v>0</v>
      </c>
      <c r="H368" s="122">
        <f>IF($D368=1,$H367+1,IF($F368=1,$H367,IF($A368=Config!$A$2,$H367,0)))</f>
        <v>0</v>
      </c>
      <c r="M368" s="123" t="n"/>
    </row>
    <row r="369">
      <c r="A369" s="120" t="str">
        <f>A368+1</f>
        <v>2025-10-16 00:00:00</v>
      </c>
      <c r="B369" s="121">
        <f>SUMIFS('Daily Writing Log'!$H$5:$H$34,'Daily Writing Log'!$A$5:$A$34,$A369)</f>
        <v>0</v>
      </c>
      <c r="C369" s="121">
        <f>SUMIFS('Daily Writing Log'!$I$5:$I$34,'Daily Writing Log'!$A$5:$A$34,$A369)</f>
        <v>0</v>
      </c>
      <c r="D369" s="122">
        <f>IF($C369&gt;=Config!$B$5,1,0)</f>
        <v>0</v>
      </c>
      <c r="E369" s="122">
        <f>IF(MONTH($A369)&lt;&gt;MONTH($A368),0,$G368)</f>
        <v>0</v>
      </c>
      <c r="F369" s="122">
        <f>IF(AND($D369=0,$H368&gt;0,$E369&lt;Config!$B$8,$A369&lt;Config!$A$2),1,0)</f>
        <v>0</v>
      </c>
      <c r="G369" s="122">
        <f>$E369+$F369</f>
        <v>0</v>
      </c>
      <c r="H369" s="122">
        <f>IF($D369=1,$H368+1,IF($F369=1,$H368,IF($A369=Config!$A$2,$H368,0)))</f>
        <v>0</v>
      </c>
      <c r="M369" s="123" t="n"/>
    </row>
    <row r="370">
      <c r="A370" s="120" t="str">
        <f>A369+1</f>
        <v>2025-10-17 00:00:00</v>
      </c>
      <c r="B370" s="121">
        <f>SUMIFS('Daily Writing Log'!$H$5:$H$34,'Daily Writing Log'!$A$5:$A$34,$A370)</f>
        <v>0</v>
      </c>
      <c r="C370" s="121">
        <f>SUMIFS('Daily Writing Log'!$I$5:$I$34,'Daily Writing Log'!$A$5:$A$34,$A370)</f>
        <v>0</v>
      </c>
      <c r="D370" s="122">
        <f>IF($C370&gt;=Config!$B$5,1,0)</f>
        <v>0</v>
      </c>
      <c r="E370" s="122">
        <f>IF(MONTH($A370)&lt;&gt;MONTH($A369),0,$G369)</f>
        <v>0</v>
      </c>
      <c r="F370" s="122">
        <f>IF(AND($D370=0,$H369&gt;0,$E370&lt;Config!$B$8,$A370&lt;Config!$A$2),1,0)</f>
        <v>0</v>
      </c>
      <c r="G370" s="122">
        <f>$E370+$F370</f>
        <v>0</v>
      </c>
      <c r="H370" s="122">
        <f>IF($D370=1,$H369+1,IF($F370=1,$H369,IF($A370=Config!$A$2,$H369,0)))</f>
        <v>0</v>
      </c>
      <c r="M370" s="123" t="n"/>
    </row>
    <row r="371">
      <c r="A371" s="120" t="str">
        <f>A370+1</f>
        <v>2025-10-18 00:00:00</v>
      </c>
      <c r="B371" s="121">
        <f>SUMIFS('Daily Writing Log'!$H$5:$H$34,'Daily Writing Log'!$A$5:$A$34,$A371)</f>
        <v>0</v>
      </c>
      <c r="C371" s="121">
        <f>SUMIFS('Daily Writing Log'!$I$5:$I$34,'Daily Writing Log'!$A$5:$A$34,$A371)</f>
        <v>0</v>
      </c>
      <c r="D371" s="122">
        <f>IF($C371&gt;=Config!$B$5,1,0)</f>
        <v>0</v>
      </c>
      <c r="E371" s="122">
        <f>IF(MONTH($A371)&lt;&gt;MONTH($A370),0,$G370)</f>
        <v>0</v>
      </c>
      <c r="F371" s="122">
        <f>IF(AND($D371=0,$H370&gt;0,$E371&lt;Config!$B$8,$A371&lt;Config!$A$2),1,0)</f>
        <v>0</v>
      </c>
      <c r="G371" s="122">
        <f>$E371+$F371</f>
        <v>0</v>
      </c>
      <c r="H371" s="122">
        <f>IF($D371=1,$H370+1,IF($F371=1,$H370,IF($A371=Config!$A$2,$H370,0)))</f>
        <v>0</v>
      </c>
      <c r="M371" s="123" t="n"/>
    </row>
    <row r="372">
      <c r="A372" s="120" t="str">
        <f>A371+1</f>
        <v>2025-10-19 00:00:00</v>
      </c>
      <c r="B372" s="121">
        <f>SUMIFS('Daily Writing Log'!$H$5:$H$34,'Daily Writing Log'!$A$5:$A$34,$A372)</f>
        <v>0</v>
      </c>
      <c r="C372" s="121">
        <f>SUMIFS('Daily Writing Log'!$I$5:$I$34,'Daily Writing Log'!$A$5:$A$34,$A372)</f>
        <v>0</v>
      </c>
      <c r="D372" s="122">
        <f>IF($C372&gt;=Config!$B$5,1,0)</f>
        <v>0</v>
      </c>
      <c r="E372" s="122">
        <f>IF(MONTH($A372)&lt;&gt;MONTH($A371),0,$G371)</f>
        <v>0</v>
      </c>
      <c r="F372" s="122">
        <f>IF(AND($D372=0,$H371&gt;0,$E372&lt;Config!$B$8,$A372&lt;Config!$A$2),1,0)</f>
        <v>0</v>
      </c>
      <c r="G372" s="122">
        <f>$E372+$F372</f>
        <v>0</v>
      </c>
      <c r="H372" s="122">
        <f>IF($D372=1,$H371+1,IF($F372=1,$H371,IF($A372=Config!$A$2,$H371,0)))</f>
        <v>0</v>
      </c>
      <c r="M372" s="123" t="n"/>
    </row>
    <row r="373">
      <c r="A373" s="120" t="str">
        <f>A372+1</f>
        <v>2025-10-20 00:00:00</v>
      </c>
      <c r="B373" s="121">
        <f>SUMIFS('Daily Writing Log'!$H$5:$H$34,'Daily Writing Log'!$A$5:$A$34,$A373)</f>
        <v>0</v>
      </c>
      <c r="C373" s="121">
        <f>SUMIFS('Daily Writing Log'!$I$5:$I$34,'Daily Writing Log'!$A$5:$A$34,$A373)</f>
        <v>0</v>
      </c>
      <c r="D373" s="122">
        <f>IF($C373&gt;=Config!$B$5,1,0)</f>
        <v>0</v>
      </c>
      <c r="E373" s="122">
        <f>IF(MONTH($A373)&lt;&gt;MONTH($A372),0,$G372)</f>
        <v>0</v>
      </c>
      <c r="F373" s="122">
        <f>IF(AND($D373=0,$H372&gt;0,$E373&lt;Config!$B$8,$A373&lt;Config!$A$2),1,0)</f>
        <v>0</v>
      </c>
      <c r="G373" s="122">
        <f>$E373+$F373</f>
        <v>0</v>
      </c>
      <c r="H373" s="122">
        <f>IF($D373=1,$H372+1,IF($F373=1,$H372,IF($A373=Config!$A$2,$H372,0)))</f>
        <v>0</v>
      </c>
      <c r="M373" s="123" t="n"/>
    </row>
    <row r="374">
      <c r="A374" s="120" t="str">
        <f>A373+1</f>
        <v>2025-10-21 00:00:00</v>
      </c>
      <c r="B374" s="121">
        <f>SUMIFS('Daily Writing Log'!$H$5:$H$34,'Daily Writing Log'!$A$5:$A$34,$A374)</f>
        <v>0</v>
      </c>
      <c r="C374" s="121">
        <f>SUMIFS('Daily Writing Log'!$I$5:$I$34,'Daily Writing Log'!$A$5:$A$34,$A374)</f>
        <v>0</v>
      </c>
      <c r="D374" s="122">
        <f>IF($C374&gt;=Config!$B$5,1,0)</f>
        <v>0</v>
      </c>
      <c r="E374" s="122">
        <f>IF(MONTH($A374)&lt;&gt;MONTH($A373),0,$G373)</f>
        <v>0</v>
      </c>
      <c r="F374" s="122">
        <f>IF(AND($D374=0,$H373&gt;0,$E374&lt;Config!$B$8,$A374&lt;Config!$A$2),1,0)</f>
        <v>0</v>
      </c>
      <c r="G374" s="122">
        <f>$E374+$F374</f>
        <v>0</v>
      </c>
      <c r="H374" s="122">
        <f>IF($D374=1,$H373+1,IF($F374=1,$H373,IF($A374=Config!$A$2,$H373,0)))</f>
        <v>0</v>
      </c>
      <c r="M374" s="123" t="n"/>
    </row>
    <row r="375">
      <c r="A375" s="120" t="str">
        <f>A374+1</f>
        <v>2025-10-22 00:00:00</v>
      </c>
      <c r="B375" s="121">
        <f>SUMIFS('Daily Writing Log'!$H$5:$H$34,'Daily Writing Log'!$A$5:$A$34,$A375)</f>
        <v>0</v>
      </c>
      <c r="C375" s="121">
        <f>SUMIFS('Daily Writing Log'!$I$5:$I$34,'Daily Writing Log'!$A$5:$A$34,$A375)</f>
        <v>0</v>
      </c>
      <c r="D375" s="122">
        <f>IF($C375&gt;=Config!$B$5,1,0)</f>
        <v>0</v>
      </c>
      <c r="E375" s="122">
        <f>IF(MONTH($A375)&lt;&gt;MONTH($A374),0,$G374)</f>
        <v>0</v>
      </c>
      <c r="F375" s="122">
        <f>IF(AND($D375=0,$H374&gt;0,$E375&lt;Config!$B$8,$A375&lt;Config!$A$2),1,0)</f>
        <v>0</v>
      </c>
      <c r="G375" s="122">
        <f>$E375+$F375</f>
        <v>0</v>
      </c>
      <c r="H375" s="122">
        <f>IF($D375=1,$H374+1,IF($F375=1,$H374,IF($A375=Config!$A$2,$H374,0)))</f>
        <v>0</v>
      </c>
      <c r="M375" s="123" t="n"/>
    </row>
    <row r="376">
      <c r="A376" s="120" t="str">
        <f>A375+1</f>
        <v>2025-10-23 00:00:00</v>
      </c>
      <c r="B376" s="121">
        <f>SUMIFS('Daily Writing Log'!$H$5:$H$34,'Daily Writing Log'!$A$5:$A$34,$A376)</f>
        <v>0</v>
      </c>
      <c r="C376" s="121">
        <f>SUMIFS('Daily Writing Log'!$I$5:$I$34,'Daily Writing Log'!$A$5:$A$34,$A376)</f>
        <v>0</v>
      </c>
      <c r="D376" s="122">
        <f>IF($C376&gt;=Config!$B$5,1,0)</f>
        <v>0</v>
      </c>
      <c r="E376" s="122">
        <f>IF(MONTH($A376)&lt;&gt;MONTH($A375),0,$G375)</f>
        <v>0</v>
      </c>
      <c r="F376" s="122">
        <f>IF(AND($D376=0,$H375&gt;0,$E376&lt;Config!$B$8,$A376&lt;Config!$A$2),1,0)</f>
        <v>0</v>
      </c>
      <c r="G376" s="122">
        <f>$E376+$F376</f>
        <v>0</v>
      </c>
      <c r="H376" s="122">
        <f>IF($D376=1,$H375+1,IF($F376=1,$H375,IF($A376=Config!$A$2,$H375,0)))</f>
        <v>0</v>
      </c>
      <c r="M376" s="123" t="n"/>
    </row>
    <row r="377">
      <c r="A377" s="120" t="str">
        <f>A376+1</f>
        <v>2025-10-24 00:00:00</v>
      </c>
      <c r="B377" s="121">
        <f>SUMIFS('Daily Writing Log'!$H$5:$H$34,'Daily Writing Log'!$A$5:$A$34,$A377)</f>
        <v>0</v>
      </c>
      <c r="C377" s="121">
        <f>SUMIFS('Daily Writing Log'!$I$5:$I$34,'Daily Writing Log'!$A$5:$A$34,$A377)</f>
        <v>0</v>
      </c>
      <c r="D377" s="122">
        <f>IF($C377&gt;=Config!$B$5,1,0)</f>
        <v>0</v>
      </c>
      <c r="E377" s="122">
        <f>IF(MONTH($A377)&lt;&gt;MONTH($A376),0,$G376)</f>
        <v>0</v>
      </c>
      <c r="F377" s="122">
        <f>IF(AND($D377=0,$H376&gt;0,$E377&lt;Config!$B$8,$A377&lt;Config!$A$2),1,0)</f>
        <v>0</v>
      </c>
      <c r="G377" s="122">
        <f>$E377+$F377</f>
        <v>0</v>
      </c>
      <c r="H377" s="122">
        <f>IF($D377=1,$H376+1,IF($F377=1,$H376,IF($A377=Config!$A$2,$H376,0)))</f>
        <v>0</v>
      </c>
      <c r="M377" s="123" t="n"/>
    </row>
    <row r="378">
      <c r="A378" s="120" t="str">
        <f>A377+1</f>
        <v>2025-10-25 00:00:00</v>
      </c>
      <c r="B378" s="121">
        <f>SUMIFS('Daily Writing Log'!$H$5:$H$34,'Daily Writing Log'!$A$5:$A$34,$A378)</f>
        <v>0</v>
      </c>
      <c r="C378" s="121">
        <f>SUMIFS('Daily Writing Log'!$I$5:$I$34,'Daily Writing Log'!$A$5:$A$34,$A378)</f>
        <v>0</v>
      </c>
      <c r="D378" s="122">
        <f>IF($C378&gt;=Config!$B$5,1,0)</f>
        <v>0</v>
      </c>
      <c r="E378" s="122">
        <f>IF(MONTH($A378)&lt;&gt;MONTH($A377),0,$G377)</f>
        <v>0</v>
      </c>
      <c r="F378" s="122">
        <f>IF(AND($D378=0,$H377&gt;0,$E378&lt;Config!$B$8,$A378&lt;Config!$A$2),1,0)</f>
        <v>0</v>
      </c>
      <c r="G378" s="122">
        <f>$E378+$F378</f>
        <v>0</v>
      </c>
      <c r="H378" s="122">
        <f>IF($D378=1,$H377+1,IF($F378=1,$H377,IF($A378=Config!$A$2,$H377,0)))</f>
        <v>0</v>
      </c>
      <c r="M378" s="123" t="n"/>
    </row>
    <row r="379">
      <c r="A379" s="120" t="str">
        <f>A378+1</f>
        <v>2025-10-26 00:00:00</v>
      </c>
      <c r="B379" s="121">
        <f>SUMIFS('Daily Writing Log'!$H$5:$H$34,'Daily Writing Log'!$A$5:$A$34,$A379)</f>
        <v>0</v>
      </c>
      <c r="C379" s="121">
        <f>SUMIFS('Daily Writing Log'!$I$5:$I$34,'Daily Writing Log'!$A$5:$A$34,$A379)</f>
        <v>0</v>
      </c>
      <c r="D379" s="122">
        <f>IF($C379&gt;=Config!$B$5,1,0)</f>
        <v>0</v>
      </c>
      <c r="E379" s="122">
        <f>IF(MONTH($A379)&lt;&gt;MONTH($A378),0,$G378)</f>
        <v>0</v>
      </c>
      <c r="F379" s="122">
        <f>IF(AND($D379=0,$H378&gt;0,$E379&lt;Config!$B$8,$A379&lt;Config!$A$2),1,0)</f>
        <v>0</v>
      </c>
      <c r="G379" s="122">
        <f>$E379+$F379</f>
        <v>0</v>
      </c>
      <c r="H379" s="122">
        <f>IF($D379=1,$H378+1,IF($F379=1,$H378,IF($A379=Config!$A$2,$H378,0)))</f>
        <v>0</v>
      </c>
      <c r="M379" s="123" t="n"/>
    </row>
    <row r="380">
      <c r="A380" s="120" t="str">
        <f>A379+1</f>
        <v>2025-10-27 00:00:00</v>
      </c>
      <c r="B380" s="121">
        <f>SUMIFS('Daily Writing Log'!$H$5:$H$34,'Daily Writing Log'!$A$5:$A$34,$A380)</f>
        <v>0</v>
      </c>
      <c r="C380" s="121">
        <f>SUMIFS('Daily Writing Log'!$I$5:$I$34,'Daily Writing Log'!$A$5:$A$34,$A380)</f>
        <v>0</v>
      </c>
      <c r="D380" s="122">
        <f>IF($C380&gt;=Config!$B$5,1,0)</f>
        <v>0</v>
      </c>
      <c r="E380" s="122">
        <f>IF(MONTH($A380)&lt;&gt;MONTH($A379),0,$G379)</f>
        <v>0</v>
      </c>
      <c r="F380" s="122">
        <f>IF(AND($D380=0,$H379&gt;0,$E380&lt;Config!$B$8,$A380&lt;Config!$A$2),1,0)</f>
        <v>0</v>
      </c>
      <c r="G380" s="122">
        <f>$E380+$F380</f>
        <v>0</v>
      </c>
      <c r="H380" s="122">
        <f>IF($D380=1,$H379+1,IF($F380=1,$H379,IF($A380=Config!$A$2,$H379,0)))</f>
        <v>0</v>
      </c>
      <c r="M380" s="123" t="n"/>
    </row>
    <row r="381">
      <c r="A381" s="120" t="str">
        <f>A380+1</f>
        <v>2025-10-28 00:00:00</v>
      </c>
      <c r="B381" s="121">
        <f>SUMIFS('Daily Writing Log'!$H$5:$H$34,'Daily Writing Log'!$A$5:$A$34,$A381)</f>
        <v>0</v>
      </c>
      <c r="C381" s="121">
        <f>SUMIFS('Daily Writing Log'!$I$5:$I$34,'Daily Writing Log'!$A$5:$A$34,$A381)</f>
        <v>0</v>
      </c>
      <c r="D381" s="122">
        <f>IF($C381&gt;=Config!$B$5,1,0)</f>
        <v>0</v>
      </c>
      <c r="E381" s="122">
        <f>IF(MONTH($A381)&lt;&gt;MONTH($A380),0,$G380)</f>
        <v>0</v>
      </c>
      <c r="F381" s="122">
        <f>IF(AND($D381=0,$H380&gt;0,$E381&lt;Config!$B$8,$A381&lt;Config!$A$2),1,0)</f>
        <v>0</v>
      </c>
      <c r="G381" s="122">
        <f>$E381+$F381</f>
        <v>0</v>
      </c>
      <c r="H381" s="122">
        <f>IF($D381=1,$H380+1,IF($F381=1,$H380,IF($A381=Config!$A$2,$H380,0)))</f>
        <v>0</v>
      </c>
      <c r="M381" s="123" t="n"/>
    </row>
    <row r="382">
      <c r="A382" s="120" t="str">
        <f>A381+1</f>
        <v>2025-10-29 00:00:00</v>
      </c>
      <c r="B382" s="121">
        <f>SUMIFS('Daily Writing Log'!$H$5:$H$34,'Daily Writing Log'!$A$5:$A$34,$A382)</f>
        <v>0</v>
      </c>
      <c r="C382" s="121">
        <f>SUMIFS('Daily Writing Log'!$I$5:$I$34,'Daily Writing Log'!$A$5:$A$34,$A382)</f>
        <v>0</v>
      </c>
      <c r="D382" s="122">
        <f>IF($C382&gt;=Config!$B$5,1,0)</f>
        <v>0</v>
      </c>
      <c r="E382" s="122">
        <f>IF(MONTH($A382)&lt;&gt;MONTH($A381),0,$G381)</f>
        <v>0</v>
      </c>
      <c r="F382" s="122">
        <f>IF(AND($D382=0,$H381&gt;0,$E382&lt;Config!$B$8,$A382&lt;Config!$A$2),1,0)</f>
        <v>0</v>
      </c>
      <c r="G382" s="122">
        <f>$E382+$F382</f>
        <v>0</v>
      </c>
      <c r="H382" s="122">
        <f>IF($D382=1,$H381+1,IF($F382=1,$H381,IF($A382=Config!$A$2,$H381,0)))</f>
        <v>0</v>
      </c>
      <c r="M382" s="123" t="n"/>
    </row>
    <row r="383">
      <c r="A383" s="120" t="str">
        <f>A382+1</f>
        <v>2025-10-30 00:00:00</v>
      </c>
      <c r="B383" s="121">
        <f>SUMIFS('Daily Writing Log'!$H$5:$H$34,'Daily Writing Log'!$A$5:$A$34,$A383)</f>
        <v>0</v>
      </c>
      <c r="C383" s="121">
        <f>SUMIFS('Daily Writing Log'!$I$5:$I$34,'Daily Writing Log'!$A$5:$A$34,$A383)</f>
        <v>0</v>
      </c>
      <c r="D383" s="122">
        <f>IF($C383&gt;=Config!$B$5,1,0)</f>
        <v>0</v>
      </c>
      <c r="E383" s="122">
        <f>IF(MONTH($A383)&lt;&gt;MONTH($A382),0,$G382)</f>
        <v>0</v>
      </c>
      <c r="F383" s="122">
        <f>IF(AND($D383=0,$H382&gt;0,$E383&lt;Config!$B$8,$A383&lt;Config!$A$2),1,0)</f>
        <v>0</v>
      </c>
      <c r="G383" s="122">
        <f>$E383+$F383</f>
        <v>0</v>
      </c>
      <c r="H383" s="122">
        <f>IF($D383=1,$H382+1,IF($F383=1,$H382,IF($A383=Config!$A$2,$H382,0)))</f>
        <v>0</v>
      </c>
      <c r="M383" s="123" t="n"/>
    </row>
    <row r="384">
      <c r="A384" s="120" t="str">
        <f>A383+1</f>
        <v>2025-10-31 00:00:00</v>
      </c>
      <c r="B384" s="121">
        <f>SUMIFS('Daily Writing Log'!$H$5:$H$34,'Daily Writing Log'!$A$5:$A$34,$A384)</f>
        <v>0</v>
      </c>
      <c r="C384" s="121">
        <f>SUMIFS('Daily Writing Log'!$I$5:$I$34,'Daily Writing Log'!$A$5:$A$34,$A384)</f>
        <v>0</v>
      </c>
      <c r="D384" s="122">
        <f>IF($C384&gt;=Config!$B$5,1,0)</f>
        <v>0</v>
      </c>
      <c r="E384" s="122">
        <f>IF(MONTH($A384)&lt;&gt;MONTH($A383),0,$G383)</f>
        <v>0</v>
      </c>
      <c r="F384" s="122">
        <f>IF(AND($D384=0,$H383&gt;0,$E384&lt;Config!$B$8,$A384&lt;Config!$A$2),1,0)</f>
        <v>0</v>
      </c>
      <c r="G384" s="122">
        <f>$E384+$F384</f>
        <v>0</v>
      </c>
      <c r="H384" s="122">
        <f>IF($D384=1,$H383+1,IF($F384=1,$H383,IF($A384=Config!$A$2,$H383,0)))</f>
        <v>0</v>
      </c>
      <c r="M384" s="123" t="n"/>
    </row>
    <row r="385">
      <c r="A385" s="120" t="str">
        <f>A384+1</f>
        <v>2025-11-01 00:00:00</v>
      </c>
      <c r="B385" s="121">
        <f>SUMIFS('Daily Writing Log'!$H$5:$H$34,'Daily Writing Log'!$A$5:$A$34,$A385)</f>
        <v>0</v>
      </c>
      <c r="C385" s="121">
        <f>SUMIFS('Daily Writing Log'!$I$5:$I$34,'Daily Writing Log'!$A$5:$A$34,$A385)</f>
        <v>0</v>
      </c>
      <c r="D385" s="122">
        <f>IF($C385&gt;=Config!$B$5,1,0)</f>
        <v>0</v>
      </c>
      <c r="E385" s="122">
        <f>IF(MONTH($A385)&lt;&gt;MONTH($A384),0,$G384)</f>
        <v>0</v>
      </c>
      <c r="F385" s="122">
        <f>IF(AND($D385=0,$H384&gt;0,$E385&lt;Config!$B$8,$A385&lt;Config!$A$2),1,0)</f>
        <v>0</v>
      </c>
      <c r="G385" s="122">
        <f>$E385+$F385</f>
        <v>0</v>
      </c>
      <c r="H385" s="122">
        <f>IF($D385=1,$H384+1,IF($F385=1,$H384,IF($A385=Config!$A$2,$H384,0)))</f>
        <v>0</v>
      </c>
      <c r="M385" s="123" t="n"/>
    </row>
    <row r="386">
      <c r="A386" s="120" t="str">
        <f>A385+1</f>
        <v>2025-11-02 00:00:00</v>
      </c>
      <c r="B386" s="121">
        <f>SUMIFS('Daily Writing Log'!$H$5:$H$34,'Daily Writing Log'!$A$5:$A$34,$A386)</f>
        <v>0</v>
      </c>
      <c r="C386" s="121">
        <f>SUMIFS('Daily Writing Log'!$I$5:$I$34,'Daily Writing Log'!$A$5:$A$34,$A386)</f>
        <v>0</v>
      </c>
      <c r="D386" s="122">
        <f>IF($C386&gt;=Config!$B$5,1,0)</f>
        <v>0</v>
      </c>
      <c r="E386" s="122">
        <f>IF(MONTH($A386)&lt;&gt;MONTH($A385),0,$G385)</f>
        <v>0</v>
      </c>
      <c r="F386" s="122">
        <f>IF(AND($D386=0,$H385&gt;0,$E386&lt;Config!$B$8,$A386&lt;Config!$A$2),1,0)</f>
        <v>0</v>
      </c>
      <c r="G386" s="122">
        <f>$E386+$F386</f>
        <v>0</v>
      </c>
      <c r="H386" s="122">
        <f>IF($D386=1,$H385+1,IF($F386=1,$H385,IF($A386=Config!$A$2,$H385,0)))</f>
        <v>0</v>
      </c>
      <c r="M386" s="123" t="n"/>
    </row>
    <row r="387">
      <c r="A387" s="120" t="str">
        <f>A386+1</f>
        <v>2025-11-03 00:00:00</v>
      </c>
      <c r="B387" s="121">
        <f>SUMIFS('Daily Writing Log'!$H$5:$H$34,'Daily Writing Log'!$A$5:$A$34,$A387)</f>
        <v>0</v>
      </c>
      <c r="C387" s="121">
        <f>SUMIFS('Daily Writing Log'!$I$5:$I$34,'Daily Writing Log'!$A$5:$A$34,$A387)</f>
        <v>0</v>
      </c>
      <c r="D387" s="122">
        <f>IF($C387&gt;=Config!$B$5,1,0)</f>
        <v>0</v>
      </c>
      <c r="E387" s="122">
        <f>IF(MONTH($A387)&lt;&gt;MONTH($A386),0,$G386)</f>
        <v>0</v>
      </c>
      <c r="F387" s="122">
        <f>IF(AND($D387=0,$H386&gt;0,$E387&lt;Config!$B$8,$A387&lt;Config!$A$2),1,0)</f>
        <v>0</v>
      </c>
      <c r="G387" s="122">
        <f>$E387+$F387</f>
        <v>0</v>
      </c>
      <c r="H387" s="122">
        <f>IF($D387=1,$H386+1,IF($F387=1,$H386,IF($A387=Config!$A$2,$H386,0)))</f>
        <v>0</v>
      </c>
      <c r="M387" s="123" t="n"/>
    </row>
    <row r="388">
      <c r="A388" s="120" t="str">
        <f>A387+1</f>
        <v>2025-11-04 00:00:00</v>
      </c>
      <c r="B388" s="121">
        <f>SUMIFS('Daily Writing Log'!$H$5:$H$34,'Daily Writing Log'!$A$5:$A$34,$A388)</f>
        <v>0</v>
      </c>
      <c r="C388" s="121">
        <f>SUMIFS('Daily Writing Log'!$I$5:$I$34,'Daily Writing Log'!$A$5:$A$34,$A388)</f>
        <v>0</v>
      </c>
      <c r="D388" s="122">
        <f>IF($C388&gt;=Config!$B$5,1,0)</f>
        <v>0</v>
      </c>
      <c r="E388" s="122">
        <f>IF(MONTH($A388)&lt;&gt;MONTH($A387),0,$G387)</f>
        <v>0</v>
      </c>
      <c r="F388" s="122">
        <f>IF(AND($D388=0,$H387&gt;0,$E388&lt;Config!$B$8,$A388&lt;Config!$A$2),1,0)</f>
        <v>0</v>
      </c>
      <c r="G388" s="122">
        <f>$E388+$F388</f>
        <v>0</v>
      </c>
      <c r="H388" s="122">
        <f>IF($D388=1,$H387+1,IF($F388=1,$H387,IF($A388=Config!$A$2,$H387,0)))</f>
        <v>0</v>
      </c>
      <c r="M388" s="123" t="n"/>
    </row>
    <row r="389">
      <c r="A389" s="120" t="str">
        <f>A388+1</f>
        <v>2025-11-05 00:00:00</v>
      </c>
      <c r="B389" s="121">
        <f>SUMIFS('Daily Writing Log'!$H$5:$H$34,'Daily Writing Log'!$A$5:$A$34,$A389)</f>
        <v>0</v>
      </c>
      <c r="C389" s="121">
        <f>SUMIFS('Daily Writing Log'!$I$5:$I$34,'Daily Writing Log'!$A$5:$A$34,$A389)</f>
        <v>0</v>
      </c>
      <c r="D389" s="122">
        <f>IF($C389&gt;=Config!$B$5,1,0)</f>
        <v>0</v>
      </c>
      <c r="E389" s="122">
        <f>IF(MONTH($A389)&lt;&gt;MONTH($A388),0,$G388)</f>
        <v>0</v>
      </c>
      <c r="F389" s="122">
        <f>IF(AND($D389=0,$H388&gt;0,$E389&lt;Config!$B$8,$A389&lt;Config!$A$2),1,0)</f>
        <v>0</v>
      </c>
      <c r="G389" s="122">
        <f>$E389+$F389</f>
        <v>0</v>
      </c>
      <c r="H389" s="122">
        <f>IF($D389=1,$H388+1,IF($F389=1,$H388,IF($A389=Config!$A$2,$H388,0)))</f>
        <v>0</v>
      </c>
      <c r="M389" s="123" t="n"/>
    </row>
    <row r="390">
      <c r="A390" s="120" t="str">
        <f>A389+1</f>
        <v>2025-11-06 00:00:00</v>
      </c>
      <c r="B390" s="121">
        <f>SUMIFS('Daily Writing Log'!$H$5:$H$34,'Daily Writing Log'!$A$5:$A$34,$A390)</f>
        <v>0</v>
      </c>
      <c r="C390" s="121">
        <f>SUMIFS('Daily Writing Log'!$I$5:$I$34,'Daily Writing Log'!$A$5:$A$34,$A390)</f>
        <v>0</v>
      </c>
      <c r="D390" s="122">
        <f>IF($C390&gt;=Config!$B$5,1,0)</f>
        <v>0</v>
      </c>
      <c r="E390" s="122">
        <f>IF(MONTH($A390)&lt;&gt;MONTH($A389),0,$G389)</f>
        <v>0</v>
      </c>
      <c r="F390" s="122">
        <f>IF(AND($D390=0,$H389&gt;0,$E390&lt;Config!$B$8,$A390&lt;Config!$A$2),1,0)</f>
        <v>0</v>
      </c>
      <c r="G390" s="122">
        <f>$E390+$F390</f>
        <v>0</v>
      </c>
      <c r="H390" s="122">
        <f>IF($D390=1,$H389+1,IF($F390=1,$H389,IF($A390=Config!$A$2,$H389,0)))</f>
        <v>0</v>
      </c>
      <c r="M390" s="123" t="n"/>
    </row>
    <row r="391">
      <c r="A391" s="120" t="str">
        <f>A390+1</f>
        <v>2025-11-07 00:00:00</v>
      </c>
      <c r="B391" s="121">
        <f>SUMIFS('Daily Writing Log'!$H$5:$H$34,'Daily Writing Log'!$A$5:$A$34,$A391)</f>
        <v>0</v>
      </c>
      <c r="C391" s="121">
        <f>SUMIFS('Daily Writing Log'!$I$5:$I$34,'Daily Writing Log'!$A$5:$A$34,$A391)</f>
        <v>0</v>
      </c>
      <c r="D391" s="122">
        <f>IF($C391&gt;=Config!$B$5,1,0)</f>
        <v>0</v>
      </c>
      <c r="E391" s="122">
        <f>IF(MONTH($A391)&lt;&gt;MONTH($A390),0,$G390)</f>
        <v>0</v>
      </c>
      <c r="F391" s="122">
        <f>IF(AND($D391=0,$H390&gt;0,$E391&lt;Config!$B$8,$A391&lt;Config!$A$2),1,0)</f>
        <v>0</v>
      </c>
      <c r="G391" s="122">
        <f>$E391+$F391</f>
        <v>0</v>
      </c>
      <c r="H391" s="122">
        <f>IF($D391=1,$H390+1,IF($F391=1,$H390,IF($A391=Config!$A$2,$H390,0)))</f>
        <v>0</v>
      </c>
      <c r="M391" s="123" t="n"/>
    </row>
    <row r="392">
      <c r="A392" s="120" t="str">
        <f>A391+1</f>
        <v>2025-11-08 00:00:00</v>
      </c>
      <c r="B392" s="121">
        <f>SUMIFS('Daily Writing Log'!$H$5:$H$34,'Daily Writing Log'!$A$5:$A$34,$A392)</f>
        <v>0</v>
      </c>
      <c r="C392" s="121">
        <f>SUMIFS('Daily Writing Log'!$I$5:$I$34,'Daily Writing Log'!$A$5:$A$34,$A392)</f>
        <v>0</v>
      </c>
      <c r="D392" s="122">
        <f>IF($C392&gt;=Config!$B$5,1,0)</f>
        <v>0</v>
      </c>
      <c r="E392" s="122">
        <f>IF(MONTH($A392)&lt;&gt;MONTH($A391),0,$G391)</f>
        <v>0</v>
      </c>
      <c r="F392" s="122">
        <f>IF(AND($D392=0,$H391&gt;0,$E392&lt;Config!$B$8,$A392&lt;Config!$A$2),1,0)</f>
        <v>0</v>
      </c>
      <c r="G392" s="122">
        <f>$E392+$F392</f>
        <v>0</v>
      </c>
      <c r="H392" s="122">
        <f>IF($D392=1,$H391+1,IF($F392=1,$H391,IF($A392=Config!$A$2,$H391,0)))</f>
        <v>0</v>
      </c>
      <c r="M392" s="123" t="n"/>
    </row>
    <row r="393">
      <c r="A393" s="120" t="str">
        <f>A392+1</f>
        <v>2025-11-09 00:00:00</v>
      </c>
      <c r="B393" s="121">
        <f>SUMIFS('Daily Writing Log'!$H$5:$H$34,'Daily Writing Log'!$A$5:$A$34,$A393)</f>
        <v>0</v>
      </c>
      <c r="C393" s="121">
        <f>SUMIFS('Daily Writing Log'!$I$5:$I$34,'Daily Writing Log'!$A$5:$A$34,$A393)</f>
        <v>0</v>
      </c>
      <c r="D393" s="122">
        <f>IF($C393&gt;=Config!$B$5,1,0)</f>
        <v>0</v>
      </c>
      <c r="E393" s="122">
        <f>IF(MONTH($A393)&lt;&gt;MONTH($A392),0,$G392)</f>
        <v>0</v>
      </c>
      <c r="F393" s="122">
        <f>IF(AND($D393=0,$H392&gt;0,$E393&lt;Config!$B$8,$A393&lt;Config!$A$2),1,0)</f>
        <v>0</v>
      </c>
      <c r="G393" s="122">
        <f>$E393+$F393</f>
        <v>0</v>
      </c>
      <c r="H393" s="122">
        <f>IF($D393=1,$H392+1,IF($F393=1,$H392,IF($A393=Config!$A$2,$H392,0)))</f>
        <v>0</v>
      </c>
      <c r="M393" s="123" t="n"/>
    </row>
    <row r="394">
      <c r="A394" s="120" t="str">
        <f>A393+1</f>
        <v>2025-11-10 00:00:00</v>
      </c>
      <c r="B394" s="121">
        <f>SUMIFS('Daily Writing Log'!$H$5:$H$34,'Daily Writing Log'!$A$5:$A$34,$A394)</f>
        <v>0</v>
      </c>
      <c r="C394" s="121">
        <f>SUMIFS('Daily Writing Log'!$I$5:$I$34,'Daily Writing Log'!$A$5:$A$34,$A394)</f>
        <v>0</v>
      </c>
      <c r="D394" s="122">
        <f>IF($C394&gt;=Config!$B$5,1,0)</f>
        <v>0</v>
      </c>
      <c r="E394" s="122">
        <f>IF(MONTH($A394)&lt;&gt;MONTH($A393),0,$G393)</f>
        <v>0</v>
      </c>
      <c r="F394" s="122">
        <f>IF(AND($D394=0,$H393&gt;0,$E394&lt;Config!$B$8,$A394&lt;Config!$A$2),1,0)</f>
        <v>0</v>
      </c>
      <c r="G394" s="122">
        <f>$E394+$F394</f>
        <v>0</v>
      </c>
      <c r="H394" s="122">
        <f>IF($D394=1,$H393+1,IF($F394=1,$H393,IF($A394=Config!$A$2,$H393,0)))</f>
        <v>0</v>
      </c>
      <c r="M394" s="123" t="n"/>
    </row>
    <row r="395">
      <c r="A395" s="120" t="str">
        <f>A394+1</f>
        <v>2025-11-11 00:00:00</v>
      </c>
      <c r="B395" s="121">
        <f>SUMIFS('Daily Writing Log'!$H$5:$H$34,'Daily Writing Log'!$A$5:$A$34,$A395)</f>
        <v>0</v>
      </c>
      <c r="C395" s="121">
        <f>SUMIFS('Daily Writing Log'!$I$5:$I$34,'Daily Writing Log'!$A$5:$A$34,$A395)</f>
        <v>0</v>
      </c>
      <c r="D395" s="122">
        <f>IF($C395&gt;=Config!$B$5,1,0)</f>
        <v>0</v>
      </c>
      <c r="E395" s="122">
        <f>IF(MONTH($A395)&lt;&gt;MONTH($A394),0,$G394)</f>
        <v>0</v>
      </c>
      <c r="F395" s="122">
        <f>IF(AND($D395=0,$H394&gt;0,$E395&lt;Config!$B$8,$A395&lt;Config!$A$2),1,0)</f>
        <v>0</v>
      </c>
      <c r="G395" s="122">
        <f>$E395+$F395</f>
        <v>0</v>
      </c>
      <c r="H395" s="122">
        <f>IF($D395=1,$H394+1,IF($F395=1,$H394,IF($A395=Config!$A$2,$H394,0)))</f>
        <v>0</v>
      </c>
      <c r="M395" s="123" t="n"/>
    </row>
    <row r="396">
      <c r="A396" s="120" t="str">
        <f>A395+1</f>
        <v>2025-11-12 00:00:00</v>
      </c>
      <c r="B396" s="121">
        <f>SUMIFS('Daily Writing Log'!$H$5:$H$34,'Daily Writing Log'!$A$5:$A$34,$A396)</f>
        <v>0</v>
      </c>
      <c r="C396" s="121">
        <f>SUMIFS('Daily Writing Log'!$I$5:$I$34,'Daily Writing Log'!$A$5:$A$34,$A396)</f>
        <v>0</v>
      </c>
      <c r="D396" s="122">
        <f>IF($C396&gt;=Config!$B$5,1,0)</f>
        <v>0</v>
      </c>
      <c r="E396" s="122">
        <f>IF(MONTH($A396)&lt;&gt;MONTH($A395),0,$G395)</f>
        <v>0</v>
      </c>
      <c r="F396" s="122">
        <f>IF(AND($D396=0,$H395&gt;0,$E396&lt;Config!$B$8,$A396&lt;Config!$A$2),1,0)</f>
        <v>0</v>
      </c>
      <c r="G396" s="122">
        <f>$E396+$F396</f>
        <v>0</v>
      </c>
      <c r="H396" s="122">
        <f>IF($D396=1,$H395+1,IF($F396=1,$H395,IF($A396=Config!$A$2,$H395,0)))</f>
        <v>0</v>
      </c>
      <c r="M396" s="123" t="n"/>
    </row>
    <row r="397">
      <c r="A397" s="120" t="str">
        <f>A396+1</f>
        <v>2025-11-13 00:00:00</v>
      </c>
      <c r="B397" s="121">
        <f>SUMIFS('Daily Writing Log'!$H$5:$H$34,'Daily Writing Log'!$A$5:$A$34,$A397)</f>
        <v>0</v>
      </c>
      <c r="C397" s="121">
        <f>SUMIFS('Daily Writing Log'!$I$5:$I$34,'Daily Writing Log'!$A$5:$A$34,$A397)</f>
        <v>0</v>
      </c>
      <c r="D397" s="122">
        <f>IF($C397&gt;=Config!$B$5,1,0)</f>
        <v>0</v>
      </c>
      <c r="E397" s="122">
        <f>IF(MONTH($A397)&lt;&gt;MONTH($A396),0,$G396)</f>
        <v>0</v>
      </c>
      <c r="F397" s="122">
        <f>IF(AND($D397=0,$H396&gt;0,$E397&lt;Config!$B$8,$A397&lt;Config!$A$2),1,0)</f>
        <v>0</v>
      </c>
      <c r="G397" s="122">
        <f>$E397+$F397</f>
        <v>0</v>
      </c>
      <c r="H397" s="122">
        <f>IF($D397=1,$H396+1,IF($F397=1,$H396,IF($A397=Config!$A$2,$H396,0)))</f>
        <v>0</v>
      </c>
      <c r="M397" s="123" t="n"/>
    </row>
    <row r="398">
      <c r="A398" s="120" t="str">
        <f>A397+1</f>
        <v>2025-11-14 00:00:00</v>
      </c>
      <c r="B398" s="121">
        <f>SUMIFS('Daily Writing Log'!$H$5:$H$34,'Daily Writing Log'!$A$5:$A$34,$A398)</f>
        <v>0</v>
      </c>
      <c r="C398" s="121">
        <f>SUMIFS('Daily Writing Log'!$I$5:$I$34,'Daily Writing Log'!$A$5:$A$34,$A398)</f>
        <v>0</v>
      </c>
      <c r="D398" s="122">
        <f>IF($C398&gt;=Config!$B$5,1,0)</f>
        <v>0</v>
      </c>
      <c r="E398" s="122">
        <f>IF(MONTH($A398)&lt;&gt;MONTH($A397),0,$G397)</f>
        <v>0</v>
      </c>
      <c r="F398" s="122">
        <f>IF(AND($D398=0,$H397&gt;0,$E398&lt;Config!$B$8,$A398&lt;Config!$A$2),1,0)</f>
        <v>0</v>
      </c>
      <c r="G398" s="122">
        <f>$E398+$F398</f>
        <v>0</v>
      </c>
      <c r="H398" s="122">
        <f>IF($D398=1,$H397+1,IF($F398=1,$H397,IF($A398=Config!$A$2,$H397,0)))</f>
        <v>0</v>
      </c>
      <c r="M398" s="123" t="n"/>
    </row>
    <row r="399">
      <c r="A399" s="120" t="str">
        <f>A398+1</f>
        <v>2025-11-15 00:00:00</v>
      </c>
      <c r="B399" s="121">
        <f>SUMIFS('Daily Writing Log'!$H$5:$H$34,'Daily Writing Log'!$A$5:$A$34,$A399)</f>
        <v>0</v>
      </c>
      <c r="C399" s="121">
        <f>SUMIFS('Daily Writing Log'!$I$5:$I$34,'Daily Writing Log'!$A$5:$A$34,$A399)</f>
        <v>0</v>
      </c>
      <c r="D399" s="122">
        <f>IF($C399&gt;=Config!$B$5,1,0)</f>
        <v>0</v>
      </c>
      <c r="E399" s="122">
        <f>IF(MONTH($A399)&lt;&gt;MONTH($A398),0,$G398)</f>
        <v>0</v>
      </c>
      <c r="F399" s="122">
        <f>IF(AND($D399=0,$H398&gt;0,$E399&lt;Config!$B$8,$A399&lt;Config!$A$2),1,0)</f>
        <v>0</v>
      </c>
      <c r="G399" s="122">
        <f>$E399+$F399</f>
        <v>0</v>
      </c>
      <c r="H399" s="122">
        <f>IF($D399=1,$H398+1,IF($F399=1,$H398,IF($A399=Config!$A$2,$H398,0)))</f>
        <v>0</v>
      </c>
      <c r="M399" s="123" t="n"/>
    </row>
    <row r="400">
      <c r="A400" s="120" t="str">
        <f>A399+1</f>
        <v>2025-11-16 00:00:00</v>
      </c>
      <c r="B400" s="121">
        <f>SUMIFS('Daily Writing Log'!$H$5:$H$34,'Daily Writing Log'!$A$5:$A$34,$A400)</f>
        <v>0</v>
      </c>
      <c r="C400" s="121">
        <f>SUMIFS('Daily Writing Log'!$I$5:$I$34,'Daily Writing Log'!$A$5:$A$34,$A400)</f>
        <v>0</v>
      </c>
      <c r="D400" s="122">
        <f>IF($C400&gt;=Config!$B$5,1,0)</f>
        <v>0</v>
      </c>
      <c r="E400" s="122">
        <f>IF(MONTH($A400)&lt;&gt;MONTH($A399),0,$G399)</f>
        <v>0</v>
      </c>
      <c r="F400" s="122">
        <f>IF(AND($D400=0,$H399&gt;0,$E400&lt;Config!$B$8,$A400&lt;Config!$A$2),1,0)</f>
        <v>0</v>
      </c>
      <c r="G400" s="122">
        <f>$E400+$F400</f>
        <v>0</v>
      </c>
      <c r="H400" s="122">
        <f>IF($D400=1,$H399+1,IF($F400=1,$H399,IF($A400=Config!$A$2,$H399,0)))</f>
        <v>0</v>
      </c>
      <c r="M400" s="123" t="n"/>
    </row>
    <row r="401">
      <c r="A401" s="120" t="str">
        <f>A400+1</f>
        <v>2025-11-17 00:00:00</v>
      </c>
      <c r="B401" s="121">
        <f>SUMIFS('Daily Writing Log'!$H$5:$H$34,'Daily Writing Log'!$A$5:$A$34,$A401)</f>
        <v>0</v>
      </c>
      <c r="C401" s="121">
        <f>SUMIFS('Daily Writing Log'!$I$5:$I$34,'Daily Writing Log'!$A$5:$A$34,$A401)</f>
        <v>0</v>
      </c>
      <c r="D401" s="122">
        <f>IF($C401&gt;=Config!$B$5,1,0)</f>
        <v>0</v>
      </c>
      <c r="E401" s="122">
        <f>IF(MONTH($A401)&lt;&gt;MONTH($A400),0,$G400)</f>
        <v>0</v>
      </c>
      <c r="F401" s="122">
        <f>IF(AND($D401=0,$H400&gt;0,$E401&lt;Config!$B$8,$A401&lt;Config!$A$2),1,0)</f>
        <v>0</v>
      </c>
      <c r="G401" s="122">
        <f>$E401+$F401</f>
        <v>0</v>
      </c>
      <c r="H401" s="122">
        <f>IF($D401=1,$H400+1,IF($F401=1,$H400,IF($A401=Config!$A$2,$H400,0)))</f>
        <v>0</v>
      </c>
      <c r="M401" s="123" t="n"/>
    </row>
    <row r="402">
      <c r="A402" s="120" t="str">
        <f>A401+1</f>
        <v>2025-11-18 00:00:00</v>
      </c>
      <c r="B402" s="121">
        <f>SUMIFS('Daily Writing Log'!$H$5:$H$34,'Daily Writing Log'!$A$5:$A$34,$A402)</f>
        <v>0</v>
      </c>
      <c r="C402" s="121">
        <f>SUMIFS('Daily Writing Log'!$I$5:$I$34,'Daily Writing Log'!$A$5:$A$34,$A402)</f>
        <v>0</v>
      </c>
      <c r="D402" s="122">
        <f>IF($C402&gt;=Config!$B$5,1,0)</f>
        <v>0</v>
      </c>
      <c r="E402" s="122">
        <f>IF(MONTH($A402)&lt;&gt;MONTH($A401),0,$G401)</f>
        <v>0</v>
      </c>
      <c r="F402" s="122">
        <f>IF(AND($D402=0,$H401&gt;0,$E402&lt;Config!$B$8,$A402&lt;Config!$A$2),1,0)</f>
        <v>0</v>
      </c>
      <c r="G402" s="122">
        <f>$E402+$F402</f>
        <v>0</v>
      </c>
      <c r="H402" s="122">
        <f>IF($D402=1,$H401+1,IF($F402=1,$H401,IF($A402=Config!$A$2,$H401,0)))</f>
        <v>0</v>
      </c>
      <c r="M402" s="123" t="n"/>
    </row>
    <row r="403">
      <c r="A403" s="120" t="str">
        <f>A402+1</f>
        <v>2025-11-19 00:00:00</v>
      </c>
      <c r="B403" s="121">
        <f>SUMIFS('Daily Writing Log'!$H$5:$H$34,'Daily Writing Log'!$A$5:$A$34,$A403)</f>
        <v>0</v>
      </c>
      <c r="C403" s="121">
        <f>SUMIFS('Daily Writing Log'!$I$5:$I$34,'Daily Writing Log'!$A$5:$A$34,$A403)</f>
        <v>0</v>
      </c>
      <c r="D403" s="122">
        <f>IF($C403&gt;=Config!$B$5,1,0)</f>
        <v>0</v>
      </c>
      <c r="E403" s="122">
        <f>IF(MONTH($A403)&lt;&gt;MONTH($A402),0,$G402)</f>
        <v>0</v>
      </c>
      <c r="F403" s="122">
        <f>IF(AND($D403=0,$H402&gt;0,$E403&lt;Config!$B$8,$A403&lt;Config!$A$2),1,0)</f>
        <v>0</v>
      </c>
      <c r="G403" s="122">
        <f>$E403+$F403</f>
        <v>0</v>
      </c>
      <c r="H403" s="122">
        <f>IF($D403=1,$H402+1,IF($F403=1,$H402,IF($A403=Config!$A$2,$H402,0)))</f>
        <v>0</v>
      </c>
      <c r="M403" s="123" t="n"/>
    </row>
    <row r="404">
      <c r="A404" s="120" t="str">
        <f>A403+1</f>
        <v>2025-11-20 00:00:00</v>
      </c>
      <c r="B404" s="121">
        <f>SUMIFS('Daily Writing Log'!$H$5:$H$34,'Daily Writing Log'!$A$5:$A$34,$A404)</f>
        <v>0</v>
      </c>
      <c r="C404" s="121">
        <f>SUMIFS('Daily Writing Log'!$I$5:$I$34,'Daily Writing Log'!$A$5:$A$34,$A404)</f>
        <v>0</v>
      </c>
      <c r="D404" s="122">
        <f>IF($C404&gt;=Config!$B$5,1,0)</f>
        <v>0</v>
      </c>
      <c r="E404" s="122">
        <f>IF(MONTH($A404)&lt;&gt;MONTH($A403),0,$G403)</f>
        <v>0</v>
      </c>
      <c r="F404" s="122">
        <f>IF(AND($D404=0,$H403&gt;0,$E404&lt;Config!$B$8,$A404&lt;Config!$A$2),1,0)</f>
        <v>0</v>
      </c>
      <c r="G404" s="122">
        <f>$E404+$F404</f>
        <v>0</v>
      </c>
      <c r="H404" s="122">
        <f>IF($D404=1,$H403+1,IF($F404=1,$H403,IF($A404=Config!$A$2,$H403,0)))</f>
        <v>0</v>
      </c>
      <c r="M404" s="123" t="n"/>
    </row>
    <row r="405">
      <c r="A405" s="120" t="str">
        <f>A404+1</f>
        <v>2025-11-21 00:00:00</v>
      </c>
      <c r="B405" s="121">
        <f>SUMIFS('Daily Writing Log'!$H$5:$H$34,'Daily Writing Log'!$A$5:$A$34,$A405)</f>
        <v>0</v>
      </c>
      <c r="C405" s="121">
        <f>SUMIFS('Daily Writing Log'!$I$5:$I$34,'Daily Writing Log'!$A$5:$A$34,$A405)</f>
        <v>0</v>
      </c>
      <c r="D405" s="122">
        <f>IF($C405&gt;=Config!$B$5,1,0)</f>
        <v>0</v>
      </c>
      <c r="E405" s="122">
        <f>IF(MONTH($A405)&lt;&gt;MONTH($A404),0,$G404)</f>
        <v>0</v>
      </c>
      <c r="F405" s="122">
        <f>IF(AND($D405=0,$H404&gt;0,$E405&lt;Config!$B$8,$A405&lt;Config!$A$2),1,0)</f>
        <v>0</v>
      </c>
      <c r="G405" s="122">
        <f>$E405+$F405</f>
        <v>0</v>
      </c>
      <c r="H405" s="122">
        <f>IF($D405=1,$H404+1,IF($F405=1,$H404,IF($A405=Config!$A$2,$H404,0)))</f>
        <v>0</v>
      </c>
      <c r="M405" s="123" t="n"/>
    </row>
    <row r="406">
      <c r="A406" s="120" t="str">
        <f>A405+1</f>
        <v>2025-11-22 00:00:00</v>
      </c>
      <c r="B406" s="121">
        <f>SUMIFS('Daily Writing Log'!$H$5:$H$34,'Daily Writing Log'!$A$5:$A$34,$A406)</f>
        <v>0</v>
      </c>
      <c r="C406" s="121">
        <f>SUMIFS('Daily Writing Log'!$I$5:$I$34,'Daily Writing Log'!$A$5:$A$34,$A406)</f>
        <v>0</v>
      </c>
      <c r="D406" s="122">
        <f>IF($C406&gt;=Config!$B$5,1,0)</f>
        <v>0</v>
      </c>
      <c r="E406" s="122">
        <f>IF(MONTH($A406)&lt;&gt;MONTH($A405),0,$G405)</f>
        <v>0</v>
      </c>
      <c r="F406" s="122">
        <f>IF(AND($D406=0,$H405&gt;0,$E406&lt;Config!$B$8,$A406&lt;Config!$A$2),1,0)</f>
        <v>0</v>
      </c>
      <c r="G406" s="122">
        <f>$E406+$F406</f>
        <v>0</v>
      </c>
      <c r="H406" s="122">
        <f>IF($D406=1,$H405+1,IF($F406=1,$H405,IF($A406=Config!$A$2,$H405,0)))</f>
        <v>0</v>
      </c>
      <c r="M406" s="123" t="n"/>
    </row>
    <row r="407">
      <c r="A407" s="120" t="str">
        <f>A406+1</f>
        <v>2025-11-23 00:00:00</v>
      </c>
      <c r="B407" s="121">
        <f>SUMIFS('Daily Writing Log'!$H$5:$H$34,'Daily Writing Log'!$A$5:$A$34,$A407)</f>
        <v>0</v>
      </c>
      <c r="C407" s="121">
        <f>SUMIFS('Daily Writing Log'!$I$5:$I$34,'Daily Writing Log'!$A$5:$A$34,$A407)</f>
        <v>0</v>
      </c>
      <c r="D407" s="122">
        <f>IF($C407&gt;=Config!$B$5,1,0)</f>
        <v>0</v>
      </c>
      <c r="E407" s="122">
        <f>IF(MONTH($A407)&lt;&gt;MONTH($A406),0,$G406)</f>
        <v>0</v>
      </c>
      <c r="F407" s="122">
        <f>IF(AND($D407=0,$H406&gt;0,$E407&lt;Config!$B$8,$A407&lt;Config!$A$2),1,0)</f>
        <v>0</v>
      </c>
      <c r="G407" s="122">
        <f>$E407+$F407</f>
        <v>0</v>
      </c>
      <c r="H407" s="122">
        <f>IF($D407=1,$H406+1,IF($F407=1,$H406,IF($A407=Config!$A$2,$H406,0)))</f>
        <v>0</v>
      </c>
      <c r="M407" s="123" t="n"/>
    </row>
    <row r="408">
      <c r="A408" s="120" t="str">
        <f>A407+1</f>
        <v>2025-11-24 00:00:00</v>
      </c>
      <c r="B408" s="121">
        <f>SUMIFS('Daily Writing Log'!$H$5:$H$34,'Daily Writing Log'!$A$5:$A$34,$A408)</f>
        <v>0</v>
      </c>
      <c r="C408" s="121">
        <f>SUMIFS('Daily Writing Log'!$I$5:$I$34,'Daily Writing Log'!$A$5:$A$34,$A408)</f>
        <v>0</v>
      </c>
      <c r="D408" s="122">
        <f>IF($C408&gt;=Config!$B$5,1,0)</f>
        <v>0</v>
      </c>
      <c r="E408" s="122">
        <f>IF(MONTH($A408)&lt;&gt;MONTH($A407),0,$G407)</f>
        <v>0</v>
      </c>
      <c r="F408" s="122">
        <f>IF(AND($D408=0,$H407&gt;0,$E408&lt;Config!$B$8,$A408&lt;Config!$A$2),1,0)</f>
        <v>0</v>
      </c>
      <c r="G408" s="122">
        <f>$E408+$F408</f>
        <v>0</v>
      </c>
      <c r="H408" s="122">
        <f>IF($D408=1,$H407+1,IF($F408=1,$H407,IF($A408=Config!$A$2,$H407,0)))</f>
        <v>0</v>
      </c>
      <c r="M408" s="123" t="n"/>
    </row>
    <row r="409">
      <c r="A409" s="120" t="str">
        <f>A408+1</f>
        <v>2025-11-25 00:00:00</v>
      </c>
      <c r="B409" s="121">
        <f>SUMIFS('Daily Writing Log'!$H$5:$H$34,'Daily Writing Log'!$A$5:$A$34,$A409)</f>
        <v>0</v>
      </c>
      <c r="C409" s="121">
        <f>SUMIFS('Daily Writing Log'!$I$5:$I$34,'Daily Writing Log'!$A$5:$A$34,$A409)</f>
        <v>0</v>
      </c>
      <c r="D409" s="122">
        <f>IF($C409&gt;=Config!$B$5,1,0)</f>
        <v>0</v>
      </c>
      <c r="E409" s="122">
        <f>IF(MONTH($A409)&lt;&gt;MONTH($A408),0,$G408)</f>
        <v>0</v>
      </c>
      <c r="F409" s="122">
        <f>IF(AND($D409=0,$H408&gt;0,$E409&lt;Config!$B$8,$A409&lt;Config!$A$2),1,0)</f>
        <v>0</v>
      </c>
      <c r="G409" s="122">
        <f>$E409+$F409</f>
        <v>0</v>
      </c>
      <c r="H409" s="122">
        <f>IF($D409=1,$H408+1,IF($F409=1,$H408,IF($A409=Config!$A$2,$H408,0)))</f>
        <v>0</v>
      </c>
      <c r="M409" s="123" t="n"/>
    </row>
    <row r="410">
      <c r="A410" s="120" t="str">
        <f>A409+1</f>
        <v>2025-11-26 00:00:00</v>
      </c>
      <c r="B410" s="121">
        <f>SUMIFS('Daily Writing Log'!$H$5:$H$34,'Daily Writing Log'!$A$5:$A$34,$A410)</f>
        <v>0</v>
      </c>
      <c r="C410" s="121">
        <f>SUMIFS('Daily Writing Log'!$I$5:$I$34,'Daily Writing Log'!$A$5:$A$34,$A410)</f>
        <v>0</v>
      </c>
      <c r="D410" s="122">
        <f>IF($C410&gt;=Config!$B$5,1,0)</f>
        <v>0</v>
      </c>
      <c r="E410" s="122">
        <f>IF(MONTH($A410)&lt;&gt;MONTH($A409),0,$G409)</f>
        <v>0</v>
      </c>
      <c r="F410" s="122">
        <f>IF(AND($D410=0,$H409&gt;0,$E410&lt;Config!$B$8,$A410&lt;Config!$A$2),1,0)</f>
        <v>0</v>
      </c>
      <c r="G410" s="122">
        <f>$E410+$F410</f>
        <v>0</v>
      </c>
      <c r="H410" s="122">
        <f>IF($D410=1,$H409+1,IF($F410=1,$H409,IF($A410=Config!$A$2,$H409,0)))</f>
        <v>0</v>
      </c>
      <c r="M410" s="123" t="n"/>
    </row>
    <row r="411">
      <c r="A411" s="120" t="str">
        <f>A410+1</f>
        <v>2025-11-27 00:00:00</v>
      </c>
      <c r="B411" s="121">
        <f>SUMIFS('Daily Writing Log'!$H$5:$H$34,'Daily Writing Log'!$A$5:$A$34,$A411)</f>
        <v>0</v>
      </c>
      <c r="C411" s="121">
        <f>SUMIFS('Daily Writing Log'!$I$5:$I$34,'Daily Writing Log'!$A$5:$A$34,$A411)</f>
        <v>0</v>
      </c>
      <c r="D411" s="122">
        <f>IF($C411&gt;=Config!$B$5,1,0)</f>
        <v>0</v>
      </c>
      <c r="E411" s="122">
        <f>IF(MONTH($A411)&lt;&gt;MONTH($A410),0,$G410)</f>
        <v>0</v>
      </c>
      <c r="F411" s="122">
        <f>IF(AND($D411=0,$H410&gt;0,$E411&lt;Config!$B$8,$A411&lt;Config!$A$2),1,0)</f>
        <v>0</v>
      </c>
      <c r="G411" s="122">
        <f>$E411+$F411</f>
        <v>0</v>
      </c>
      <c r="H411" s="122">
        <f>IF($D411=1,$H410+1,IF($F411=1,$H410,IF($A411=Config!$A$2,$H410,0)))</f>
        <v>0</v>
      </c>
      <c r="M411" s="123" t="n"/>
    </row>
    <row r="412">
      <c r="A412" s="120" t="str">
        <f>A411+1</f>
        <v>2025-11-28 00:00:00</v>
      </c>
      <c r="B412" s="121">
        <f>SUMIFS('Daily Writing Log'!$H$5:$H$34,'Daily Writing Log'!$A$5:$A$34,$A412)</f>
        <v>0</v>
      </c>
      <c r="C412" s="121">
        <f>SUMIFS('Daily Writing Log'!$I$5:$I$34,'Daily Writing Log'!$A$5:$A$34,$A412)</f>
        <v>0</v>
      </c>
      <c r="D412" s="122">
        <f>IF($C412&gt;=Config!$B$5,1,0)</f>
        <v>0</v>
      </c>
      <c r="E412" s="122">
        <f>IF(MONTH($A412)&lt;&gt;MONTH($A411),0,$G411)</f>
        <v>0</v>
      </c>
      <c r="F412" s="122">
        <f>IF(AND($D412=0,$H411&gt;0,$E412&lt;Config!$B$8,$A412&lt;Config!$A$2),1,0)</f>
        <v>0</v>
      </c>
      <c r="G412" s="122">
        <f>$E412+$F412</f>
        <v>0</v>
      </c>
      <c r="H412" s="122">
        <f>IF($D412=1,$H411+1,IF($F412=1,$H411,IF($A412=Config!$A$2,$H411,0)))</f>
        <v>0</v>
      </c>
      <c r="M412" s="123" t="n"/>
    </row>
    <row r="413">
      <c r="A413" s="120" t="str">
        <f>A412+1</f>
        <v>2025-11-29 00:00:00</v>
      </c>
      <c r="B413" s="121">
        <f>SUMIFS('Daily Writing Log'!$H$5:$H$34,'Daily Writing Log'!$A$5:$A$34,$A413)</f>
        <v>0</v>
      </c>
      <c r="C413" s="121">
        <f>SUMIFS('Daily Writing Log'!$I$5:$I$34,'Daily Writing Log'!$A$5:$A$34,$A413)</f>
        <v>0</v>
      </c>
      <c r="D413" s="122">
        <f>IF($C413&gt;=Config!$B$5,1,0)</f>
        <v>0</v>
      </c>
      <c r="E413" s="122">
        <f>IF(MONTH($A413)&lt;&gt;MONTH($A412),0,$G412)</f>
        <v>0</v>
      </c>
      <c r="F413" s="122">
        <f>IF(AND($D413=0,$H412&gt;0,$E413&lt;Config!$B$8,$A413&lt;Config!$A$2),1,0)</f>
        <v>0</v>
      </c>
      <c r="G413" s="122">
        <f>$E413+$F413</f>
        <v>0</v>
      </c>
      <c r="H413" s="122">
        <f>IF($D413=1,$H412+1,IF($F413=1,$H412,IF($A413=Config!$A$2,$H412,0)))</f>
        <v>0</v>
      </c>
      <c r="M413" s="123" t="n"/>
    </row>
    <row r="414">
      <c r="A414" s="120" t="str">
        <f>A413+1</f>
        <v>2025-11-30 00:00:00</v>
      </c>
      <c r="B414" s="121">
        <f>SUMIFS('Daily Writing Log'!$H$5:$H$34,'Daily Writing Log'!$A$5:$A$34,$A414)</f>
        <v>0</v>
      </c>
      <c r="C414" s="121">
        <f>SUMIFS('Daily Writing Log'!$I$5:$I$34,'Daily Writing Log'!$A$5:$A$34,$A414)</f>
        <v>0</v>
      </c>
      <c r="D414" s="122">
        <f>IF($C414&gt;=Config!$B$5,1,0)</f>
        <v>0</v>
      </c>
      <c r="E414" s="122">
        <f>IF(MONTH($A414)&lt;&gt;MONTH($A413),0,$G413)</f>
        <v>0</v>
      </c>
      <c r="F414" s="122">
        <f>IF(AND($D414=0,$H413&gt;0,$E414&lt;Config!$B$8,$A414&lt;Config!$A$2),1,0)</f>
        <v>0</v>
      </c>
      <c r="G414" s="122">
        <f>$E414+$F414</f>
        <v>0</v>
      </c>
      <c r="H414" s="122">
        <f>IF($D414=1,$H413+1,IF($F414=1,$H413,IF($A414=Config!$A$2,$H413,0)))</f>
        <v>0</v>
      </c>
      <c r="M414" s="123" t="n"/>
    </row>
    <row r="415">
      <c r="A415" s="120" t="str">
        <f>A414+1</f>
        <v>2025-12-01 00:00:00</v>
      </c>
      <c r="B415" s="121">
        <f>SUMIFS('Daily Writing Log'!$H$5:$H$34,'Daily Writing Log'!$A$5:$A$34,$A415)</f>
        <v>0</v>
      </c>
      <c r="C415" s="121">
        <f>SUMIFS('Daily Writing Log'!$I$5:$I$34,'Daily Writing Log'!$A$5:$A$34,$A415)</f>
        <v>0</v>
      </c>
      <c r="D415" s="122">
        <f>IF($C415&gt;=Config!$B$5,1,0)</f>
        <v>0</v>
      </c>
      <c r="E415" s="122">
        <f>IF(MONTH($A415)&lt;&gt;MONTH($A414),0,$G414)</f>
        <v>0</v>
      </c>
      <c r="F415" s="122">
        <f>IF(AND($D415=0,$H414&gt;0,$E415&lt;Config!$B$8,$A415&lt;Config!$A$2),1,0)</f>
        <v>0</v>
      </c>
      <c r="G415" s="122">
        <f>$E415+$F415</f>
        <v>0</v>
      </c>
      <c r="H415" s="122">
        <f>IF($D415=1,$H414+1,IF($F415=1,$H414,IF($A415=Config!$A$2,$H414,0)))</f>
        <v>0</v>
      </c>
      <c r="M415" s="123" t="n"/>
    </row>
    <row r="416">
      <c r="A416" s="120" t="str">
        <f>A415+1</f>
        <v>2025-12-02 00:00:00</v>
      </c>
      <c r="B416" s="121">
        <f>SUMIFS('Daily Writing Log'!$H$5:$H$34,'Daily Writing Log'!$A$5:$A$34,$A416)</f>
        <v>0</v>
      </c>
      <c r="C416" s="121">
        <f>SUMIFS('Daily Writing Log'!$I$5:$I$34,'Daily Writing Log'!$A$5:$A$34,$A416)</f>
        <v>0</v>
      </c>
      <c r="D416" s="122">
        <f>IF($C416&gt;=Config!$B$5,1,0)</f>
        <v>0</v>
      </c>
      <c r="E416" s="122">
        <f>IF(MONTH($A416)&lt;&gt;MONTH($A415),0,$G415)</f>
        <v>0</v>
      </c>
      <c r="F416" s="122">
        <f>IF(AND($D416=0,$H415&gt;0,$E416&lt;Config!$B$8,$A416&lt;Config!$A$2),1,0)</f>
        <v>0</v>
      </c>
      <c r="G416" s="122">
        <f>$E416+$F416</f>
        <v>0</v>
      </c>
      <c r="H416" s="122">
        <f>IF($D416=1,$H415+1,IF($F416=1,$H415,IF($A416=Config!$A$2,$H415,0)))</f>
        <v>0</v>
      </c>
      <c r="M416" s="123" t="n"/>
    </row>
    <row r="417">
      <c r="A417" s="120" t="str">
        <f>A416+1</f>
        <v>2025-12-03 00:00:00</v>
      </c>
      <c r="B417" s="121">
        <f>SUMIFS('Daily Writing Log'!$H$5:$H$34,'Daily Writing Log'!$A$5:$A$34,$A417)</f>
        <v>0</v>
      </c>
      <c r="C417" s="121">
        <f>SUMIFS('Daily Writing Log'!$I$5:$I$34,'Daily Writing Log'!$A$5:$A$34,$A417)</f>
        <v>0</v>
      </c>
      <c r="D417" s="122">
        <f>IF($C417&gt;=Config!$B$5,1,0)</f>
        <v>0</v>
      </c>
      <c r="E417" s="122">
        <f>IF(MONTH($A417)&lt;&gt;MONTH($A416),0,$G416)</f>
        <v>0</v>
      </c>
      <c r="F417" s="122">
        <f>IF(AND($D417=0,$H416&gt;0,$E417&lt;Config!$B$8,$A417&lt;Config!$A$2),1,0)</f>
        <v>0</v>
      </c>
      <c r="G417" s="122">
        <f>$E417+$F417</f>
        <v>0</v>
      </c>
      <c r="H417" s="122">
        <f>IF($D417=1,$H416+1,IF($F417=1,$H416,IF($A417=Config!$A$2,$H416,0)))</f>
        <v>0</v>
      </c>
      <c r="M417" s="123" t="n"/>
    </row>
    <row r="418">
      <c r="A418" s="120" t="str">
        <f>A417+1</f>
        <v>2025-12-04 00:00:00</v>
      </c>
      <c r="B418" s="121">
        <f>SUMIFS('Daily Writing Log'!$H$5:$H$34,'Daily Writing Log'!$A$5:$A$34,$A418)</f>
        <v>0</v>
      </c>
      <c r="C418" s="121">
        <f>SUMIFS('Daily Writing Log'!$I$5:$I$34,'Daily Writing Log'!$A$5:$A$34,$A418)</f>
        <v>0</v>
      </c>
      <c r="D418" s="122">
        <f>IF($C418&gt;=Config!$B$5,1,0)</f>
        <v>0</v>
      </c>
      <c r="E418" s="122">
        <f>IF(MONTH($A418)&lt;&gt;MONTH($A417),0,$G417)</f>
        <v>0</v>
      </c>
      <c r="F418" s="122">
        <f>IF(AND($D418=0,$H417&gt;0,$E418&lt;Config!$B$8,$A418&lt;Config!$A$2),1,0)</f>
        <v>0</v>
      </c>
      <c r="G418" s="122">
        <f>$E418+$F418</f>
        <v>0</v>
      </c>
      <c r="H418" s="122">
        <f>IF($D418=1,$H417+1,IF($F418=1,$H417,IF($A418=Config!$A$2,$H417,0)))</f>
        <v>0</v>
      </c>
      <c r="M418" s="123" t="n"/>
    </row>
    <row r="419">
      <c r="A419" s="120" t="str">
        <f>A418+1</f>
        <v>2025-12-05 00:00:00</v>
      </c>
      <c r="B419" s="121">
        <f>SUMIFS('Daily Writing Log'!$H$5:$H$34,'Daily Writing Log'!$A$5:$A$34,$A419)</f>
        <v>0</v>
      </c>
      <c r="C419" s="121">
        <f>SUMIFS('Daily Writing Log'!$I$5:$I$34,'Daily Writing Log'!$A$5:$A$34,$A419)</f>
        <v>0</v>
      </c>
      <c r="D419" s="122">
        <f>IF($C419&gt;=Config!$B$5,1,0)</f>
        <v>0</v>
      </c>
      <c r="E419" s="122">
        <f>IF(MONTH($A419)&lt;&gt;MONTH($A418),0,$G418)</f>
        <v>0</v>
      </c>
      <c r="F419" s="122">
        <f>IF(AND($D419=0,$H418&gt;0,$E419&lt;Config!$B$8,$A419&lt;Config!$A$2),1,0)</f>
        <v>0</v>
      </c>
      <c r="G419" s="122">
        <f>$E419+$F419</f>
        <v>0</v>
      </c>
      <c r="H419" s="122">
        <f>IF($D419=1,$H418+1,IF($F419=1,$H418,IF($A419=Config!$A$2,$H418,0)))</f>
        <v>0</v>
      </c>
      <c r="M419" s="123" t="n"/>
    </row>
    <row r="420">
      <c r="A420" s="120" t="str">
        <f>A419+1</f>
        <v>2025-12-06 00:00:00</v>
      </c>
      <c r="B420" s="121">
        <f>SUMIFS('Daily Writing Log'!$H$5:$H$34,'Daily Writing Log'!$A$5:$A$34,$A420)</f>
        <v>0</v>
      </c>
      <c r="C420" s="121">
        <f>SUMIFS('Daily Writing Log'!$I$5:$I$34,'Daily Writing Log'!$A$5:$A$34,$A420)</f>
        <v>0</v>
      </c>
      <c r="D420" s="122">
        <f>IF($C420&gt;=Config!$B$5,1,0)</f>
        <v>0</v>
      </c>
      <c r="E420" s="122">
        <f>IF(MONTH($A420)&lt;&gt;MONTH($A419),0,$G419)</f>
        <v>0</v>
      </c>
      <c r="F420" s="122">
        <f>IF(AND($D420=0,$H419&gt;0,$E420&lt;Config!$B$8,$A420&lt;Config!$A$2),1,0)</f>
        <v>0</v>
      </c>
      <c r="G420" s="122">
        <f>$E420+$F420</f>
        <v>0</v>
      </c>
      <c r="H420" s="122">
        <f>IF($D420=1,$H419+1,IF($F420=1,$H419,IF($A420=Config!$A$2,$H419,0)))</f>
        <v>0</v>
      </c>
      <c r="M420" s="123" t="n"/>
    </row>
    <row r="421">
      <c r="A421" s="120" t="str">
        <f>A420+1</f>
        <v>2025-12-07 00:00:00</v>
      </c>
      <c r="B421" s="121">
        <f>SUMIFS('Daily Writing Log'!$H$5:$H$34,'Daily Writing Log'!$A$5:$A$34,$A421)</f>
        <v>0</v>
      </c>
      <c r="C421" s="121">
        <f>SUMIFS('Daily Writing Log'!$I$5:$I$34,'Daily Writing Log'!$A$5:$A$34,$A421)</f>
        <v>0</v>
      </c>
      <c r="D421" s="122">
        <f>IF($C421&gt;=Config!$B$5,1,0)</f>
        <v>0</v>
      </c>
      <c r="E421" s="122">
        <f>IF(MONTH($A421)&lt;&gt;MONTH($A420),0,$G420)</f>
        <v>0</v>
      </c>
      <c r="F421" s="122">
        <f>IF(AND($D421=0,$H420&gt;0,$E421&lt;Config!$B$8,$A421&lt;Config!$A$2),1,0)</f>
        <v>0</v>
      </c>
      <c r="G421" s="122">
        <f>$E421+$F421</f>
        <v>0</v>
      </c>
      <c r="H421" s="122">
        <f>IF($D421=1,$H420+1,IF($F421=1,$H420,IF($A421=Config!$A$2,$H420,0)))</f>
        <v>0</v>
      </c>
      <c r="M421" s="123" t="n"/>
    </row>
    <row r="422">
      <c r="A422" s="120" t="str">
        <f>A421+1</f>
        <v>2025-12-08 00:00:00</v>
      </c>
      <c r="B422" s="121">
        <f>SUMIFS('Daily Writing Log'!$H$5:$H$34,'Daily Writing Log'!$A$5:$A$34,$A422)</f>
        <v>0</v>
      </c>
      <c r="C422" s="121">
        <f>SUMIFS('Daily Writing Log'!$I$5:$I$34,'Daily Writing Log'!$A$5:$A$34,$A422)</f>
        <v>0</v>
      </c>
      <c r="D422" s="122">
        <f>IF($C422&gt;=Config!$B$5,1,0)</f>
        <v>0</v>
      </c>
      <c r="E422" s="122">
        <f>IF(MONTH($A422)&lt;&gt;MONTH($A421),0,$G421)</f>
        <v>0</v>
      </c>
      <c r="F422" s="122">
        <f>IF(AND($D422=0,$H421&gt;0,$E422&lt;Config!$B$8,$A422&lt;Config!$A$2),1,0)</f>
        <v>0</v>
      </c>
      <c r="G422" s="122">
        <f>$E422+$F422</f>
        <v>0</v>
      </c>
      <c r="H422" s="122">
        <f>IF($D422=1,$H421+1,IF($F422=1,$H421,IF($A422=Config!$A$2,$H421,0)))</f>
        <v>0</v>
      </c>
      <c r="M422" s="123" t="n"/>
    </row>
    <row r="423">
      <c r="A423" s="120" t="str">
        <f>A422+1</f>
        <v>2025-12-09 00:00:00</v>
      </c>
      <c r="B423" s="121">
        <f>SUMIFS('Daily Writing Log'!$H$5:$H$34,'Daily Writing Log'!$A$5:$A$34,$A423)</f>
        <v>0</v>
      </c>
      <c r="C423" s="121">
        <f>SUMIFS('Daily Writing Log'!$I$5:$I$34,'Daily Writing Log'!$A$5:$A$34,$A423)</f>
        <v>0</v>
      </c>
      <c r="D423" s="122">
        <f>IF($C423&gt;=Config!$B$5,1,0)</f>
        <v>0</v>
      </c>
      <c r="E423" s="122">
        <f>IF(MONTH($A423)&lt;&gt;MONTH($A422),0,$G422)</f>
        <v>0</v>
      </c>
      <c r="F423" s="122">
        <f>IF(AND($D423=0,$H422&gt;0,$E423&lt;Config!$B$8,$A423&lt;Config!$A$2),1,0)</f>
        <v>0</v>
      </c>
      <c r="G423" s="122">
        <f>$E423+$F423</f>
        <v>0</v>
      </c>
      <c r="H423" s="122">
        <f>IF($D423=1,$H422+1,IF($F423=1,$H422,IF($A423=Config!$A$2,$H422,0)))</f>
        <v>0</v>
      </c>
      <c r="M423" s="123" t="n"/>
    </row>
    <row r="424">
      <c r="A424" s="120" t="str">
        <f>A423+1</f>
        <v>2025-12-10 00:00:00</v>
      </c>
      <c r="B424" s="121">
        <f>SUMIFS('Daily Writing Log'!$H$5:$H$34,'Daily Writing Log'!$A$5:$A$34,$A424)</f>
        <v>0</v>
      </c>
      <c r="C424" s="121">
        <f>SUMIFS('Daily Writing Log'!$I$5:$I$34,'Daily Writing Log'!$A$5:$A$34,$A424)</f>
        <v>0</v>
      </c>
      <c r="D424" s="122">
        <f>IF($C424&gt;=Config!$B$5,1,0)</f>
        <v>0</v>
      </c>
      <c r="E424" s="122">
        <f>IF(MONTH($A424)&lt;&gt;MONTH($A423),0,$G423)</f>
        <v>0</v>
      </c>
      <c r="F424" s="122">
        <f>IF(AND($D424=0,$H423&gt;0,$E424&lt;Config!$B$8,$A424&lt;Config!$A$2),1,0)</f>
        <v>0</v>
      </c>
      <c r="G424" s="122">
        <f>$E424+$F424</f>
        <v>0</v>
      </c>
      <c r="H424" s="122">
        <f>IF($D424=1,$H423+1,IF($F424=1,$H423,IF($A424=Config!$A$2,$H423,0)))</f>
        <v>0</v>
      </c>
      <c r="M424" s="123" t="n"/>
    </row>
    <row r="425">
      <c r="A425" s="120" t="str">
        <f>A424+1</f>
        <v>2025-12-11 00:00:00</v>
      </c>
      <c r="B425" s="121">
        <f>SUMIFS('Daily Writing Log'!$H$5:$H$34,'Daily Writing Log'!$A$5:$A$34,$A425)</f>
        <v>0</v>
      </c>
      <c r="C425" s="121">
        <f>SUMIFS('Daily Writing Log'!$I$5:$I$34,'Daily Writing Log'!$A$5:$A$34,$A425)</f>
        <v>0</v>
      </c>
      <c r="D425" s="122">
        <f>IF($C425&gt;=Config!$B$5,1,0)</f>
        <v>0</v>
      </c>
      <c r="E425" s="122">
        <f>IF(MONTH($A425)&lt;&gt;MONTH($A424),0,$G424)</f>
        <v>0</v>
      </c>
      <c r="F425" s="122">
        <f>IF(AND($D425=0,$H424&gt;0,$E425&lt;Config!$B$8,$A425&lt;Config!$A$2),1,0)</f>
        <v>0</v>
      </c>
      <c r="G425" s="122">
        <f>$E425+$F425</f>
        <v>0</v>
      </c>
      <c r="H425" s="122">
        <f>IF($D425=1,$H424+1,IF($F425=1,$H424,IF($A425=Config!$A$2,$H424,0)))</f>
        <v>0</v>
      </c>
      <c r="M425" s="123" t="n"/>
    </row>
    <row r="426">
      <c r="A426" s="120" t="str">
        <f>A425+1</f>
        <v>2025-12-12 00:00:00</v>
      </c>
      <c r="B426" s="121">
        <f>SUMIFS('Daily Writing Log'!$H$5:$H$34,'Daily Writing Log'!$A$5:$A$34,$A426)</f>
        <v>0</v>
      </c>
      <c r="C426" s="121">
        <f>SUMIFS('Daily Writing Log'!$I$5:$I$34,'Daily Writing Log'!$A$5:$A$34,$A426)</f>
        <v>0</v>
      </c>
      <c r="D426" s="122">
        <f>IF($C426&gt;=Config!$B$5,1,0)</f>
        <v>0</v>
      </c>
      <c r="E426" s="122">
        <f>IF(MONTH($A426)&lt;&gt;MONTH($A425),0,$G425)</f>
        <v>0</v>
      </c>
      <c r="F426" s="122">
        <f>IF(AND($D426=0,$H425&gt;0,$E426&lt;Config!$B$8,$A426&lt;Config!$A$2),1,0)</f>
        <v>0</v>
      </c>
      <c r="G426" s="122">
        <f>$E426+$F426</f>
        <v>0</v>
      </c>
      <c r="H426" s="122">
        <f>IF($D426=1,$H425+1,IF($F426=1,$H425,IF($A426=Config!$A$2,$H425,0)))</f>
        <v>0</v>
      </c>
      <c r="M426" s="123" t="n"/>
    </row>
    <row r="427">
      <c r="A427" s="120" t="str">
        <f>A426+1</f>
        <v>2025-12-13 00:00:00</v>
      </c>
      <c r="B427" s="121">
        <f>SUMIFS('Daily Writing Log'!$H$5:$H$34,'Daily Writing Log'!$A$5:$A$34,$A427)</f>
        <v>0</v>
      </c>
      <c r="C427" s="121">
        <f>SUMIFS('Daily Writing Log'!$I$5:$I$34,'Daily Writing Log'!$A$5:$A$34,$A427)</f>
        <v>0</v>
      </c>
      <c r="D427" s="122">
        <f>IF($C427&gt;=Config!$B$5,1,0)</f>
        <v>0</v>
      </c>
      <c r="E427" s="122">
        <f>IF(MONTH($A427)&lt;&gt;MONTH($A426),0,$G426)</f>
        <v>0</v>
      </c>
      <c r="F427" s="122">
        <f>IF(AND($D427=0,$H426&gt;0,$E427&lt;Config!$B$8,$A427&lt;Config!$A$2),1,0)</f>
        <v>0</v>
      </c>
      <c r="G427" s="122">
        <f>$E427+$F427</f>
        <v>0</v>
      </c>
      <c r="H427" s="122">
        <f>IF($D427=1,$H426+1,IF($F427=1,$H426,IF($A427=Config!$A$2,$H426,0)))</f>
        <v>0</v>
      </c>
      <c r="M427" s="123" t="n"/>
    </row>
    <row r="428">
      <c r="A428" s="120" t="str">
        <f>A427+1</f>
        <v>2025-12-14 00:00:00</v>
      </c>
      <c r="B428" s="121">
        <f>SUMIFS('Daily Writing Log'!$H$5:$H$34,'Daily Writing Log'!$A$5:$A$34,$A428)</f>
        <v>0</v>
      </c>
      <c r="C428" s="121">
        <f>SUMIFS('Daily Writing Log'!$I$5:$I$34,'Daily Writing Log'!$A$5:$A$34,$A428)</f>
        <v>0</v>
      </c>
      <c r="D428" s="122">
        <f>IF($C428&gt;=Config!$B$5,1,0)</f>
        <v>0</v>
      </c>
      <c r="E428" s="122">
        <f>IF(MONTH($A428)&lt;&gt;MONTH($A427),0,$G427)</f>
        <v>0</v>
      </c>
      <c r="F428" s="122">
        <f>IF(AND($D428=0,$H427&gt;0,$E428&lt;Config!$B$8,$A428&lt;Config!$A$2),1,0)</f>
        <v>0</v>
      </c>
      <c r="G428" s="122">
        <f>$E428+$F428</f>
        <v>0</v>
      </c>
      <c r="H428" s="122">
        <f>IF($D428=1,$H427+1,IF($F428=1,$H427,IF($A428=Config!$A$2,$H427,0)))</f>
        <v>0</v>
      </c>
      <c r="M428" s="123" t="n"/>
    </row>
    <row r="429">
      <c r="A429" s="120" t="str">
        <f>A428+1</f>
        <v>2025-12-15 00:00:00</v>
      </c>
      <c r="B429" s="121">
        <f>SUMIFS('Daily Writing Log'!$H$5:$H$34,'Daily Writing Log'!$A$5:$A$34,$A429)</f>
        <v>0</v>
      </c>
      <c r="C429" s="121">
        <f>SUMIFS('Daily Writing Log'!$I$5:$I$34,'Daily Writing Log'!$A$5:$A$34,$A429)</f>
        <v>0</v>
      </c>
      <c r="D429" s="122">
        <f>IF($C429&gt;=Config!$B$5,1,0)</f>
        <v>0</v>
      </c>
      <c r="E429" s="122">
        <f>IF(MONTH($A429)&lt;&gt;MONTH($A428),0,$G428)</f>
        <v>0</v>
      </c>
      <c r="F429" s="122">
        <f>IF(AND($D429=0,$H428&gt;0,$E429&lt;Config!$B$8,$A429&lt;Config!$A$2),1,0)</f>
        <v>0</v>
      </c>
      <c r="G429" s="122">
        <f>$E429+$F429</f>
        <v>0</v>
      </c>
      <c r="H429" s="122">
        <f>IF($D429=1,$H428+1,IF($F429=1,$H428,IF($A429=Config!$A$2,$H428,0)))</f>
        <v>0</v>
      </c>
      <c r="M429" s="123" t="n"/>
    </row>
    <row r="430">
      <c r="A430" s="120" t="str">
        <f>A429+1</f>
        <v>2025-12-16 00:00:00</v>
      </c>
      <c r="B430" s="121">
        <f>SUMIFS('Daily Writing Log'!$H$5:$H$34,'Daily Writing Log'!$A$5:$A$34,$A430)</f>
        <v>0</v>
      </c>
      <c r="C430" s="121">
        <f>SUMIFS('Daily Writing Log'!$I$5:$I$34,'Daily Writing Log'!$A$5:$A$34,$A430)</f>
        <v>0</v>
      </c>
      <c r="D430" s="122">
        <f>IF($C430&gt;=Config!$B$5,1,0)</f>
        <v>0</v>
      </c>
      <c r="E430" s="122">
        <f>IF(MONTH($A430)&lt;&gt;MONTH($A429),0,$G429)</f>
        <v>0</v>
      </c>
      <c r="F430" s="122">
        <f>IF(AND($D430=0,$H429&gt;0,$E430&lt;Config!$B$8,$A430&lt;Config!$A$2),1,0)</f>
        <v>0</v>
      </c>
      <c r="G430" s="122">
        <f>$E430+$F430</f>
        <v>0</v>
      </c>
      <c r="H430" s="122">
        <f>IF($D430=1,$H429+1,IF($F430=1,$H429,IF($A430=Config!$A$2,$H429,0)))</f>
        <v>0</v>
      </c>
      <c r="M430" s="123" t="n"/>
    </row>
    <row r="431">
      <c r="A431" s="120" t="str">
        <f>A430+1</f>
        <v>2025-12-17 00:00:00</v>
      </c>
      <c r="B431" s="121">
        <f>SUMIFS('Daily Writing Log'!$H$5:$H$34,'Daily Writing Log'!$A$5:$A$34,$A431)</f>
        <v>0</v>
      </c>
      <c r="C431" s="121">
        <f>SUMIFS('Daily Writing Log'!$I$5:$I$34,'Daily Writing Log'!$A$5:$A$34,$A431)</f>
        <v>0</v>
      </c>
      <c r="D431" s="122">
        <f>IF($C431&gt;=Config!$B$5,1,0)</f>
        <v>0</v>
      </c>
      <c r="E431" s="122">
        <f>IF(MONTH($A431)&lt;&gt;MONTH($A430),0,$G430)</f>
        <v>0</v>
      </c>
      <c r="F431" s="122">
        <f>IF(AND($D431=0,$H430&gt;0,$E431&lt;Config!$B$8,$A431&lt;Config!$A$2),1,0)</f>
        <v>0</v>
      </c>
      <c r="G431" s="122">
        <f>$E431+$F431</f>
        <v>0</v>
      </c>
      <c r="H431" s="122">
        <f>IF($D431=1,$H430+1,IF($F431=1,$H430,IF($A431=Config!$A$2,$H430,0)))</f>
        <v>0</v>
      </c>
      <c r="M431" s="123" t="n"/>
    </row>
    <row r="432">
      <c r="A432" s="120" t="str">
        <f>A431+1</f>
        <v>2025-12-18 00:00:00</v>
      </c>
      <c r="B432" s="121">
        <f>SUMIFS('Daily Writing Log'!$H$5:$H$34,'Daily Writing Log'!$A$5:$A$34,$A432)</f>
        <v>0</v>
      </c>
      <c r="C432" s="121">
        <f>SUMIFS('Daily Writing Log'!$I$5:$I$34,'Daily Writing Log'!$A$5:$A$34,$A432)</f>
        <v>0</v>
      </c>
      <c r="D432" s="122">
        <f>IF($C432&gt;=Config!$B$5,1,0)</f>
        <v>0</v>
      </c>
      <c r="E432" s="122">
        <f>IF(MONTH($A432)&lt;&gt;MONTH($A431),0,$G431)</f>
        <v>0</v>
      </c>
      <c r="F432" s="122">
        <f>IF(AND($D432=0,$H431&gt;0,$E432&lt;Config!$B$8,$A432&lt;Config!$A$2),1,0)</f>
        <v>0</v>
      </c>
      <c r="G432" s="122">
        <f>$E432+$F432</f>
        <v>0</v>
      </c>
      <c r="H432" s="122">
        <f>IF($D432=1,$H431+1,IF($F432=1,$H431,IF($A432=Config!$A$2,$H431,0)))</f>
        <v>0</v>
      </c>
      <c r="M432" s="123" t="n"/>
    </row>
    <row r="433">
      <c r="A433" s="120" t="str">
        <f>A432+1</f>
        <v>2025-12-19 00:00:00</v>
      </c>
      <c r="B433" s="121">
        <f>SUMIFS('Daily Writing Log'!$H$5:$H$34,'Daily Writing Log'!$A$5:$A$34,$A433)</f>
        <v>0</v>
      </c>
      <c r="C433" s="121">
        <f>SUMIFS('Daily Writing Log'!$I$5:$I$34,'Daily Writing Log'!$A$5:$A$34,$A433)</f>
        <v>0</v>
      </c>
      <c r="D433" s="122">
        <f>IF($C433&gt;=Config!$B$5,1,0)</f>
        <v>0</v>
      </c>
      <c r="E433" s="122">
        <f>IF(MONTH($A433)&lt;&gt;MONTH($A432),0,$G432)</f>
        <v>0</v>
      </c>
      <c r="F433" s="122">
        <f>IF(AND($D433=0,$H432&gt;0,$E433&lt;Config!$B$8,$A433&lt;Config!$A$2),1,0)</f>
        <v>0</v>
      </c>
      <c r="G433" s="122">
        <f>$E433+$F433</f>
        <v>0</v>
      </c>
      <c r="H433" s="122">
        <f>IF($D433=1,$H432+1,IF($F433=1,$H432,IF($A433=Config!$A$2,$H432,0)))</f>
        <v>0</v>
      </c>
      <c r="M433" s="123" t="n"/>
    </row>
    <row r="434">
      <c r="A434" s="120" t="str">
        <f>A433+1</f>
        <v>2025-12-20 00:00:00</v>
      </c>
      <c r="B434" s="121">
        <f>SUMIFS('Daily Writing Log'!$H$5:$H$34,'Daily Writing Log'!$A$5:$A$34,$A434)</f>
        <v>0</v>
      </c>
      <c r="C434" s="121">
        <f>SUMIFS('Daily Writing Log'!$I$5:$I$34,'Daily Writing Log'!$A$5:$A$34,$A434)</f>
        <v>0</v>
      </c>
      <c r="D434" s="122">
        <f>IF($C434&gt;=Config!$B$5,1,0)</f>
        <v>0</v>
      </c>
      <c r="E434" s="122">
        <f>IF(MONTH($A434)&lt;&gt;MONTH($A433),0,$G433)</f>
        <v>0</v>
      </c>
      <c r="F434" s="122">
        <f>IF(AND($D434=0,$H433&gt;0,$E434&lt;Config!$B$8,$A434&lt;Config!$A$2),1,0)</f>
        <v>0</v>
      </c>
      <c r="G434" s="122">
        <f>$E434+$F434</f>
        <v>0</v>
      </c>
      <c r="H434" s="122">
        <f>IF($D434=1,$H433+1,IF($F434=1,$H433,IF($A434=Config!$A$2,$H433,0)))</f>
        <v>0</v>
      </c>
      <c r="M434" s="123" t="n"/>
    </row>
    <row r="435">
      <c r="A435" s="120" t="str">
        <f>A434+1</f>
        <v>2025-12-21 00:00:00</v>
      </c>
      <c r="B435" s="121">
        <f>SUMIFS('Daily Writing Log'!$H$5:$H$34,'Daily Writing Log'!$A$5:$A$34,$A435)</f>
        <v>0</v>
      </c>
      <c r="C435" s="121">
        <f>SUMIFS('Daily Writing Log'!$I$5:$I$34,'Daily Writing Log'!$A$5:$A$34,$A435)</f>
        <v>0</v>
      </c>
      <c r="D435" s="122">
        <f>IF($C435&gt;=Config!$B$5,1,0)</f>
        <v>0</v>
      </c>
      <c r="E435" s="122">
        <f>IF(MONTH($A435)&lt;&gt;MONTH($A434),0,$G434)</f>
        <v>0</v>
      </c>
      <c r="F435" s="122">
        <f>IF(AND($D435=0,$H434&gt;0,$E435&lt;Config!$B$8,$A435&lt;Config!$A$2),1,0)</f>
        <v>0</v>
      </c>
      <c r="G435" s="122">
        <f>$E435+$F435</f>
        <v>0</v>
      </c>
      <c r="H435" s="122">
        <f>IF($D435=1,$H434+1,IF($F435=1,$H434,IF($A435=Config!$A$2,$H434,0)))</f>
        <v>0</v>
      </c>
      <c r="M435" s="123" t="n"/>
    </row>
    <row r="436">
      <c r="A436" s="120" t="str">
        <f>A435+1</f>
        <v>2025-12-22 00:00:00</v>
      </c>
      <c r="B436" s="121">
        <f>SUMIFS('Daily Writing Log'!$H$5:$H$34,'Daily Writing Log'!$A$5:$A$34,$A436)</f>
        <v>0</v>
      </c>
      <c r="C436" s="121">
        <f>SUMIFS('Daily Writing Log'!$I$5:$I$34,'Daily Writing Log'!$A$5:$A$34,$A436)</f>
        <v>0</v>
      </c>
      <c r="D436" s="122">
        <f>IF($C436&gt;=Config!$B$5,1,0)</f>
        <v>0</v>
      </c>
      <c r="E436" s="122">
        <f>IF(MONTH($A436)&lt;&gt;MONTH($A435),0,$G435)</f>
        <v>0</v>
      </c>
      <c r="F436" s="122">
        <f>IF(AND($D436=0,$H435&gt;0,$E436&lt;Config!$B$8,$A436&lt;Config!$A$2),1,0)</f>
        <v>0</v>
      </c>
      <c r="G436" s="122">
        <f>$E436+$F436</f>
        <v>0</v>
      </c>
      <c r="H436" s="122">
        <f>IF($D436=1,$H435+1,IF($F436=1,$H435,IF($A436=Config!$A$2,$H435,0)))</f>
        <v>0</v>
      </c>
      <c r="M436" s="123" t="n"/>
    </row>
    <row r="437">
      <c r="A437" s="120" t="str">
        <f>A436+1</f>
        <v>2025-12-23 00:00:00</v>
      </c>
      <c r="B437" s="121">
        <f>SUMIFS('Daily Writing Log'!$H$5:$H$34,'Daily Writing Log'!$A$5:$A$34,$A437)</f>
        <v>0</v>
      </c>
      <c r="C437" s="121">
        <f>SUMIFS('Daily Writing Log'!$I$5:$I$34,'Daily Writing Log'!$A$5:$A$34,$A437)</f>
        <v>0</v>
      </c>
      <c r="D437" s="122">
        <f>IF($C437&gt;=Config!$B$5,1,0)</f>
        <v>0</v>
      </c>
      <c r="E437" s="122">
        <f>IF(MONTH($A437)&lt;&gt;MONTH($A436),0,$G436)</f>
        <v>0</v>
      </c>
      <c r="F437" s="122">
        <f>IF(AND($D437=0,$H436&gt;0,$E437&lt;Config!$B$8,$A437&lt;Config!$A$2),1,0)</f>
        <v>0</v>
      </c>
      <c r="G437" s="122">
        <f>$E437+$F437</f>
        <v>0</v>
      </c>
      <c r="H437" s="122">
        <f>IF($D437=1,$H436+1,IF($F437=1,$H436,IF($A437=Config!$A$2,$H436,0)))</f>
        <v>0</v>
      </c>
      <c r="M437" s="123" t="n"/>
    </row>
    <row r="438">
      <c r="A438" s="120" t="str">
        <f>A437+1</f>
        <v>2025-12-24 00:00:00</v>
      </c>
      <c r="B438" s="121">
        <f>SUMIFS('Daily Writing Log'!$H$5:$H$34,'Daily Writing Log'!$A$5:$A$34,$A438)</f>
        <v>0</v>
      </c>
      <c r="C438" s="121">
        <f>SUMIFS('Daily Writing Log'!$I$5:$I$34,'Daily Writing Log'!$A$5:$A$34,$A438)</f>
        <v>0</v>
      </c>
      <c r="D438" s="122">
        <f>IF($C438&gt;=Config!$B$5,1,0)</f>
        <v>0</v>
      </c>
      <c r="E438" s="122">
        <f>IF(MONTH($A438)&lt;&gt;MONTH($A437),0,$G437)</f>
        <v>0</v>
      </c>
      <c r="F438" s="122">
        <f>IF(AND($D438=0,$H437&gt;0,$E438&lt;Config!$B$8,$A438&lt;Config!$A$2),1,0)</f>
        <v>0</v>
      </c>
      <c r="G438" s="122">
        <f>$E438+$F438</f>
        <v>0</v>
      </c>
      <c r="H438" s="122">
        <f>IF($D438=1,$H437+1,IF($F438=1,$H437,IF($A438=Config!$A$2,$H437,0)))</f>
        <v>0</v>
      </c>
      <c r="M438" s="123" t="n"/>
    </row>
    <row r="439">
      <c r="A439" s="120" t="str">
        <f>A438+1</f>
        <v>2025-12-25 00:00:00</v>
      </c>
      <c r="B439" s="121">
        <f>SUMIFS('Daily Writing Log'!$H$5:$H$34,'Daily Writing Log'!$A$5:$A$34,$A439)</f>
        <v>0</v>
      </c>
      <c r="C439" s="121">
        <f>SUMIFS('Daily Writing Log'!$I$5:$I$34,'Daily Writing Log'!$A$5:$A$34,$A439)</f>
        <v>0</v>
      </c>
      <c r="D439" s="122">
        <f>IF($C439&gt;=Config!$B$5,1,0)</f>
        <v>0</v>
      </c>
      <c r="E439" s="122">
        <f>IF(MONTH($A439)&lt;&gt;MONTH($A438),0,$G438)</f>
        <v>0</v>
      </c>
      <c r="F439" s="122">
        <f>IF(AND($D439=0,$H438&gt;0,$E439&lt;Config!$B$8,$A439&lt;Config!$A$2),1,0)</f>
        <v>0</v>
      </c>
      <c r="G439" s="122">
        <f>$E439+$F439</f>
        <v>0</v>
      </c>
      <c r="H439" s="122">
        <f>IF($D439=1,$H438+1,IF($F439=1,$H438,IF($A439=Config!$A$2,$H438,0)))</f>
        <v>0</v>
      </c>
      <c r="M439" s="123" t="n"/>
    </row>
    <row r="440">
      <c r="A440" s="120" t="str">
        <f>A439+1</f>
        <v>2025-12-26 00:00:00</v>
      </c>
      <c r="B440" s="121">
        <f>SUMIFS('Daily Writing Log'!$H$5:$H$34,'Daily Writing Log'!$A$5:$A$34,$A440)</f>
        <v>0</v>
      </c>
      <c r="C440" s="121">
        <f>SUMIFS('Daily Writing Log'!$I$5:$I$34,'Daily Writing Log'!$A$5:$A$34,$A440)</f>
        <v>0</v>
      </c>
      <c r="D440" s="122">
        <f>IF($C440&gt;=Config!$B$5,1,0)</f>
        <v>0</v>
      </c>
      <c r="E440" s="122">
        <f>IF(MONTH($A440)&lt;&gt;MONTH($A439),0,$G439)</f>
        <v>0</v>
      </c>
      <c r="F440" s="122">
        <f>IF(AND($D440=0,$H439&gt;0,$E440&lt;Config!$B$8,$A440&lt;Config!$A$2),1,0)</f>
        <v>0</v>
      </c>
      <c r="G440" s="122">
        <f>$E440+$F440</f>
        <v>0</v>
      </c>
      <c r="H440" s="122">
        <f>IF($D440=1,$H439+1,IF($F440=1,$H439,IF($A440=Config!$A$2,$H439,0)))</f>
        <v>0</v>
      </c>
      <c r="M440" s="123" t="n"/>
    </row>
    <row r="441">
      <c r="A441" s="120" t="str">
        <f>A440+1</f>
        <v>2025-12-27 00:00:00</v>
      </c>
      <c r="B441" s="121">
        <f>SUMIFS('Daily Writing Log'!$H$5:$H$34,'Daily Writing Log'!$A$5:$A$34,$A441)</f>
        <v>0</v>
      </c>
      <c r="C441" s="121">
        <f>SUMIFS('Daily Writing Log'!$I$5:$I$34,'Daily Writing Log'!$A$5:$A$34,$A441)</f>
        <v>0</v>
      </c>
      <c r="D441" s="122">
        <f>IF($C441&gt;=Config!$B$5,1,0)</f>
        <v>0</v>
      </c>
      <c r="E441" s="122">
        <f>IF(MONTH($A441)&lt;&gt;MONTH($A440),0,$G440)</f>
        <v>0</v>
      </c>
      <c r="F441" s="122">
        <f>IF(AND($D441=0,$H440&gt;0,$E441&lt;Config!$B$8,$A441&lt;Config!$A$2),1,0)</f>
        <v>0</v>
      </c>
      <c r="G441" s="122">
        <f>$E441+$F441</f>
        <v>0</v>
      </c>
      <c r="H441" s="122">
        <f>IF($D441=1,$H440+1,IF($F441=1,$H440,IF($A441=Config!$A$2,$H440,0)))</f>
        <v>0</v>
      </c>
      <c r="M441" s="123" t="n"/>
    </row>
    <row r="442">
      <c r="A442" s="120" t="str">
        <f>A441+1</f>
        <v>2025-12-28 00:00:00</v>
      </c>
      <c r="B442" s="121">
        <f>SUMIFS('Daily Writing Log'!$H$5:$H$34,'Daily Writing Log'!$A$5:$A$34,$A442)</f>
        <v>0</v>
      </c>
      <c r="C442" s="121">
        <f>SUMIFS('Daily Writing Log'!$I$5:$I$34,'Daily Writing Log'!$A$5:$A$34,$A442)</f>
        <v>0</v>
      </c>
      <c r="D442" s="122">
        <f>IF($C442&gt;=Config!$B$5,1,0)</f>
        <v>0</v>
      </c>
      <c r="E442" s="122">
        <f>IF(MONTH($A442)&lt;&gt;MONTH($A441),0,$G441)</f>
        <v>0</v>
      </c>
      <c r="F442" s="122">
        <f>IF(AND($D442=0,$H441&gt;0,$E442&lt;Config!$B$8,$A442&lt;Config!$A$2),1,0)</f>
        <v>0</v>
      </c>
      <c r="G442" s="122">
        <f>$E442+$F442</f>
        <v>0</v>
      </c>
      <c r="H442" s="122">
        <f>IF($D442=1,$H441+1,IF($F442=1,$H441,IF($A442=Config!$A$2,$H441,0)))</f>
        <v>0</v>
      </c>
      <c r="M442" s="123" t="n"/>
    </row>
    <row r="443">
      <c r="A443" s="120" t="str">
        <f>A442+1</f>
        <v>2025-12-29 00:00:00</v>
      </c>
      <c r="B443" s="121">
        <f>SUMIFS('Daily Writing Log'!$H$5:$H$34,'Daily Writing Log'!$A$5:$A$34,$A443)</f>
        <v>0</v>
      </c>
      <c r="C443" s="121">
        <f>SUMIFS('Daily Writing Log'!$I$5:$I$34,'Daily Writing Log'!$A$5:$A$34,$A443)</f>
        <v>0</v>
      </c>
      <c r="D443" s="122">
        <f>IF($C443&gt;=Config!$B$5,1,0)</f>
        <v>0</v>
      </c>
      <c r="E443" s="122">
        <f>IF(MONTH($A443)&lt;&gt;MONTH($A442),0,$G442)</f>
        <v>0</v>
      </c>
      <c r="F443" s="122">
        <f>IF(AND($D443=0,$H442&gt;0,$E443&lt;Config!$B$8,$A443&lt;Config!$A$2),1,0)</f>
        <v>0</v>
      </c>
      <c r="G443" s="122">
        <f>$E443+$F443</f>
        <v>0</v>
      </c>
      <c r="H443" s="122">
        <f>IF($D443=1,$H442+1,IF($F443=1,$H442,IF($A443=Config!$A$2,$H442,0)))</f>
        <v>0</v>
      </c>
      <c r="M443" s="123" t="n"/>
    </row>
    <row r="444">
      <c r="A444" s="120" t="str">
        <f>A443+1</f>
        <v>2025-12-30 00:00:00</v>
      </c>
      <c r="B444" s="121">
        <f>SUMIFS('Daily Writing Log'!$H$5:$H$34,'Daily Writing Log'!$A$5:$A$34,$A444)</f>
        <v>0</v>
      </c>
      <c r="C444" s="121">
        <f>SUMIFS('Daily Writing Log'!$I$5:$I$34,'Daily Writing Log'!$A$5:$A$34,$A444)</f>
        <v>0</v>
      </c>
      <c r="D444" s="122">
        <f>IF($C444&gt;=Config!$B$5,1,0)</f>
        <v>0</v>
      </c>
      <c r="E444" s="122">
        <f>IF(MONTH($A444)&lt;&gt;MONTH($A443),0,$G443)</f>
        <v>0</v>
      </c>
      <c r="F444" s="122">
        <f>IF(AND($D444=0,$H443&gt;0,$E444&lt;Config!$B$8,$A444&lt;Config!$A$2),1,0)</f>
        <v>0</v>
      </c>
      <c r="G444" s="122">
        <f>$E444+$F444</f>
        <v>0</v>
      </c>
      <c r="H444" s="122">
        <f>IF($D444=1,$H443+1,IF($F444=1,$H443,IF($A444=Config!$A$2,$H443,0)))</f>
        <v>0</v>
      </c>
      <c r="M444" s="123" t="n"/>
    </row>
    <row r="445">
      <c r="A445" s="120" t="str">
        <f>A444+1</f>
        <v>2025-12-31 00:00:00</v>
      </c>
      <c r="B445" s="121">
        <f>SUMIFS('Daily Writing Log'!$H$5:$H$34,'Daily Writing Log'!$A$5:$A$34,$A445)</f>
        <v>0</v>
      </c>
      <c r="C445" s="121">
        <f>SUMIFS('Daily Writing Log'!$I$5:$I$34,'Daily Writing Log'!$A$5:$A$34,$A445)</f>
        <v>0</v>
      </c>
      <c r="D445" s="122">
        <f>IF($C445&gt;=Config!$B$5,1,0)</f>
        <v>0</v>
      </c>
      <c r="E445" s="122">
        <f>IF(MONTH($A445)&lt;&gt;MONTH($A444),0,$G444)</f>
        <v>0</v>
      </c>
      <c r="F445" s="122">
        <f>IF(AND($D445=0,$H444&gt;0,$E445&lt;Config!$B$8,$A445&lt;Config!$A$2),1,0)</f>
        <v>0</v>
      </c>
      <c r="G445" s="122">
        <f>$E445+$F445</f>
        <v>0</v>
      </c>
      <c r="H445" s="122">
        <f>IF($D445=1,$H444+1,IF($F445=1,$H444,IF($A445=Config!$A$2,$H444,0)))</f>
        <v>0</v>
      </c>
      <c r="M445" s="123" t="n"/>
    </row>
    <row r="446">
      <c r="A446" s="120" t="str">
        <f>A445+1</f>
        <v>2026-01-01 00:00:00</v>
      </c>
      <c r="B446" s="121">
        <f>SUMIFS('Daily Writing Log'!$H$5:$H$34,'Daily Writing Log'!$A$5:$A$34,$A446)</f>
        <v>0</v>
      </c>
      <c r="C446" s="121">
        <f>SUMIFS('Daily Writing Log'!$I$5:$I$34,'Daily Writing Log'!$A$5:$A$34,$A446)</f>
        <v>0</v>
      </c>
      <c r="D446" s="122">
        <f>IF($C446&gt;=Config!$B$5,1,0)</f>
        <v>0</v>
      </c>
      <c r="E446" s="122">
        <f>IF(MONTH($A446)&lt;&gt;MONTH($A445),0,$G445)</f>
        <v>0</v>
      </c>
      <c r="F446" s="122">
        <f>IF(AND($D446=0,$H445&gt;0,$E446&lt;Config!$B$8,$A446&lt;Config!$A$2),1,0)</f>
        <v>0</v>
      </c>
      <c r="G446" s="122">
        <f>$E446+$F446</f>
        <v>0</v>
      </c>
      <c r="H446" s="122">
        <f>IF($D446=1,$H445+1,IF($F446=1,$H445,IF($A446=Config!$A$2,$H445,0)))</f>
        <v>0</v>
      </c>
      <c r="M446" s="123" t="n"/>
    </row>
    <row r="447">
      <c r="A447" s="120" t="str">
        <f>A446+1</f>
        <v>2026-01-02 00:00:00</v>
      </c>
      <c r="B447" s="121">
        <f>SUMIFS('Daily Writing Log'!$H$5:$H$34,'Daily Writing Log'!$A$5:$A$34,$A447)</f>
        <v>0</v>
      </c>
      <c r="C447" s="121">
        <f>SUMIFS('Daily Writing Log'!$I$5:$I$34,'Daily Writing Log'!$A$5:$A$34,$A447)</f>
        <v>0</v>
      </c>
      <c r="D447" s="122">
        <f>IF($C447&gt;=Config!$B$5,1,0)</f>
        <v>0</v>
      </c>
      <c r="E447" s="122">
        <f>IF(MONTH($A447)&lt;&gt;MONTH($A446),0,$G446)</f>
        <v>0</v>
      </c>
      <c r="F447" s="122">
        <f>IF(AND($D447=0,$H446&gt;0,$E447&lt;Config!$B$8,$A447&lt;Config!$A$2),1,0)</f>
        <v>0</v>
      </c>
      <c r="G447" s="122">
        <f>$E447+$F447</f>
        <v>0</v>
      </c>
      <c r="H447" s="122">
        <f>IF($D447=1,$H446+1,IF($F447=1,$H446,IF($A447=Config!$A$2,$H446,0)))</f>
        <v>0</v>
      </c>
      <c r="M447" s="123" t="n"/>
    </row>
    <row r="448">
      <c r="A448" s="120" t="str">
        <f>A447+1</f>
        <v>2026-01-03 00:00:00</v>
      </c>
      <c r="B448" s="121">
        <f>SUMIFS('Daily Writing Log'!$H$5:$H$34,'Daily Writing Log'!$A$5:$A$34,$A448)</f>
        <v>0</v>
      </c>
      <c r="C448" s="121">
        <f>SUMIFS('Daily Writing Log'!$I$5:$I$34,'Daily Writing Log'!$A$5:$A$34,$A448)</f>
        <v>0</v>
      </c>
      <c r="D448" s="122">
        <f>IF($C448&gt;=Config!$B$5,1,0)</f>
        <v>0</v>
      </c>
      <c r="E448" s="122">
        <f>IF(MONTH($A448)&lt;&gt;MONTH($A447),0,$G447)</f>
        <v>0</v>
      </c>
      <c r="F448" s="122">
        <f>IF(AND($D448=0,$H447&gt;0,$E448&lt;Config!$B$8,$A448&lt;Config!$A$2),1,0)</f>
        <v>0</v>
      </c>
      <c r="G448" s="122">
        <f>$E448+$F448</f>
        <v>0</v>
      </c>
      <c r="H448" s="122">
        <f>IF($D448=1,$H447+1,IF($F448=1,$H447,IF($A448=Config!$A$2,$H447,0)))</f>
        <v>0</v>
      </c>
      <c r="M448" s="123" t="n"/>
    </row>
    <row r="449">
      <c r="A449" s="120" t="str">
        <f>A448+1</f>
        <v>2026-01-04 00:00:00</v>
      </c>
      <c r="B449" s="121">
        <f>SUMIFS('Daily Writing Log'!$H$5:$H$34,'Daily Writing Log'!$A$5:$A$34,$A449)</f>
        <v>0</v>
      </c>
      <c r="C449" s="121">
        <f>SUMIFS('Daily Writing Log'!$I$5:$I$34,'Daily Writing Log'!$A$5:$A$34,$A449)</f>
        <v>0</v>
      </c>
      <c r="D449" s="122">
        <f>IF($C449&gt;=Config!$B$5,1,0)</f>
        <v>0</v>
      </c>
      <c r="E449" s="122">
        <f>IF(MONTH($A449)&lt;&gt;MONTH($A448),0,$G448)</f>
        <v>0</v>
      </c>
      <c r="F449" s="122">
        <f>IF(AND($D449=0,$H448&gt;0,$E449&lt;Config!$B$8,$A449&lt;Config!$A$2),1,0)</f>
        <v>0</v>
      </c>
      <c r="G449" s="122">
        <f>$E449+$F449</f>
        <v>0</v>
      </c>
      <c r="H449" s="122">
        <f>IF($D449=1,$H448+1,IF($F449=1,$H448,IF($A449=Config!$A$2,$H448,0)))</f>
        <v>0</v>
      </c>
      <c r="M449" s="123" t="n"/>
    </row>
    <row r="450">
      <c r="A450" s="120" t="str">
        <f>A449+1</f>
        <v>2026-01-05 00:00:00</v>
      </c>
      <c r="B450" s="121">
        <f>SUMIFS('Daily Writing Log'!$H$5:$H$34,'Daily Writing Log'!$A$5:$A$34,$A450)</f>
        <v>0</v>
      </c>
      <c r="C450" s="121">
        <f>SUMIFS('Daily Writing Log'!$I$5:$I$34,'Daily Writing Log'!$A$5:$A$34,$A450)</f>
        <v>0</v>
      </c>
      <c r="D450" s="122">
        <f>IF($C450&gt;=Config!$B$5,1,0)</f>
        <v>0</v>
      </c>
      <c r="E450" s="122">
        <f>IF(MONTH($A450)&lt;&gt;MONTH($A449),0,$G449)</f>
        <v>0</v>
      </c>
      <c r="F450" s="122">
        <f>IF(AND($D450=0,$H449&gt;0,$E450&lt;Config!$B$8,$A450&lt;Config!$A$2),1,0)</f>
        <v>0</v>
      </c>
      <c r="G450" s="122">
        <f>$E450+$F450</f>
        <v>0</v>
      </c>
      <c r="H450" s="122">
        <f>IF($D450=1,$H449+1,IF($F450=1,$H449,IF($A450=Config!$A$2,$H449,0)))</f>
        <v>0</v>
      </c>
      <c r="M450" s="123" t="n"/>
    </row>
    <row r="451">
      <c r="A451" s="120" t="str">
        <f>A450+1</f>
        <v>2026-01-06 00:00:00</v>
      </c>
      <c r="B451" s="121">
        <f>SUMIFS('Daily Writing Log'!$H$5:$H$34,'Daily Writing Log'!$A$5:$A$34,$A451)</f>
        <v>0</v>
      </c>
      <c r="C451" s="121">
        <f>SUMIFS('Daily Writing Log'!$I$5:$I$34,'Daily Writing Log'!$A$5:$A$34,$A451)</f>
        <v>0</v>
      </c>
      <c r="D451" s="122">
        <f>IF($C451&gt;=Config!$B$5,1,0)</f>
        <v>0</v>
      </c>
      <c r="E451" s="122">
        <f>IF(MONTH($A451)&lt;&gt;MONTH($A450),0,$G450)</f>
        <v>0</v>
      </c>
      <c r="F451" s="122">
        <f>IF(AND($D451=0,$H450&gt;0,$E451&lt;Config!$B$8,$A451&lt;Config!$A$2),1,0)</f>
        <v>0</v>
      </c>
      <c r="G451" s="122">
        <f>$E451+$F451</f>
        <v>0</v>
      </c>
      <c r="H451" s="122">
        <f>IF($D451=1,$H450+1,IF($F451=1,$H450,IF($A451=Config!$A$2,$H450,0)))</f>
        <v>0</v>
      </c>
      <c r="M451" s="123" t="n"/>
    </row>
    <row r="452">
      <c r="A452" s="120" t="str">
        <f>A451+1</f>
        <v>2026-01-07 00:00:00</v>
      </c>
      <c r="B452" s="121">
        <f>SUMIFS('Daily Writing Log'!$H$5:$H$34,'Daily Writing Log'!$A$5:$A$34,$A452)</f>
        <v>0</v>
      </c>
      <c r="C452" s="121">
        <f>SUMIFS('Daily Writing Log'!$I$5:$I$34,'Daily Writing Log'!$A$5:$A$34,$A452)</f>
        <v>0</v>
      </c>
      <c r="D452" s="122">
        <f>IF($C452&gt;=Config!$B$5,1,0)</f>
        <v>0</v>
      </c>
      <c r="E452" s="122">
        <f>IF(MONTH($A452)&lt;&gt;MONTH($A451),0,$G451)</f>
        <v>0</v>
      </c>
      <c r="F452" s="122">
        <f>IF(AND($D452=0,$H451&gt;0,$E452&lt;Config!$B$8,$A452&lt;Config!$A$2),1,0)</f>
        <v>0</v>
      </c>
      <c r="G452" s="122">
        <f>$E452+$F452</f>
        <v>0</v>
      </c>
      <c r="H452" s="122">
        <f>IF($D452=1,$H451+1,IF($F452=1,$H451,IF($A452=Config!$A$2,$H451,0)))</f>
        <v>0</v>
      </c>
      <c r="M452" s="123" t="n"/>
    </row>
    <row r="453">
      <c r="A453" s="120" t="str">
        <f>A452+1</f>
        <v>2026-01-08 00:00:00</v>
      </c>
      <c r="B453" s="121">
        <f>SUMIFS('Daily Writing Log'!$H$5:$H$34,'Daily Writing Log'!$A$5:$A$34,$A453)</f>
        <v>0</v>
      </c>
      <c r="C453" s="121">
        <f>SUMIFS('Daily Writing Log'!$I$5:$I$34,'Daily Writing Log'!$A$5:$A$34,$A453)</f>
        <v>0</v>
      </c>
      <c r="D453" s="122">
        <f>IF($C453&gt;=Config!$B$5,1,0)</f>
        <v>0</v>
      </c>
      <c r="E453" s="122">
        <f>IF(MONTH($A453)&lt;&gt;MONTH($A452),0,$G452)</f>
        <v>0</v>
      </c>
      <c r="F453" s="122">
        <f>IF(AND($D453=0,$H452&gt;0,$E453&lt;Config!$B$8,$A453&lt;Config!$A$2),1,0)</f>
        <v>0</v>
      </c>
      <c r="G453" s="122">
        <f>$E453+$F453</f>
        <v>0</v>
      </c>
      <c r="H453" s="122">
        <f>IF($D453=1,$H452+1,IF($F453=1,$H452,IF($A453=Config!$A$2,$H452,0)))</f>
        <v>0</v>
      </c>
      <c r="M453" s="123" t="n"/>
    </row>
    <row r="454">
      <c r="A454" s="120" t="str">
        <f>A453+1</f>
        <v>2026-01-09 00:00:00</v>
      </c>
      <c r="B454" s="121">
        <f>SUMIFS('Daily Writing Log'!$H$5:$H$34,'Daily Writing Log'!$A$5:$A$34,$A454)</f>
        <v>0</v>
      </c>
      <c r="C454" s="121">
        <f>SUMIFS('Daily Writing Log'!$I$5:$I$34,'Daily Writing Log'!$A$5:$A$34,$A454)</f>
        <v>0</v>
      </c>
      <c r="D454" s="122">
        <f>IF($C454&gt;=Config!$B$5,1,0)</f>
        <v>0</v>
      </c>
      <c r="E454" s="122">
        <f>IF(MONTH($A454)&lt;&gt;MONTH($A453),0,$G453)</f>
        <v>0</v>
      </c>
      <c r="F454" s="122">
        <f>IF(AND($D454=0,$H453&gt;0,$E454&lt;Config!$B$8,$A454&lt;Config!$A$2),1,0)</f>
        <v>0</v>
      </c>
      <c r="G454" s="122">
        <f>$E454+$F454</f>
        <v>0</v>
      </c>
      <c r="H454" s="122">
        <f>IF($D454=1,$H453+1,IF($F454=1,$H453,IF($A454=Config!$A$2,$H453,0)))</f>
        <v>0</v>
      </c>
      <c r="M454" s="123" t="n"/>
    </row>
    <row r="455">
      <c r="A455" s="120" t="str">
        <f>A454+1</f>
        <v>2026-01-10 00:00:00</v>
      </c>
      <c r="B455" s="121">
        <f>SUMIFS('Daily Writing Log'!$H$5:$H$34,'Daily Writing Log'!$A$5:$A$34,$A455)</f>
        <v>0</v>
      </c>
      <c r="C455" s="121">
        <f>SUMIFS('Daily Writing Log'!$I$5:$I$34,'Daily Writing Log'!$A$5:$A$34,$A455)</f>
        <v>0</v>
      </c>
      <c r="D455" s="122">
        <f>IF($C455&gt;=Config!$B$5,1,0)</f>
        <v>0</v>
      </c>
      <c r="E455" s="122">
        <f>IF(MONTH($A455)&lt;&gt;MONTH($A454),0,$G454)</f>
        <v>0</v>
      </c>
      <c r="F455" s="122">
        <f>IF(AND($D455=0,$H454&gt;0,$E455&lt;Config!$B$8,$A455&lt;Config!$A$2),1,0)</f>
        <v>0</v>
      </c>
      <c r="G455" s="122">
        <f>$E455+$F455</f>
        <v>0</v>
      </c>
      <c r="H455" s="122">
        <f>IF($D455=1,$H454+1,IF($F455=1,$H454,IF($A455=Config!$A$2,$H454,0)))</f>
        <v>0</v>
      </c>
      <c r="M455" s="123" t="n"/>
    </row>
    <row r="456">
      <c r="A456" s="120" t="str">
        <f>A455+1</f>
        <v>2026-01-11 00:00:00</v>
      </c>
      <c r="B456" s="121">
        <f>SUMIFS('Daily Writing Log'!$H$5:$H$34,'Daily Writing Log'!$A$5:$A$34,$A456)</f>
        <v>0</v>
      </c>
      <c r="C456" s="121">
        <f>SUMIFS('Daily Writing Log'!$I$5:$I$34,'Daily Writing Log'!$A$5:$A$34,$A456)</f>
        <v>0</v>
      </c>
      <c r="D456" s="122">
        <f>IF($C456&gt;=Config!$B$5,1,0)</f>
        <v>0</v>
      </c>
      <c r="E456" s="122">
        <f>IF(MONTH($A456)&lt;&gt;MONTH($A455),0,$G455)</f>
        <v>0</v>
      </c>
      <c r="F456" s="122">
        <f>IF(AND($D456=0,$H455&gt;0,$E456&lt;Config!$B$8,$A456&lt;Config!$A$2),1,0)</f>
        <v>0</v>
      </c>
      <c r="G456" s="122">
        <f>$E456+$F456</f>
        <v>0</v>
      </c>
      <c r="H456" s="122">
        <f>IF($D456=1,$H455+1,IF($F456=1,$H455,IF($A456=Config!$A$2,$H455,0)))</f>
        <v>0</v>
      </c>
      <c r="M456" s="123" t="n"/>
    </row>
    <row r="457">
      <c r="A457" s="120" t="str">
        <f>A456+1</f>
        <v>2026-01-12 00:00:00</v>
      </c>
      <c r="B457" s="121">
        <f>SUMIFS('Daily Writing Log'!$H$5:$H$34,'Daily Writing Log'!$A$5:$A$34,$A457)</f>
        <v>0</v>
      </c>
      <c r="C457" s="121">
        <f>SUMIFS('Daily Writing Log'!$I$5:$I$34,'Daily Writing Log'!$A$5:$A$34,$A457)</f>
        <v>0</v>
      </c>
      <c r="D457" s="122">
        <f>IF($C457&gt;=Config!$B$5,1,0)</f>
        <v>0</v>
      </c>
      <c r="E457" s="122">
        <f>IF(MONTH($A457)&lt;&gt;MONTH($A456),0,$G456)</f>
        <v>0</v>
      </c>
      <c r="F457" s="122">
        <f>IF(AND($D457=0,$H456&gt;0,$E457&lt;Config!$B$8,$A457&lt;Config!$A$2),1,0)</f>
        <v>0</v>
      </c>
      <c r="G457" s="122">
        <f>$E457+$F457</f>
        <v>0</v>
      </c>
      <c r="H457" s="122">
        <f>IF($D457=1,$H456+1,IF($F457=1,$H456,IF($A457=Config!$A$2,$H456,0)))</f>
        <v>0</v>
      </c>
      <c r="M457" s="123" t="n"/>
    </row>
    <row r="458">
      <c r="A458" s="120" t="str">
        <f>A457+1</f>
        <v>2026-01-13 00:00:00</v>
      </c>
      <c r="B458" s="121">
        <f>SUMIFS('Daily Writing Log'!$H$5:$H$34,'Daily Writing Log'!$A$5:$A$34,$A458)</f>
        <v>0</v>
      </c>
      <c r="C458" s="121">
        <f>SUMIFS('Daily Writing Log'!$I$5:$I$34,'Daily Writing Log'!$A$5:$A$34,$A458)</f>
        <v>0</v>
      </c>
      <c r="D458" s="122">
        <f>IF($C458&gt;=Config!$B$5,1,0)</f>
        <v>0</v>
      </c>
      <c r="E458" s="122">
        <f>IF(MONTH($A458)&lt;&gt;MONTH($A457),0,$G457)</f>
        <v>0</v>
      </c>
      <c r="F458" s="122">
        <f>IF(AND($D458=0,$H457&gt;0,$E458&lt;Config!$B$8,$A458&lt;Config!$A$2),1,0)</f>
        <v>0</v>
      </c>
      <c r="G458" s="122">
        <f>$E458+$F458</f>
        <v>0</v>
      </c>
      <c r="H458" s="122">
        <f>IF($D458=1,$H457+1,IF($F458=1,$H457,IF($A458=Config!$A$2,$H457,0)))</f>
        <v>0</v>
      </c>
      <c r="M458" s="123" t="n"/>
    </row>
    <row r="459">
      <c r="A459" s="120" t="str">
        <f>A458+1</f>
        <v>2026-01-14 00:00:00</v>
      </c>
      <c r="B459" s="121">
        <f>SUMIFS('Daily Writing Log'!$H$5:$H$34,'Daily Writing Log'!$A$5:$A$34,$A459)</f>
        <v>0</v>
      </c>
      <c r="C459" s="121">
        <f>SUMIFS('Daily Writing Log'!$I$5:$I$34,'Daily Writing Log'!$A$5:$A$34,$A459)</f>
        <v>0</v>
      </c>
      <c r="D459" s="122">
        <f>IF($C459&gt;=Config!$B$5,1,0)</f>
        <v>0</v>
      </c>
      <c r="E459" s="122">
        <f>IF(MONTH($A459)&lt;&gt;MONTH($A458),0,$G458)</f>
        <v>0</v>
      </c>
      <c r="F459" s="122">
        <f>IF(AND($D459=0,$H458&gt;0,$E459&lt;Config!$B$8,$A459&lt;Config!$A$2),1,0)</f>
        <v>0</v>
      </c>
      <c r="G459" s="122">
        <f>$E459+$F459</f>
        <v>0</v>
      </c>
      <c r="H459" s="122">
        <f>IF($D459=1,$H458+1,IF($F459=1,$H458,IF($A459=Config!$A$2,$H458,0)))</f>
        <v>0</v>
      </c>
      <c r="M459" s="123" t="n"/>
    </row>
    <row r="460">
      <c r="A460" s="120" t="str">
        <f>A459+1</f>
        <v>2026-01-15 00:00:00</v>
      </c>
      <c r="B460" s="121">
        <f>SUMIFS('Daily Writing Log'!$H$5:$H$34,'Daily Writing Log'!$A$5:$A$34,$A460)</f>
        <v>0</v>
      </c>
      <c r="C460" s="121">
        <f>SUMIFS('Daily Writing Log'!$I$5:$I$34,'Daily Writing Log'!$A$5:$A$34,$A460)</f>
        <v>0</v>
      </c>
      <c r="D460" s="122">
        <f>IF($C460&gt;=Config!$B$5,1,0)</f>
        <v>0</v>
      </c>
      <c r="E460" s="122">
        <f>IF(MONTH($A460)&lt;&gt;MONTH($A459),0,$G459)</f>
        <v>0</v>
      </c>
      <c r="F460" s="122">
        <f>IF(AND($D460=0,$H459&gt;0,$E460&lt;Config!$B$8,$A460&lt;Config!$A$2),1,0)</f>
        <v>0</v>
      </c>
      <c r="G460" s="122">
        <f>$E460+$F460</f>
        <v>0</v>
      </c>
      <c r="H460" s="122">
        <f>IF($D460=1,$H459+1,IF($F460=1,$H459,IF($A460=Config!$A$2,$H459,0)))</f>
        <v>0</v>
      </c>
      <c r="M460" s="123" t="n"/>
    </row>
    <row r="461">
      <c r="A461" s="120" t="str">
        <f>A460+1</f>
        <v>2026-01-16 00:00:00</v>
      </c>
      <c r="B461" s="121">
        <f>SUMIFS('Daily Writing Log'!$H$5:$H$34,'Daily Writing Log'!$A$5:$A$34,$A461)</f>
        <v>0</v>
      </c>
      <c r="C461" s="121">
        <f>SUMIFS('Daily Writing Log'!$I$5:$I$34,'Daily Writing Log'!$A$5:$A$34,$A461)</f>
        <v>0</v>
      </c>
      <c r="D461" s="122">
        <f>IF($C461&gt;=Config!$B$5,1,0)</f>
        <v>0</v>
      </c>
      <c r="E461" s="122">
        <f>IF(MONTH($A461)&lt;&gt;MONTH($A460),0,$G460)</f>
        <v>0</v>
      </c>
      <c r="F461" s="122">
        <f>IF(AND($D461=0,$H460&gt;0,$E461&lt;Config!$B$8,$A461&lt;Config!$A$2),1,0)</f>
        <v>0</v>
      </c>
      <c r="G461" s="122">
        <f>$E461+$F461</f>
        <v>0</v>
      </c>
      <c r="H461" s="122">
        <f>IF($D461=1,$H460+1,IF($F461=1,$H460,IF($A461=Config!$A$2,$H460,0)))</f>
        <v>0</v>
      </c>
      <c r="M461" s="123" t="n"/>
    </row>
    <row r="462">
      <c r="A462" s="120" t="str">
        <f>A461+1</f>
        <v>2026-01-17 00:00:00</v>
      </c>
      <c r="B462" s="121">
        <f>SUMIFS('Daily Writing Log'!$H$5:$H$34,'Daily Writing Log'!$A$5:$A$34,$A462)</f>
        <v>0</v>
      </c>
      <c r="C462" s="121">
        <f>SUMIFS('Daily Writing Log'!$I$5:$I$34,'Daily Writing Log'!$A$5:$A$34,$A462)</f>
        <v>0</v>
      </c>
      <c r="D462" s="122">
        <f>IF($C462&gt;=Config!$B$5,1,0)</f>
        <v>0</v>
      </c>
      <c r="E462" s="122">
        <f>IF(MONTH($A462)&lt;&gt;MONTH($A461),0,$G461)</f>
        <v>0</v>
      </c>
      <c r="F462" s="122">
        <f>IF(AND($D462=0,$H461&gt;0,$E462&lt;Config!$B$8,$A462&lt;Config!$A$2),1,0)</f>
        <v>0</v>
      </c>
      <c r="G462" s="122">
        <f>$E462+$F462</f>
        <v>0</v>
      </c>
      <c r="H462" s="122">
        <f>IF($D462=1,$H461+1,IF($F462=1,$H461,IF($A462=Config!$A$2,$H461,0)))</f>
        <v>0</v>
      </c>
      <c r="M462" s="123" t="n"/>
    </row>
    <row r="463">
      <c r="A463" s="120" t="str">
        <f>A462+1</f>
        <v>2026-01-18 00:00:00</v>
      </c>
      <c r="B463" s="121">
        <f>SUMIFS('Daily Writing Log'!$H$5:$H$34,'Daily Writing Log'!$A$5:$A$34,$A463)</f>
        <v>0</v>
      </c>
      <c r="C463" s="121">
        <f>SUMIFS('Daily Writing Log'!$I$5:$I$34,'Daily Writing Log'!$A$5:$A$34,$A463)</f>
        <v>0</v>
      </c>
      <c r="D463" s="122">
        <f>IF($C463&gt;=Config!$B$5,1,0)</f>
        <v>0</v>
      </c>
      <c r="E463" s="122">
        <f>IF(MONTH($A463)&lt;&gt;MONTH($A462),0,$G462)</f>
        <v>0</v>
      </c>
      <c r="F463" s="122">
        <f>IF(AND($D463=0,$H462&gt;0,$E463&lt;Config!$B$8,$A463&lt;Config!$A$2),1,0)</f>
        <v>0</v>
      </c>
      <c r="G463" s="122">
        <f>$E463+$F463</f>
        <v>0</v>
      </c>
      <c r="H463" s="122">
        <f>IF($D463=1,$H462+1,IF($F463=1,$H462,IF($A463=Config!$A$2,$H462,0)))</f>
        <v>0</v>
      </c>
      <c r="M463" s="123" t="n"/>
    </row>
    <row r="464">
      <c r="A464" s="120" t="str">
        <f>A463+1</f>
        <v>2026-01-19 00:00:00</v>
      </c>
      <c r="B464" s="121">
        <f>SUMIFS('Daily Writing Log'!$H$5:$H$34,'Daily Writing Log'!$A$5:$A$34,$A464)</f>
        <v>0</v>
      </c>
      <c r="C464" s="121">
        <f>SUMIFS('Daily Writing Log'!$I$5:$I$34,'Daily Writing Log'!$A$5:$A$34,$A464)</f>
        <v>0</v>
      </c>
      <c r="D464" s="122">
        <f>IF($C464&gt;=Config!$B$5,1,0)</f>
        <v>0</v>
      </c>
      <c r="E464" s="122">
        <f>IF(MONTH($A464)&lt;&gt;MONTH($A463),0,$G463)</f>
        <v>0</v>
      </c>
      <c r="F464" s="122">
        <f>IF(AND($D464=0,$H463&gt;0,$E464&lt;Config!$B$8,$A464&lt;Config!$A$2),1,0)</f>
        <v>0</v>
      </c>
      <c r="G464" s="122">
        <f>$E464+$F464</f>
        <v>0</v>
      </c>
      <c r="H464" s="122">
        <f>IF($D464=1,$H463+1,IF($F464=1,$H463,IF($A464=Config!$A$2,$H463,0)))</f>
        <v>0</v>
      </c>
      <c r="M464" s="123" t="n"/>
    </row>
    <row r="465">
      <c r="A465" s="120" t="str">
        <f>A464+1</f>
        <v>2026-01-20 00:00:00</v>
      </c>
      <c r="B465" s="121">
        <f>SUMIFS('Daily Writing Log'!$H$5:$H$34,'Daily Writing Log'!$A$5:$A$34,$A465)</f>
        <v>0</v>
      </c>
      <c r="C465" s="121">
        <f>SUMIFS('Daily Writing Log'!$I$5:$I$34,'Daily Writing Log'!$A$5:$A$34,$A465)</f>
        <v>0</v>
      </c>
      <c r="D465" s="122">
        <f>IF($C465&gt;=Config!$B$5,1,0)</f>
        <v>0</v>
      </c>
      <c r="E465" s="122">
        <f>IF(MONTH($A465)&lt;&gt;MONTH($A464),0,$G464)</f>
        <v>0</v>
      </c>
      <c r="F465" s="122">
        <f>IF(AND($D465=0,$H464&gt;0,$E465&lt;Config!$B$8,$A465&lt;Config!$A$2),1,0)</f>
        <v>0</v>
      </c>
      <c r="G465" s="122">
        <f>$E465+$F465</f>
        <v>0</v>
      </c>
      <c r="H465" s="122">
        <f>IF($D465=1,$H464+1,IF($F465=1,$H464,IF($A465=Config!$A$2,$H464,0)))</f>
        <v>0</v>
      </c>
      <c r="M465" s="123" t="n"/>
    </row>
    <row r="466">
      <c r="A466" s="120" t="str">
        <f>A465+1</f>
        <v>2026-01-21 00:00:00</v>
      </c>
      <c r="B466" s="121">
        <f>SUMIFS('Daily Writing Log'!$H$5:$H$34,'Daily Writing Log'!$A$5:$A$34,$A466)</f>
        <v>0</v>
      </c>
      <c r="C466" s="121">
        <f>SUMIFS('Daily Writing Log'!$I$5:$I$34,'Daily Writing Log'!$A$5:$A$34,$A466)</f>
        <v>0</v>
      </c>
      <c r="D466" s="122">
        <f>IF($C466&gt;=Config!$B$5,1,0)</f>
        <v>0</v>
      </c>
      <c r="E466" s="122">
        <f>IF(MONTH($A466)&lt;&gt;MONTH($A465),0,$G465)</f>
        <v>0</v>
      </c>
      <c r="F466" s="122">
        <f>IF(AND($D466=0,$H465&gt;0,$E466&lt;Config!$B$8,$A466&lt;Config!$A$2),1,0)</f>
        <v>0</v>
      </c>
      <c r="G466" s="122">
        <f>$E466+$F466</f>
        <v>0</v>
      </c>
      <c r="H466" s="122">
        <f>IF($D466=1,$H465+1,IF($F466=1,$H465,IF($A466=Config!$A$2,$H465,0)))</f>
        <v>0</v>
      </c>
      <c r="M466" s="123" t="n"/>
    </row>
    <row r="467">
      <c r="A467" s="120" t="str">
        <f>A466+1</f>
        <v>2026-01-22 00:00:00</v>
      </c>
      <c r="B467" s="121">
        <f>SUMIFS('Daily Writing Log'!$H$5:$H$34,'Daily Writing Log'!$A$5:$A$34,$A467)</f>
        <v>0</v>
      </c>
      <c r="C467" s="121">
        <f>SUMIFS('Daily Writing Log'!$I$5:$I$34,'Daily Writing Log'!$A$5:$A$34,$A467)</f>
        <v>0</v>
      </c>
      <c r="D467" s="122">
        <f>IF($C467&gt;=Config!$B$5,1,0)</f>
        <v>0</v>
      </c>
      <c r="E467" s="122">
        <f>IF(MONTH($A467)&lt;&gt;MONTH($A466),0,$G466)</f>
        <v>0</v>
      </c>
      <c r="F467" s="122">
        <f>IF(AND($D467=0,$H466&gt;0,$E467&lt;Config!$B$8,$A467&lt;Config!$A$2),1,0)</f>
        <v>0</v>
      </c>
      <c r="G467" s="122">
        <f>$E467+$F467</f>
        <v>0</v>
      </c>
      <c r="H467" s="122">
        <f>IF($D467=1,$H466+1,IF($F467=1,$H466,IF($A467=Config!$A$2,$H466,0)))</f>
        <v>0</v>
      </c>
      <c r="M467" s="123" t="n"/>
    </row>
    <row r="468">
      <c r="A468" s="120" t="str">
        <f>A467+1</f>
        <v>2026-01-23 00:00:00</v>
      </c>
      <c r="B468" s="121">
        <f>SUMIFS('Daily Writing Log'!$H$5:$H$34,'Daily Writing Log'!$A$5:$A$34,$A468)</f>
        <v>0</v>
      </c>
      <c r="C468" s="121">
        <f>SUMIFS('Daily Writing Log'!$I$5:$I$34,'Daily Writing Log'!$A$5:$A$34,$A468)</f>
        <v>0</v>
      </c>
      <c r="D468" s="122">
        <f>IF($C468&gt;=Config!$B$5,1,0)</f>
        <v>0</v>
      </c>
      <c r="E468" s="122">
        <f>IF(MONTH($A468)&lt;&gt;MONTH($A467),0,$G467)</f>
        <v>0</v>
      </c>
      <c r="F468" s="122">
        <f>IF(AND($D468=0,$H467&gt;0,$E468&lt;Config!$B$8,$A468&lt;Config!$A$2),1,0)</f>
        <v>0</v>
      </c>
      <c r="G468" s="122">
        <f>$E468+$F468</f>
        <v>0</v>
      </c>
      <c r="H468" s="122">
        <f>IF($D468=1,$H467+1,IF($F468=1,$H467,IF($A468=Config!$A$2,$H467,0)))</f>
        <v>0</v>
      </c>
      <c r="M468" s="123" t="n"/>
    </row>
    <row r="469">
      <c r="A469" s="120" t="str">
        <f>A468+1</f>
        <v>2026-01-24 00:00:00</v>
      </c>
      <c r="B469" s="121">
        <f>SUMIFS('Daily Writing Log'!$H$5:$H$34,'Daily Writing Log'!$A$5:$A$34,$A469)</f>
        <v>0</v>
      </c>
      <c r="C469" s="121">
        <f>SUMIFS('Daily Writing Log'!$I$5:$I$34,'Daily Writing Log'!$A$5:$A$34,$A469)</f>
        <v>0</v>
      </c>
      <c r="D469" s="122">
        <f>IF($C469&gt;=Config!$B$5,1,0)</f>
        <v>0</v>
      </c>
      <c r="E469" s="122">
        <f>IF(MONTH($A469)&lt;&gt;MONTH($A468),0,$G468)</f>
        <v>0</v>
      </c>
      <c r="F469" s="122">
        <f>IF(AND($D469=0,$H468&gt;0,$E469&lt;Config!$B$8,$A469&lt;Config!$A$2),1,0)</f>
        <v>0</v>
      </c>
      <c r="G469" s="122">
        <f>$E469+$F469</f>
        <v>0</v>
      </c>
      <c r="H469" s="122">
        <f>IF($D469=1,$H468+1,IF($F469=1,$H468,IF($A469=Config!$A$2,$H468,0)))</f>
        <v>0</v>
      </c>
      <c r="M469" s="123" t="n"/>
    </row>
    <row r="470">
      <c r="A470" s="120" t="str">
        <f>A469+1</f>
        <v>2026-01-25 00:00:00</v>
      </c>
      <c r="B470" s="121">
        <f>SUMIFS('Daily Writing Log'!$H$5:$H$34,'Daily Writing Log'!$A$5:$A$34,$A470)</f>
        <v>0</v>
      </c>
      <c r="C470" s="121">
        <f>SUMIFS('Daily Writing Log'!$I$5:$I$34,'Daily Writing Log'!$A$5:$A$34,$A470)</f>
        <v>0</v>
      </c>
      <c r="D470" s="122">
        <f>IF($C470&gt;=Config!$B$5,1,0)</f>
        <v>0</v>
      </c>
      <c r="E470" s="122">
        <f>IF(MONTH($A470)&lt;&gt;MONTH($A469),0,$G469)</f>
        <v>0</v>
      </c>
      <c r="F470" s="122">
        <f>IF(AND($D470=0,$H469&gt;0,$E470&lt;Config!$B$8,$A470&lt;Config!$A$2),1,0)</f>
        <v>0</v>
      </c>
      <c r="G470" s="122">
        <f>$E470+$F470</f>
        <v>0</v>
      </c>
      <c r="H470" s="122">
        <f>IF($D470=1,$H469+1,IF($F470=1,$H469,IF($A470=Config!$A$2,$H469,0)))</f>
        <v>0</v>
      </c>
      <c r="M470" s="123" t="n"/>
    </row>
    <row r="471">
      <c r="A471" s="120" t="str">
        <f>A470+1</f>
        <v>2026-01-26 00:00:00</v>
      </c>
      <c r="B471" s="121">
        <f>SUMIFS('Daily Writing Log'!$H$5:$H$34,'Daily Writing Log'!$A$5:$A$34,$A471)</f>
        <v>0</v>
      </c>
      <c r="C471" s="121">
        <f>SUMIFS('Daily Writing Log'!$I$5:$I$34,'Daily Writing Log'!$A$5:$A$34,$A471)</f>
        <v>0</v>
      </c>
      <c r="D471" s="122">
        <f>IF($C471&gt;=Config!$B$5,1,0)</f>
        <v>0</v>
      </c>
      <c r="E471" s="122">
        <f>IF(MONTH($A471)&lt;&gt;MONTH($A470),0,$G470)</f>
        <v>0</v>
      </c>
      <c r="F471" s="122">
        <f>IF(AND($D471=0,$H470&gt;0,$E471&lt;Config!$B$8,$A471&lt;Config!$A$2),1,0)</f>
        <v>0</v>
      </c>
      <c r="G471" s="122">
        <f>$E471+$F471</f>
        <v>0</v>
      </c>
      <c r="H471" s="122">
        <f>IF($D471=1,$H470+1,IF($F471=1,$H470,IF($A471=Config!$A$2,$H470,0)))</f>
        <v>0</v>
      </c>
      <c r="M471" s="123" t="n"/>
    </row>
    <row r="472">
      <c r="A472" s="120" t="str">
        <f>A471+1</f>
        <v>2026-01-27 00:00:00</v>
      </c>
      <c r="B472" s="121">
        <f>SUMIFS('Daily Writing Log'!$H$5:$H$34,'Daily Writing Log'!$A$5:$A$34,$A472)</f>
        <v>0</v>
      </c>
      <c r="C472" s="121">
        <f>SUMIFS('Daily Writing Log'!$I$5:$I$34,'Daily Writing Log'!$A$5:$A$34,$A472)</f>
        <v>0</v>
      </c>
      <c r="D472" s="122">
        <f>IF($C472&gt;=Config!$B$5,1,0)</f>
        <v>0</v>
      </c>
      <c r="E472" s="122">
        <f>IF(MONTH($A472)&lt;&gt;MONTH($A471),0,$G471)</f>
        <v>0</v>
      </c>
      <c r="F472" s="122">
        <f>IF(AND($D472=0,$H471&gt;0,$E472&lt;Config!$B$8,$A472&lt;Config!$A$2),1,0)</f>
        <v>0</v>
      </c>
      <c r="G472" s="122">
        <f>$E472+$F472</f>
        <v>0</v>
      </c>
      <c r="H472" s="122">
        <f>IF($D472=1,$H471+1,IF($F472=1,$H471,IF($A472=Config!$A$2,$H471,0)))</f>
        <v>0</v>
      </c>
      <c r="M472" s="123" t="n"/>
    </row>
    <row r="473">
      <c r="A473" s="120" t="str">
        <f>A472+1</f>
        <v>2026-01-28 00:00:00</v>
      </c>
      <c r="B473" s="121">
        <f>SUMIFS('Daily Writing Log'!$H$5:$H$34,'Daily Writing Log'!$A$5:$A$34,$A473)</f>
        <v>0</v>
      </c>
      <c r="C473" s="121">
        <f>SUMIFS('Daily Writing Log'!$I$5:$I$34,'Daily Writing Log'!$A$5:$A$34,$A473)</f>
        <v>0</v>
      </c>
      <c r="D473" s="122">
        <f>IF($C473&gt;=Config!$B$5,1,0)</f>
        <v>0</v>
      </c>
      <c r="E473" s="122">
        <f>IF(MONTH($A473)&lt;&gt;MONTH($A472),0,$G472)</f>
        <v>0</v>
      </c>
      <c r="F473" s="122">
        <f>IF(AND($D473=0,$H472&gt;0,$E473&lt;Config!$B$8,$A473&lt;Config!$A$2),1,0)</f>
        <v>0</v>
      </c>
      <c r="G473" s="122">
        <f>$E473+$F473</f>
        <v>0</v>
      </c>
      <c r="H473" s="122">
        <f>IF($D473=1,$H472+1,IF($F473=1,$H472,IF($A473=Config!$A$2,$H472,0)))</f>
        <v>0</v>
      </c>
      <c r="M473" s="123" t="n"/>
    </row>
    <row r="474">
      <c r="A474" s="120" t="str">
        <f>A473+1</f>
        <v>2026-01-29 00:00:00</v>
      </c>
      <c r="B474" s="121">
        <f>SUMIFS('Daily Writing Log'!$H$5:$H$34,'Daily Writing Log'!$A$5:$A$34,$A474)</f>
        <v>0</v>
      </c>
      <c r="C474" s="121">
        <f>SUMIFS('Daily Writing Log'!$I$5:$I$34,'Daily Writing Log'!$A$5:$A$34,$A474)</f>
        <v>0</v>
      </c>
      <c r="D474" s="122">
        <f>IF($C474&gt;=Config!$B$5,1,0)</f>
        <v>0</v>
      </c>
      <c r="E474" s="122">
        <f>IF(MONTH($A474)&lt;&gt;MONTH($A473),0,$G473)</f>
        <v>0</v>
      </c>
      <c r="F474" s="122">
        <f>IF(AND($D474=0,$H473&gt;0,$E474&lt;Config!$B$8,$A474&lt;Config!$A$2),1,0)</f>
        <v>0</v>
      </c>
      <c r="G474" s="122">
        <f>$E474+$F474</f>
        <v>0</v>
      </c>
      <c r="H474" s="122">
        <f>IF($D474=1,$H473+1,IF($F474=1,$H473,IF($A474=Config!$A$2,$H473,0)))</f>
        <v>0</v>
      </c>
      <c r="M474" s="123" t="n"/>
    </row>
    <row r="475">
      <c r="A475" s="120" t="str">
        <f>A474+1</f>
        <v>2026-01-30 00:00:00</v>
      </c>
      <c r="B475" s="121">
        <f>SUMIFS('Daily Writing Log'!$H$5:$H$34,'Daily Writing Log'!$A$5:$A$34,$A475)</f>
        <v>0</v>
      </c>
      <c r="C475" s="121">
        <f>SUMIFS('Daily Writing Log'!$I$5:$I$34,'Daily Writing Log'!$A$5:$A$34,$A475)</f>
        <v>0</v>
      </c>
      <c r="D475" s="122">
        <f>IF($C475&gt;=Config!$B$5,1,0)</f>
        <v>0</v>
      </c>
      <c r="E475" s="122">
        <f>IF(MONTH($A475)&lt;&gt;MONTH($A474),0,$G474)</f>
        <v>0</v>
      </c>
      <c r="F475" s="122">
        <f>IF(AND($D475=0,$H474&gt;0,$E475&lt;Config!$B$8,$A475&lt;Config!$A$2),1,0)</f>
        <v>0</v>
      </c>
      <c r="G475" s="122">
        <f>$E475+$F475</f>
        <v>0</v>
      </c>
      <c r="H475" s="122">
        <f>IF($D475=1,$H474+1,IF($F475=1,$H474,IF($A475=Config!$A$2,$H474,0)))</f>
        <v>0</v>
      </c>
      <c r="M475" s="123" t="n"/>
    </row>
    <row r="476">
      <c r="A476" s="120" t="str">
        <f>A475+1</f>
        <v>2026-01-31 00:00:00</v>
      </c>
      <c r="B476" s="121">
        <f>SUMIFS('Daily Writing Log'!$H$5:$H$34,'Daily Writing Log'!$A$5:$A$34,$A476)</f>
        <v>0</v>
      </c>
      <c r="C476" s="121">
        <f>SUMIFS('Daily Writing Log'!$I$5:$I$34,'Daily Writing Log'!$A$5:$A$34,$A476)</f>
        <v>0</v>
      </c>
      <c r="D476" s="122">
        <f>IF($C476&gt;=Config!$B$5,1,0)</f>
        <v>0</v>
      </c>
      <c r="E476" s="122">
        <f>IF(MONTH($A476)&lt;&gt;MONTH($A475),0,$G475)</f>
        <v>0</v>
      </c>
      <c r="F476" s="122">
        <f>IF(AND($D476=0,$H475&gt;0,$E476&lt;Config!$B$8,$A476&lt;Config!$A$2),1,0)</f>
        <v>0</v>
      </c>
      <c r="G476" s="122">
        <f>$E476+$F476</f>
        <v>0</v>
      </c>
      <c r="H476" s="122">
        <f>IF($D476=1,$H475+1,IF($F476=1,$H475,IF($A476=Config!$A$2,$H475,0)))</f>
        <v>0</v>
      </c>
      <c r="M476" s="123" t="n"/>
    </row>
    <row r="477">
      <c r="A477" s="120" t="str">
        <f>A476+1</f>
        <v>2026-02-01 00:00:00</v>
      </c>
      <c r="B477" s="121">
        <f>SUMIFS('Daily Writing Log'!$H$5:$H$34,'Daily Writing Log'!$A$5:$A$34,$A477)</f>
        <v>0</v>
      </c>
      <c r="C477" s="121">
        <f>SUMIFS('Daily Writing Log'!$I$5:$I$34,'Daily Writing Log'!$A$5:$A$34,$A477)</f>
        <v>0</v>
      </c>
      <c r="D477" s="122">
        <f>IF($C477&gt;=Config!$B$5,1,0)</f>
        <v>0</v>
      </c>
      <c r="E477" s="122">
        <f>IF(MONTH($A477)&lt;&gt;MONTH($A476),0,$G476)</f>
        <v>0</v>
      </c>
      <c r="F477" s="122">
        <f>IF(AND($D477=0,$H476&gt;0,$E477&lt;Config!$B$8,$A477&lt;Config!$A$2),1,0)</f>
        <v>0</v>
      </c>
      <c r="G477" s="122">
        <f>$E477+$F477</f>
        <v>0</v>
      </c>
      <c r="H477" s="122">
        <f>IF($D477=1,$H476+1,IF($F477=1,$H476,IF($A477=Config!$A$2,$H476,0)))</f>
        <v>0</v>
      </c>
      <c r="M477" s="123" t="n"/>
    </row>
    <row r="478">
      <c r="A478" s="120" t="str">
        <f>A477+1</f>
        <v>2026-02-02 00:00:00</v>
      </c>
      <c r="B478" s="121">
        <f>SUMIFS('Daily Writing Log'!$H$5:$H$34,'Daily Writing Log'!$A$5:$A$34,$A478)</f>
        <v>0</v>
      </c>
      <c r="C478" s="121">
        <f>SUMIFS('Daily Writing Log'!$I$5:$I$34,'Daily Writing Log'!$A$5:$A$34,$A478)</f>
        <v>0</v>
      </c>
      <c r="D478" s="122">
        <f>IF($C478&gt;=Config!$B$5,1,0)</f>
        <v>0</v>
      </c>
      <c r="E478" s="122">
        <f>IF(MONTH($A478)&lt;&gt;MONTH($A477),0,$G477)</f>
        <v>0</v>
      </c>
      <c r="F478" s="122">
        <f>IF(AND($D478=0,$H477&gt;0,$E478&lt;Config!$B$8,$A478&lt;Config!$A$2),1,0)</f>
        <v>0</v>
      </c>
      <c r="G478" s="122">
        <f>$E478+$F478</f>
        <v>0</v>
      </c>
      <c r="H478" s="122">
        <f>IF($D478=1,$H477+1,IF($F478=1,$H477,IF($A478=Config!$A$2,$H477,0)))</f>
        <v>0</v>
      </c>
      <c r="M478" s="123" t="n"/>
    </row>
    <row r="479">
      <c r="A479" s="120" t="str">
        <f>A478+1</f>
        <v>2026-02-03 00:00:00</v>
      </c>
      <c r="B479" s="121">
        <f>SUMIFS('Daily Writing Log'!$H$5:$H$34,'Daily Writing Log'!$A$5:$A$34,$A479)</f>
        <v>0</v>
      </c>
      <c r="C479" s="121">
        <f>SUMIFS('Daily Writing Log'!$I$5:$I$34,'Daily Writing Log'!$A$5:$A$34,$A479)</f>
        <v>0</v>
      </c>
      <c r="D479" s="122">
        <f>IF($C479&gt;=Config!$B$5,1,0)</f>
        <v>0</v>
      </c>
      <c r="E479" s="122">
        <f>IF(MONTH($A479)&lt;&gt;MONTH($A478),0,$G478)</f>
        <v>0</v>
      </c>
      <c r="F479" s="122">
        <f>IF(AND($D479=0,$H478&gt;0,$E479&lt;Config!$B$8,$A479&lt;Config!$A$2),1,0)</f>
        <v>0</v>
      </c>
      <c r="G479" s="122">
        <f>$E479+$F479</f>
        <v>0</v>
      </c>
      <c r="H479" s="122">
        <f>IF($D479=1,$H478+1,IF($F479=1,$H478,IF($A479=Config!$A$2,$H478,0)))</f>
        <v>0</v>
      </c>
      <c r="M479" s="123" t="n"/>
    </row>
    <row r="480">
      <c r="A480" s="120" t="str">
        <f>A479+1</f>
        <v>2026-02-04 00:00:00</v>
      </c>
      <c r="B480" s="121">
        <f>SUMIFS('Daily Writing Log'!$H$5:$H$34,'Daily Writing Log'!$A$5:$A$34,$A480)</f>
        <v>0</v>
      </c>
      <c r="C480" s="121">
        <f>SUMIFS('Daily Writing Log'!$I$5:$I$34,'Daily Writing Log'!$A$5:$A$34,$A480)</f>
        <v>0</v>
      </c>
      <c r="D480" s="122">
        <f>IF($C480&gt;=Config!$B$5,1,0)</f>
        <v>0</v>
      </c>
      <c r="E480" s="122">
        <f>IF(MONTH($A480)&lt;&gt;MONTH($A479),0,$G479)</f>
        <v>0</v>
      </c>
      <c r="F480" s="122">
        <f>IF(AND($D480=0,$H479&gt;0,$E480&lt;Config!$B$8,$A480&lt;Config!$A$2),1,0)</f>
        <v>0</v>
      </c>
      <c r="G480" s="122">
        <f>$E480+$F480</f>
        <v>0</v>
      </c>
      <c r="H480" s="122">
        <f>IF($D480=1,$H479+1,IF($F480=1,$H479,IF($A480=Config!$A$2,$H479,0)))</f>
        <v>0</v>
      </c>
      <c r="M480" s="123" t="n"/>
    </row>
    <row r="481">
      <c r="A481" s="120" t="str">
        <f>A480+1</f>
        <v>2026-02-05 00:00:00</v>
      </c>
      <c r="B481" s="121">
        <f>SUMIFS('Daily Writing Log'!$H$5:$H$34,'Daily Writing Log'!$A$5:$A$34,$A481)</f>
        <v>0</v>
      </c>
      <c r="C481" s="121">
        <f>SUMIFS('Daily Writing Log'!$I$5:$I$34,'Daily Writing Log'!$A$5:$A$34,$A481)</f>
        <v>0</v>
      </c>
      <c r="D481" s="122">
        <f>IF($C481&gt;=Config!$B$5,1,0)</f>
        <v>0</v>
      </c>
      <c r="E481" s="122">
        <f>IF(MONTH($A481)&lt;&gt;MONTH($A480),0,$G480)</f>
        <v>0</v>
      </c>
      <c r="F481" s="122">
        <f>IF(AND($D481=0,$H480&gt;0,$E481&lt;Config!$B$8,$A481&lt;Config!$A$2),1,0)</f>
        <v>0</v>
      </c>
      <c r="G481" s="122">
        <f>$E481+$F481</f>
        <v>0</v>
      </c>
      <c r="H481" s="122">
        <f>IF($D481=1,$H480+1,IF($F481=1,$H480,IF($A481=Config!$A$2,$H480,0)))</f>
        <v>0</v>
      </c>
      <c r="M481" s="123" t="n"/>
    </row>
    <row r="482">
      <c r="A482" s="120" t="str">
        <f>A481+1</f>
        <v>2026-02-06 00:00:00</v>
      </c>
      <c r="B482" s="121">
        <f>SUMIFS('Daily Writing Log'!$H$5:$H$34,'Daily Writing Log'!$A$5:$A$34,$A482)</f>
        <v>0</v>
      </c>
      <c r="C482" s="121">
        <f>SUMIFS('Daily Writing Log'!$I$5:$I$34,'Daily Writing Log'!$A$5:$A$34,$A482)</f>
        <v>0</v>
      </c>
      <c r="D482" s="122">
        <f>IF($C482&gt;=Config!$B$5,1,0)</f>
        <v>0</v>
      </c>
      <c r="E482" s="122">
        <f>IF(MONTH($A482)&lt;&gt;MONTH($A481),0,$G481)</f>
        <v>0</v>
      </c>
      <c r="F482" s="122">
        <f>IF(AND($D482=0,$H481&gt;0,$E482&lt;Config!$B$8,$A482&lt;Config!$A$2),1,0)</f>
        <v>0</v>
      </c>
      <c r="G482" s="122">
        <f>$E482+$F482</f>
        <v>0</v>
      </c>
      <c r="H482" s="122">
        <f>IF($D482=1,$H481+1,IF($F482=1,$H481,IF($A482=Config!$A$2,$H481,0)))</f>
        <v>0</v>
      </c>
      <c r="M482" s="123" t="n"/>
    </row>
    <row r="483">
      <c r="A483" s="120" t="str">
        <f>A482+1</f>
        <v>2026-02-07 00:00:00</v>
      </c>
      <c r="B483" s="121">
        <f>SUMIFS('Daily Writing Log'!$H$5:$H$34,'Daily Writing Log'!$A$5:$A$34,$A483)</f>
        <v>0</v>
      </c>
      <c r="C483" s="121">
        <f>SUMIFS('Daily Writing Log'!$I$5:$I$34,'Daily Writing Log'!$A$5:$A$34,$A483)</f>
        <v>0</v>
      </c>
      <c r="D483" s="122">
        <f>IF($C483&gt;=Config!$B$5,1,0)</f>
        <v>0</v>
      </c>
      <c r="E483" s="122">
        <f>IF(MONTH($A483)&lt;&gt;MONTH($A482),0,$G482)</f>
        <v>0</v>
      </c>
      <c r="F483" s="122">
        <f>IF(AND($D483=0,$H482&gt;0,$E483&lt;Config!$B$8,$A483&lt;Config!$A$2),1,0)</f>
        <v>0</v>
      </c>
      <c r="G483" s="122">
        <f>$E483+$F483</f>
        <v>0</v>
      </c>
      <c r="H483" s="122">
        <f>IF($D483=1,$H482+1,IF($F483=1,$H482,IF($A483=Config!$A$2,$H482,0)))</f>
        <v>0</v>
      </c>
      <c r="M483" s="123" t="n"/>
    </row>
    <row r="484">
      <c r="A484" s="120" t="str">
        <f>A483+1</f>
        <v>2026-02-08 00:00:00</v>
      </c>
      <c r="B484" s="121">
        <f>SUMIFS('Daily Writing Log'!$H$5:$H$34,'Daily Writing Log'!$A$5:$A$34,$A484)</f>
        <v>0</v>
      </c>
      <c r="C484" s="121">
        <f>SUMIFS('Daily Writing Log'!$I$5:$I$34,'Daily Writing Log'!$A$5:$A$34,$A484)</f>
        <v>0</v>
      </c>
      <c r="D484" s="122">
        <f>IF($C484&gt;=Config!$B$5,1,0)</f>
        <v>0</v>
      </c>
      <c r="E484" s="122">
        <f>IF(MONTH($A484)&lt;&gt;MONTH($A483),0,$G483)</f>
        <v>0</v>
      </c>
      <c r="F484" s="122">
        <f>IF(AND($D484=0,$H483&gt;0,$E484&lt;Config!$B$8,$A484&lt;Config!$A$2),1,0)</f>
        <v>0</v>
      </c>
      <c r="G484" s="122">
        <f>$E484+$F484</f>
        <v>0</v>
      </c>
      <c r="H484" s="122">
        <f>IF($D484=1,$H483+1,IF($F484=1,$H483,IF($A484=Config!$A$2,$H483,0)))</f>
        <v>0</v>
      </c>
      <c r="M484" s="123" t="n"/>
    </row>
    <row r="485">
      <c r="A485" s="120" t="str">
        <f>A484+1</f>
        <v>2026-02-09 00:00:00</v>
      </c>
      <c r="B485" s="121">
        <f>SUMIFS('Daily Writing Log'!$H$5:$H$34,'Daily Writing Log'!$A$5:$A$34,$A485)</f>
        <v>0</v>
      </c>
      <c r="C485" s="121">
        <f>SUMIFS('Daily Writing Log'!$I$5:$I$34,'Daily Writing Log'!$A$5:$A$34,$A485)</f>
        <v>0</v>
      </c>
      <c r="D485" s="122">
        <f>IF($C485&gt;=Config!$B$5,1,0)</f>
        <v>0</v>
      </c>
      <c r="E485" s="122">
        <f>IF(MONTH($A485)&lt;&gt;MONTH($A484),0,$G484)</f>
        <v>0</v>
      </c>
      <c r="F485" s="122">
        <f>IF(AND($D485=0,$H484&gt;0,$E485&lt;Config!$B$8,$A485&lt;Config!$A$2),1,0)</f>
        <v>0</v>
      </c>
      <c r="G485" s="122">
        <f>$E485+$F485</f>
        <v>0</v>
      </c>
      <c r="H485" s="122">
        <f>IF($D485=1,$H484+1,IF($F485=1,$H484,IF($A485=Config!$A$2,$H484,0)))</f>
        <v>0</v>
      </c>
      <c r="M485" s="123" t="n"/>
    </row>
    <row r="486">
      <c r="A486" s="120" t="str">
        <f>A485+1</f>
        <v>2026-02-10 00:00:00</v>
      </c>
      <c r="B486" s="121">
        <f>SUMIFS('Daily Writing Log'!$H$5:$H$34,'Daily Writing Log'!$A$5:$A$34,$A486)</f>
        <v>0</v>
      </c>
      <c r="C486" s="121">
        <f>SUMIFS('Daily Writing Log'!$I$5:$I$34,'Daily Writing Log'!$A$5:$A$34,$A486)</f>
        <v>0</v>
      </c>
      <c r="D486" s="122">
        <f>IF($C486&gt;=Config!$B$5,1,0)</f>
        <v>0</v>
      </c>
      <c r="E486" s="122">
        <f>IF(MONTH($A486)&lt;&gt;MONTH($A485),0,$G485)</f>
        <v>0</v>
      </c>
      <c r="F486" s="122">
        <f>IF(AND($D486=0,$H485&gt;0,$E486&lt;Config!$B$8,$A486&lt;Config!$A$2),1,0)</f>
        <v>0</v>
      </c>
      <c r="G486" s="122">
        <f>$E486+$F486</f>
        <v>0</v>
      </c>
      <c r="H486" s="122">
        <f>IF($D486=1,$H485+1,IF($F486=1,$H485,IF($A486=Config!$A$2,$H485,0)))</f>
        <v>0</v>
      </c>
      <c r="M486" s="123" t="n"/>
    </row>
    <row r="487">
      <c r="A487" s="120" t="str">
        <f>A486+1</f>
        <v>2026-02-11 00:00:00</v>
      </c>
      <c r="B487" s="121">
        <f>SUMIFS('Daily Writing Log'!$H$5:$H$34,'Daily Writing Log'!$A$5:$A$34,$A487)</f>
        <v>0</v>
      </c>
      <c r="C487" s="121">
        <f>SUMIFS('Daily Writing Log'!$I$5:$I$34,'Daily Writing Log'!$A$5:$A$34,$A487)</f>
        <v>0</v>
      </c>
      <c r="D487" s="122">
        <f>IF($C487&gt;=Config!$B$5,1,0)</f>
        <v>0</v>
      </c>
      <c r="E487" s="122">
        <f>IF(MONTH($A487)&lt;&gt;MONTH($A486),0,$G486)</f>
        <v>0</v>
      </c>
      <c r="F487" s="122">
        <f>IF(AND($D487=0,$H486&gt;0,$E487&lt;Config!$B$8,$A487&lt;Config!$A$2),1,0)</f>
        <v>0</v>
      </c>
      <c r="G487" s="122">
        <f>$E487+$F487</f>
        <v>0</v>
      </c>
      <c r="H487" s="122">
        <f>IF($D487=1,$H486+1,IF($F487=1,$H486,IF($A487=Config!$A$2,$H486,0)))</f>
        <v>0</v>
      </c>
      <c r="M487" s="123" t="n"/>
    </row>
    <row r="488">
      <c r="A488" s="120" t="str">
        <f>A487+1</f>
        <v>2026-02-12 00:00:00</v>
      </c>
      <c r="B488" s="121">
        <f>SUMIFS('Daily Writing Log'!$H$5:$H$34,'Daily Writing Log'!$A$5:$A$34,$A488)</f>
        <v>0</v>
      </c>
      <c r="C488" s="121">
        <f>SUMIFS('Daily Writing Log'!$I$5:$I$34,'Daily Writing Log'!$A$5:$A$34,$A488)</f>
        <v>0</v>
      </c>
      <c r="D488" s="122">
        <f>IF($C488&gt;=Config!$B$5,1,0)</f>
        <v>0</v>
      </c>
      <c r="E488" s="122">
        <f>IF(MONTH($A488)&lt;&gt;MONTH($A487),0,$G487)</f>
        <v>0</v>
      </c>
      <c r="F488" s="122">
        <f>IF(AND($D488=0,$H487&gt;0,$E488&lt;Config!$B$8,$A488&lt;Config!$A$2),1,0)</f>
        <v>0</v>
      </c>
      <c r="G488" s="122">
        <f>$E488+$F488</f>
        <v>0</v>
      </c>
      <c r="H488" s="122">
        <f>IF($D488=1,$H487+1,IF($F488=1,$H487,IF($A488=Config!$A$2,$H487,0)))</f>
        <v>0</v>
      </c>
      <c r="M488" s="123" t="n"/>
    </row>
    <row r="489">
      <c r="A489" s="120" t="str">
        <f>A488+1</f>
        <v>2026-02-13 00:00:00</v>
      </c>
      <c r="B489" s="121">
        <f>SUMIFS('Daily Writing Log'!$H$5:$H$34,'Daily Writing Log'!$A$5:$A$34,$A489)</f>
        <v>0</v>
      </c>
      <c r="C489" s="121">
        <f>SUMIFS('Daily Writing Log'!$I$5:$I$34,'Daily Writing Log'!$A$5:$A$34,$A489)</f>
        <v>0</v>
      </c>
      <c r="D489" s="122">
        <f>IF($C489&gt;=Config!$B$5,1,0)</f>
        <v>0</v>
      </c>
      <c r="E489" s="122">
        <f>IF(MONTH($A489)&lt;&gt;MONTH($A488),0,$G488)</f>
        <v>0</v>
      </c>
      <c r="F489" s="122">
        <f>IF(AND($D489=0,$H488&gt;0,$E489&lt;Config!$B$8,$A489&lt;Config!$A$2),1,0)</f>
        <v>0</v>
      </c>
      <c r="G489" s="122">
        <f>$E489+$F489</f>
        <v>0</v>
      </c>
      <c r="H489" s="122">
        <f>IF($D489=1,$H488+1,IF($F489=1,$H488,IF($A489=Config!$A$2,$H488,0)))</f>
        <v>0</v>
      </c>
      <c r="M489" s="123" t="n"/>
    </row>
    <row r="490">
      <c r="A490" s="120" t="str">
        <f>A489+1</f>
        <v>2026-02-14 00:00:00</v>
      </c>
      <c r="B490" s="121">
        <f>SUMIFS('Daily Writing Log'!$H$5:$H$34,'Daily Writing Log'!$A$5:$A$34,$A490)</f>
        <v>0</v>
      </c>
      <c r="C490" s="121">
        <f>SUMIFS('Daily Writing Log'!$I$5:$I$34,'Daily Writing Log'!$A$5:$A$34,$A490)</f>
        <v>0</v>
      </c>
      <c r="D490" s="122">
        <f>IF($C490&gt;=Config!$B$5,1,0)</f>
        <v>0</v>
      </c>
      <c r="E490" s="122">
        <f>IF(MONTH($A490)&lt;&gt;MONTH($A489),0,$G489)</f>
        <v>0</v>
      </c>
      <c r="F490" s="122">
        <f>IF(AND($D490=0,$H489&gt;0,$E490&lt;Config!$B$8,$A490&lt;Config!$A$2),1,0)</f>
        <v>0</v>
      </c>
      <c r="G490" s="122">
        <f>$E490+$F490</f>
        <v>0</v>
      </c>
      <c r="H490" s="122">
        <f>IF($D490=1,$H489+1,IF($F490=1,$H489,IF($A490=Config!$A$2,$H489,0)))</f>
        <v>0</v>
      </c>
      <c r="M490" s="123" t="n"/>
    </row>
    <row r="491">
      <c r="A491" s="120" t="str">
        <f>A490+1</f>
        <v>2026-02-15 00:00:00</v>
      </c>
      <c r="B491" s="121">
        <f>SUMIFS('Daily Writing Log'!$H$5:$H$34,'Daily Writing Log'!$A$5:$A$34,$A491)</f>
        <v>0</v>
      </c>
      <c r="C491" s="121">
        <f>SUMIFS('Daily Writing Log'!$I$5:$I$34,'Daily Writing Log'!$A$5:$A$34,$A491)</f>
        <v>0</v>
      </c>
      <c r="D491" s="122">
        <f>IF($C491&gt;=Config!$B$5,1,0)</f>
        <v>0</v>
      </c>
      <c r="E491" s="122">
        <f>IF(MONTH($A491)&lt;&gt;MONTH($A490),0,$G490)</f>
        <v>0</v>
      </c>
      <c r="F491" s="122">
        <f>IF(AND($D491=0,$H490&gt;0,$E491&lt;Config!$B$8,$A491&lt;Config!$A$2),1,0)</f>
        <v>0</v>
      </c>
      <c r="G491" s="122">
        <f>$E491+$F491</f>
        <v>0</v>
      </c>
      <c r="H491" s="122">
        <f>IF($D491=1,$H490+1,IF($F491=1,$H490,IF($A491=Config!$A$2,$H490,0)))</f>
        <v>0</v>
      </c>
      <c r="M491" s="123" t="n"/>
    </row>
    <row r="492">
      <c r="A492" s="120" t="str">
        <f>A491+1</f>
        <v>2026-02-16 00:00:00</v>
      </c>
      <c r="B492" s="121">
        <f>SUMIFS('Daily Writing Log'!$H$5:$H$34,'Daily Writing Log'!$A$5:$A$34,$A492)</f>
        <v>0</v>
      </c>
      <c r="C492" s="121">
        <f>SUMIFS('Daily Writing Log'!$I$5:$I$34,'Daily Writing Log'!$A$5:$A$34,$A492)</f>
        <v>0</v>
      </c>
      <c r="D492" s="122">
        <f>IF($C492&gt;=Config!$B$5,1,0)</f>
        <v>0</v>
      </c>
      <c r="E492" s="122">
        <f>IF(MONTH($A492)&lt;&gt;MONTH($A491),0,$G491)</f>
        <v>0</v>
      </c>
      <c r="F492" s="122">
        <f>IF(AND($D492=0,$H491&gt;0,$E492&lt;Config!$B$8,$A492&lt;Config!$A$2),1,0)</f>
        <v>0</v>
      </c>
      <c r="G492" s="122">
        <f>$E492+$F492</f>
        <v>0</v>
      </c>
      <c r="H492" s="122">
        <f>IF($D492=1,$H491+1,IF($F492=1,$H491,IF($A492=Config!$A$2,$H491,0)))</f>
        <v>0</v>
      </c>
      <c r="M492" s="123" t="n"/>
    </row>
    <row r="493">
      <c r="A493" s="120" t="str">
        <f>A492+1</f>
        <v>2026-02-17 00:00:00</v>
      </c>
      <c r="B493" s="121">
        <f>SUMIFS('Daily Writing Log'!$H$5:$H$34,'Daily Writing Log'!$A$5:$A$34,$A493)</f>
        <v>0</v>
      </c>
      <c r="C493" s="121">
        <f>SUMIFS('Daily Writing Log'!$I$5:$I$34,'Daily Writing Log'!$A$5:$A$34,$A493)</f>
        <v>0</v>
      </c>
      <c r="D493" s="122">
        <f>IF($C493&gt;=Config!$B$5,1,0)</f>
        <v>0</v>
      </c>
      <c r="E493" s="122">
        <f>IF(MONTH($A493)&lt;&gt;MONTH($A492),0,$G492)</f>
        <v>0</v>
      </c>
      <c r="F493" s="122">
        <f>IF(AND($D493=0,$H492&gt;0,$E493&lt;Config!$B$8,$A493&lt;Config!$A$2),1,0)</f>
        <v>0</v>
      </c>
      <c r="G493" s="122">
        <f>$E493+$F493</f>
        <v>0</v>
      </c>
      <c r="H493" s="122">
        <f>IF($D493=1,$H492+1,IF($F493=1,$H492,IF($A493=Config!$A$2,$H492,0)))</f>
        <v>0</v>
      </c>
      <c r="M493" s="123" t="n"/>
    </row>
    <row r="494">
      <c r="A494" s="120" t="str">
        <f>A493+1</f>
        <v>2026-02-18 00:00:00</v>
      </c>
      <c r="B494" s="121">
        <f>SUMIFS('Daily Writing Log'!$H$5:$H$34,'Daily Writing Log'!$A$5:$A$34,$A494)</f>
        <v>0</v>
      </c>
      <c r="C494" s="121">
        <f>SUMIFS('Daily Writing Log'!$I$5:$I$34,'Daily Writing Log'!$A$5:$A$34,$A494)</f>
        <v>0</v>
      </c>
      <c r="D494" s="122">
        <f>IF($C494&gt;=Config!$B$5,1,0)</f>
        <v>0</v>
      </c>
      <c r="E494" s="122">
        <f>IF(MONTH($A494)&lt;&gt;MONTH($A493),0,$G493)</f>
        <v>0</v>
      </c>
      <c r="F494" s="122">
        <f>IF(AND($D494=0,$H493&gt;0,$E494&lt;Config!$B$8,$A494&lt;Config!$A$2),1,0)</f>
        <v>0</v>
      </c>
      <c r="G494" s="122">
        <f>$E494+$F494</f>
        <v>0</v>
      </c>
      <c r="H494" s="122">
        <f>IF($D494=1,$H493+1,IF($F494=1,$H493,IF($A494=Config!$A$2,$H493,0)))</f>
        <v>0</v>
      </c>
      <c r="M494" s="123" t="n"/>
    </row>
    <row r="495">
      <c r="A495" s="120" t="str">
        <f>A494+1</f>
        <v>2026-02-19 00:00:00</v>
      </c>
      <c r="B495" s="121">
        <f>SUMIFS('Daily Writing Log'!$H$5:$H$34,'Daily Writing Log'!$A$5:$A$34,$A495)</f>
        <v>0</v>
      </c>
      <c r="C495" s="121">
        <f>SUMIFS('Daily Writing Log'!$I$5:$I$34,'Daily Writing Log'!$A$5:$A$34,$A495)</f>
        <v>0</v>
      </c>
      <c r="D495" s="122">
        <f>IF($C495&gt;=Config!$B$5,1,0)</f>
        <v>0</v>
      </c>
      <c r="E495" s="122">
        <f>IF(MONTH($A495)&lt;&gt;MONTH($A494),0,$G494)</f>
        <v>0</v>
      </c>
      <c r="F495" s="122">
        <f>IF(AND($D495=0,$H494&gt;0,$E495&lt;Config!$B$8,$A495&lt;Config!$A$2),1,0)</f>
        <v>0</v>
      </c>
      <c r="G495" s="122">
        <f>$E495+$F495</f>
        <v>0</v>
      </c>
      <c r="H495" s="122">
        <f>IF($D495=1,$H494+1,IF($F495=1,$H494,IF($A495=Config!$A$2,$H494,0)))</f>
        <v>0</v>
      </c>
      <c r="M495" s="123" t="n"/>
    </row>
    <row r="496">
      <c r="A496" s="120" t="str">
        <f>A495+1</f>
        <v>2026-02-20 00:00:00</v>
      </c>
      <c r="B496" s="121">
        <f>SUMIFS('Daily Writing Log'!$H$5:$H$34,'Daily Writing Log'!$A$5:$A$34,$A496)</f>
        <v>0</v>
      </c>
      <c r="C496" s="121">
        <f>SUMIFS('Daily Writing Log'!$I$5:$I$34,'Daily Writing Log'!$A$5:$A$34,$A496)</f>
        <v>0</v>
      </c>
      <c r="D496" s="122">
        <f>IF($C496&gt;=Config!$B$5,1,0)</f>
        <v>0</v>
      </c>
      <c r="E496" s="122">
        <f>IF(MONTH($A496)&lt;&gt;MONTH($A495),0,$G495)</f>
        <v>0</v>
      </c>
      <c r="F496" s="122">
        <f>IF(AND($D496=0,$H495&gt;0,$E496&lt;Config!$B$8,$A496&lt;Config!$A$2),1,0)</f>
        <v>0</v>
      </c>
      <c r="G496" s="122">
        <f>$E496+$F496</f>
        <v>0</v>
      </c>
      <c r="H496" s="122">
        <f>IF($D496=1,$H495+1,IF($F496=1,$H495,IF($A496=Config!$A$2,$H495,0)))</f>
        <v>0</v>
      </c>
      <c r="M496" s="123" t="n"/>
    </row>
    <row r="497">
      <c r="A497" s="120" t="str">
        <f>A496+1</f>
        <v>2026-02-21 00:00:00</v>
      </c>
      <c r="B497" s="121">
        <f>SUMIFS('Daily Writing Log'!$H$5:$H$34,'Daily Writing Log'!$A$5:$A$34,$A497)</f>
        <v>0</v>
      </c>
      <c r="C497" s="121">
        <f>SUMIFS('Daily Writing Log'!$I$5:$I$34,'Daily Writing Log'!$A$5:$A$34,$A497)</f>
        <v>0</v>
      </c>
      <c r="D497" s="122">
        <f>IF($C497&gt;=Config!$B$5,1,0)</f>
        <v>0</v>
      </c>
      <c r="E497" s="122">
        <f>IF(MONTH($A497)&lt;&gt;MONTH($A496),0,$G496)</f>
        <v>0</v>
      </c>
      <c r="F497" s="122">
        <f>IF(AND($D497=0,$H496&gt;0,$E497&lt;Config!$B$8,$A497&lt;Config!$A$2),1,0)</f>
        <v>0</v>
      </c>
      <c r="G497" s="122">
        <f>$E497+$F497</f>
        <v>0</v>
      </c>
      <c r="H497" s="122">
        <f>IF($D497=1,$H496+1,IF($F497=1,$H496,IF($A497=Config!$A$2,$H496,0)))</f>
        <v>0</v>
      </c>
      <c r="M497" s="123" t="n"/>
    </row>
    <row r="498">
      <c r="A498" s="120" t="str">
        <f>A497+1</f>
        <v>2026-02-22 00:00:00</v>
      </c>
      <c r="B498" s="121">
        <f>SUMIFS('Daily Writing Log'!$H$5:$H$34,'Daily Writing Log'!$A$5:$A$34,$A498)</f>
        <v>0</v>
      </c>
      <c r="C498" s="121">
        <f>SUMIFS('Daily Writing Log'!$I$5:$I$34,'Daily Writing Log'!$A$5:$A$34,$A498)</f>
        <v>0</v>
      </c>
      <c r="D498" s="122">
        <f>IF($C498&gt;=Config!$B$5,1,0)</f>
        <v>0</v>
      </c>
      <c r="E498" s="122">
        <f>IF(MONTH($A498)&lt;&gt;MONTH($A497),0,$G497)</f>
        <v>0</v>
      </c>
      <c r="F498" s="122">
        <f>IF(AND($D498=0,$H497&gt;0,$E498&lt;Config!$B$8,$A498&lt;Config!$A$2),1,0)</f>
        <v>0</v>
      </c>
      <c r="G498" s="122">
        <f>$E498+$F498</f>
        <v>0</v>
      </c>
      <c r="H498" s="122">
        <f>IF($D498=1,$H497+1,IF($F498=1,$H497,IF($A498=Config!$A$2,$H497,0)))</f>
        <v>0</v>
      </c>
      <c r="M498" s="123" t="n"/>
    </row>
    <row r="499">
      <c r="A499" s="120" t="str">
        <f>A498+1</f>
        <v>2026-02-23 00:00:00</v>
      </c>
      <c r="B499" s="121">
        <f>SUMIFS('Daily Writing Log'!$H$5:$H$34,'Daily Writing Log'!$A$5:$A$34,$A499)</f>
        <v>0</v>
      </c>
      <c r="C499" s="121">
        <f>SUMIFS('Daily Writing Log'!$I$5:$I$34,'Daily Writing Log'!$A$5:$A$34,$A499)</f>
        <v>0</v>
      </c>
      <c r="D499" s="122">
        <f>IF($C499&gt;=Config!$B$5,1,0)</f>
        <v>0</v>
      </c>
      <c r="E499" s="122">
        <f>IF(MONTH($A499)&lt;&gt;MONTH($A498),0,$G498)</f>
        <v>0</v>
      </c>
      <c r="F499" s="122">
        <f>IF(AND($D499=0,$H498&gt;0,$E499&lt;Config!$B$8,$A499&lt;Config!$A$2),1,0)</f>
        <v>0</v>
      </c>
      <c r="G499" s="122">
        <f>$E499+$F499</f>
        <v>0</v>
      </c>
      <c r="H499" s="122">
        <f>IF($D499=1,$H498+1,IF($F499=1,$H498,IF($A499=Config!$A$2,$H498,0)))</f>
        <v>0</v>
      </c>
      <c r="M499" s="123" t="n"/>
    </row>
    <row r="500">
      <c r="A500" s="120" t="str">
        <f>A499+1</f>
        <v>2026-02-24 00:00:00</v>
      </c>
      <c r="B500" s="121">
        <f>SUMIFS('Daily Writing Log'!$H$5:$H$34,'Daily Writing Log'!$A$5:$A$34,$A500)</f>
        <v>0</v>
      </c>
      <c r="C500" s="121">
        <f>SUMIFS('Daily Writing Log'!$I$5:$I$34,'Daily Writing Log'!$A$5:$A$34,$A500)</f>
        <v>0</v>
      </c>
      <c r="D500" s="122">
        <f>IF($C500&gt;=Config!$B$5,1,0)</f>
        <v>0</v>
      </c>
      <c r="E500" s="122">
        <f>IF(MONTH($A500)&lt;&gt;MONTH($A499),0,$G499)</f>
        <v>0</v>
      </c>
      <c r="F500" s="122">
        <f>IF(AND($D500=0,$H499&gt;0,$E500&lt;Config!$B$8,$A500&lt;Config!$A$2),1,0)</f>
        <v>0</v>
      </c>
      <c r="G500" s="122">
        <f>$E500+$F500</f>
        <v>0</v>
      </c>
      <c r="H500" s="122">
        <f>IF($D500=1,$H499+1,IF($F500=1,$H499,IF($A500=Config!$A$2,$H499,0)))</f>
        <v>0</v>
      </c>
      <c r="M500" s="123" t="n"/>
    </row>
    <row r="501">
      <c r="A501" s="120" t="str">
        <f>A500+1</f>
        <v>2026-02-25 00:00:00</v>
      </c>
      <c r="B501" s="121">
        <f>SUMIFS('Daily Writing Log'!$H$5:$H$34,'Daily Writing Log'!$A$5:$A$34,$A501)</f>
        <v>0</v>
      </c>
      <c r="C501" s="121">
        <f>SUMIFS('Daily Writing Log'!$I$5:$I$34,'Daily Writing Log'!$A$5:$A$34,$A501)</f>
        <v>0</v>
      </c>
      <c r="D501" s="122">
        <f>IF($C501&gt;=Config!$B$5,1,0)</f>
        <v>0</v>
      </c>
      <c r="E501" s="122">
        <f>IF(MONTH($A501)&lt;&gt;MONTH($A500),0,$G500)</f>
        <v>0</v>
      </c>
      <c r="F501" s="122">
        <f>IF(AND($D501=0,$H500&gt;0,$E501&lt;Config!$B$8,$A501&lt;Config!$A$2),1,0)</f>
        <v>0</v>
      </c>
      <c r="G501" s="122">
        <f>$E501+$F501</f>
        <v>0</v>
      </c>
      <c r="H501" s="122">
        <f>IF($D501=1,$H500+1,IF($F501=1,$H500,IF($A501=Config!$A$2,$H500,0)))</f>
        <v>0</v>
      </c>
      <c r="M501" s="123" t="n"/>
    </row>
    <row r="502">
      <c r="A502" s="120" t="str">
        <f>A501+1</f>
        <v>2026-02-26 00:00:00</v>
      </c>
      <c r="B502" s="121">
        <f>SUMIFS('Daily Writing Log'!$H$5:$H$34,'Daily Writing Log'!$A$5:$A$34,$A502)</f>
        <v>0</v>
      </c>
      <c r="C502" s="121">
        <f>SUMIFS('Daily Writing Log'!$I$5:$I$34,'Daily Writing Log'!$A$5:$A$34,$A502)</f>
        <v>0</v>
      </c>
      <c r="D502" s="122">
        <f>IF($C502&gt;=Config!$B$5,1,0)</f>
        <v>0</v>
      </c>
      <c r="E502" s="122">
        <f>IF(MONTH($A502)&lt;&gt;MONTH($A501),0,$G501)</f>
        <v>0</v>
      </c>
      <c r="F502" s="122">
        <f>IF(AND($D502=0,$H501&gt;0,$E502&lt;Config!$B$8,$A502&lt;Config!$A$2),1,0)</f>
        <v>0</v>
      </c>
      <c r="G502" s="122">
        <f>$E502+$F502</f>
        <v>0</v>
      </c>
      <c r="H502" s="122">
        <f>IF($D502=1,$H501+1,IF($F502=1,$H501,IF($A502=Config!$A$2,$H501,0)))</f>
        <v>0</v>
      </c>
      <c r="M502" s="123" t="n"/>
    </row>
    <row r="503">
      <c r="A503" s="120" t="str">
        <f>A502+1</f>
        <v>2026-02-27 00:00:00</v>
      </c>
      <c r="B503" s="121">
        <f>SUMIFS('Daily Writing Log'!$H$5:$H$34,'Daily Writing Log'!$A$5:$A$34,$A503)</f>
        <v>0</v>
      </c>
      <c r="C503" s="121">
        <f>SUMIFS('Daily Writing Log'!$I$5:$I$34,'Daily Writing Log'!$A$5:$A$34,$A503)</f>
        <v>0</v>
      </c>
      <c r="D503" s="122">
        <f>IF($C503&gt;=Config!$B$5,1,0)</f>
        <v>0</v>
      </c>
      <c r="E503" s="122">
        <f>IF(MONTH($A503)&lt;&gt;MONTH($A502),0,$G502)</f>
        <v>0</v>
      </c>
      <c r="F503" s="122">
        <f>IF(AND($D503=0,$H502&gt;0,$E503&lt;Config!$B$8,$A503&lt;Config!$A$2),1,0)</f>
        <v>0</v>
      </c>
      <c r="G503" s="122">
        <f>$E503+$F503</f>
        <v>0</v>
      </c>
      <c r="H503" s="122">
        <f>IF($D503=1,$H502+1,IF($F503=1,$H502,IF($A503=Config!$A$2,$H502,0)))</f>
        <v>0</v>
      </c>
      <c r="M503" s="123" t="n"/>
    </row>
    <row r="504">
      <c r="A504" s="120" t="str">
        <f>A503+1</f>
        <v>2026-02-28 00:00:00</v>
      </c>
      <c r="B504" s="121">
        <f>SUMIFS('Daily Writing Log'!$H$5:$H$34,'Daily Writing Log'!$A$5:$A$34,$A504)</f>
        <v>0</v>
      </c>
      <c r="C504" s="121">
        <f>SUMIFS('Daily Writing Log'!$I$5:$I$34,'Daily Writing Log'!$A$5:$A$34,$A504)</f>
        <v>0</v>
      </c>
      <c r="D504" s="122">
        <f>IF($C504&gt;=Config!$B$5,1,0)</f>
        <v>0</v>
      </c>
      <c r="E504" s="122">
        <f>IF(MONTH($A504)&lt;&gt;MONTH($A503),0,$G503)</f>
        <v>0</v>
      </c>
      <c r="F504" s="122">
        <f>IF(AND($D504=0,$H503&gt;0,$E504&lt;Config!$B$8,$A504&lt;Config!$A$2),1,0)</f>
        <v>0</v>
      </c>
      <c r="G504" s="122">
        <f>$E504+$F504</f>
        <v>0</v>
      </c>
      <c r="H504" s="122">
        <f>IF($D504=1,$H503+1,IF($F504=1,$H503,IF($A504=Config!$A$2,$H503,0)))</f>
        <v>0</v>
      </c>
      <c r="M504" s="123" t="n"/>
    </row>
    <row r="505">
      <c r="A505" s="120" t="str">
        <f>A504+1</f>
        <v>2026-03-01 00:00:00</v>
      </c>
      <c r="B505" s="121">
        <f>SUMIFS('Daily Writing Log'!$H$5:$H$34,'Daily Writing Log'!$A$5:$A$34,$A505)</f>
        <v>0</v>
      </c>
      <c r="C505" s="121">
        <f>SUMIFS('Daily Writing Log'!$I$5:$I$34,'Daily Writing Log'!$A$5:$A$34,$A505)</f>
        <v>0</v>
      </c>
      <c r="D505" s="122">
        <f>IF($C505&gt;=Config!$B$5,1,0)</f>
        <v>0</v>
      </c>
      <c r="E505" s="122">
        <f>IF(MONTH($A505)&lt;&gt;MONTH($A504),0,$G504)</f>
        <v>0</v>
      </c>
      <c r="F505" s="122">
        <f>IF(AND($D505=0,$H504&gt;0,$E505&lt;Config!$B$8,$A505&lt;Config!$A$2),1,0)</f>
        <v>0</v>
      </c>
      <c r="G505" s="122">
        <f>$E505+$F505</f>
        <v>0</v>
      </c>
      <c r="H505" s="122">
        <f>IF($D505=1,$H504+1,IF($F505=1,$H504,IF($A505=Config!$A$2,$H504,0)))</f>
        <v>0</v>
      </c>
      <c r="M505" s="123" t="n"/>
    </row>
    <row r="506">
      <c r="A506" s="120" t="str">
        <f>A505+1</f>
        <v>2026-03-02 00:00:00</v>
      </c>
      <c r="B506" s="121">
        <f>SUMIFS('Daily Writing Log'!$H$5:$H$34,'Daily Writing Log'!$A$5:$A$34,$A506)</f>
        <v>0</v>
      </c>
      <c r="C506" s="121">
        <f>SUMIFS('Daily Writing Log'!$I$5:$I$34,'Daily Writing Log'!$A$5:$A$34,$A506)</f>
        <v>0</v>
      </c>
      <c r="D506" s="122">
        <f>IF($C506&gt;=Config!$B$5,1,0)</f>
        <v>0</v>
      </c>
      <c r="E506" s="122">
        <f>IF(MONTH($A506)&lt;&gt;MONTH($A505),0,$G505)</f>
        <v>0</v>
      </c>
      <c r="F506" s="122">
        <f>IF(AND($D506=0,$H505&gt;0,$E506&lt;Config!$B$8,$A506&lt;Config!$A$2),1,0)</f>
        <v>0</v>
      </c>
      <c r="G506" s="122">
        <f>$E506+$F506</f>
        <v>0</v>
      </c>
      <c r="H506" s="122">
        <f>IF($D506=1,$H505+1,IF($F506=1,$H505,IF($A506=Config!$A$2,$H505,0)))</f>
        <v>0</v>
      </c>
      <c r="M506" s="123" t="n"/>
    </row>
    <row r="507">
      <c r="A507" s="120" t="str">
        <f>A506+1</f>
        <v>2026-03-03 00:00:00</v>
      </c>
      <c r="B507" s="121">
        <f>SUMIFS('Daily Writing Log'!$H$5:$H$34,'Daily Writing Log'!$A$5:$A$34,$A507)</f>
        <v>0</v>
      </c>
      <c r="C507" s="121">
        <f>SUMIFS('Daily Writing Log'!$I$5:$I$34,'Daily Writing Log'!$A$5:$A$34,$A507)</f>
        <v>0</v>
      </c>
      <c r="D507" s="122">
        <f>IF($C507&gt;=Config!$B$5,1,0)</f>
        <v>0</v>
      </c>
      <c r="E507" s="122">
        <f>IF(MONTH($A507)&lt;&gt;MONTH($A506),0,$G506)</f>
        <v>0</v>
      </c>
      <c r="F507" s="122">
        <f>IF(AND($D507=0,$H506&gt;0,$E507&lt;Config!$B$8,$A507&lt;Config!$A$2),1,0)</f>
        <v>0</v>
      </c>
      <c r="G507" s="122">
        <f>$E507+$F507</f>
        <v>0</v>
      </c>
      <c r="H507" s="122">
        <f>IF($D507=1,$H506+1,IF($F507=1,$H506,IF($A507=Config!$A$2,$H506,0)))</f>
        <v>0</v>
      </c>
      <c r="M507" s="123" t="n"/>
    </row>
    <row r="508">
      <c r="A508" s="120" t="str">
        <f>A507+1</f>
        <v>2026-03-04 00:00:00</v>
      </c>
      <c r="B508" s="121">
        <f>SUMIFS('Daily Writing Log'!$H$5:$H$34,'Daily Writing Log'!$A$5:$A$34,$A508)</f>
        <v>0</v>
      </c>
      <c r="C508" s="121">
        <f>SUMIFS('Daily Writing Log'!$I$5:$I$34,'Daily Writing Log'!$A$5:$A$34,$A508)</f>
        <v>0</v>
      </c>
      <c r="D508" s="122">
        <f>IF($C508&gt;=Config!$B$5,1,0)</f>
        <v>0</v>
      </c>
      <c r="E508" s="122">
        <f>IF(MONTH($A508)&lt;&gt;MONTH($A507),0,$G507)</f>
        <v>0</v>
      </c>
      <c r="F508" s="122">
        <f>IF(AND($D508=0,$H507&gt;0,$E508&lt;Config!$B$8,$A508&lt;Config!$A$2),1,0)</f>
        <v>0</v>
      </c>
      <c r="G508" s="122">
        <f>$E508+$F508</f>
        <v>0</v>
      </c>
      <c r="H508" s="122">
        <f>IF($D508=1,$H507+1,IF($F508=1,$H507,IF($A508=Config!$A$2,$H507,0)))</f>
        <v>0</v>
      </c>
      <c r="M508" s="123" t="n"/>
    </row>
    <row r="509">
      <c r="A509" s="120" t="str">
        <f>A508+1</f>
        <v>2026-03-05 00:00:00</v>
      </c>
      <c r="B509" s="121">
        <f>SUMIFS('Daily Writing Log'!$H$5:$H$34,'Daily Writing Log'!$A$5:$A$34,$A509)</f>
        <v>0</v>
      </c>
      <c r="C509" s="121">
        <f>SUMIFS('Daily Writing Log'!$I$5:$I$34,'Daily Writing Log'!$A$5:$A$34,$A509)</f>
        <v>0</v>
      </c>
      <c r="D509" s="122">
        <f>IF($C509&gt;=Config!$B$5,1,0)</f>
        <v>0</v>
      </c>
      <c r="E509" s="122">
        <f>IF(MONTH($A509)&lt;&gt;MONTH($A508),0,$G508)</f>
        <v>0</v>
      </c>
      <c r="F509" s="122">
        <f>IF(AND($D509=0,$H508&gt;0,$E509&lt;Config!$B$8,$A509&lt;Config!$A$2),1,0)</f>
        <v>0</v>
      </c>
      <c r="G509" s="122">
        <f>$E509+$F509</f>
        <v>0</v>
      </c>
      <c r="H509" s="122">
        <f>IF($D509=1,$H508+1,IF($F509=1,$H508,IF($A509=Config!$A$2,$H508,0)))</f>
        <v>0</v>
      </c>
      <c r="M509" s="123" t="n"/>
    </row>
    <row r="510">
      <c r="A510" s="120" t="str">
        <f>A509+1</f>
        <v>2026-03-06 00:00:00</v>
      </c>
      <c r="B510" s="121">
        <f>SUMIFS('Daily Writing Log'!$H$5:$H$34,'Daily Writing Log'!$A$5:$A$34,$A510)</f>
        <v>0</v>
      </c>
      <c r="C510" s="121">
        <f>SUMIFS('Daily Writing Log'!$I$5:$I$34,'Daily Writing Log'!$A$5:$A$34,$A510)</f>
        <v>0</v>
      </c>
      <c r="D510" s="122">
        <f>IF($C510&gt;=Config!$B$5,1,0)</f>
        <v>0</v>
      </c>
      <c r="E510" s="122">
        <f>IF(MONTH($A510)&lt;&gt;MONTH($A509),0,$G509)</f>
        <v>0</v>
      </c>
      <c r="F510" s="122">
        <f>IF(AND($D510=0,$H509&gt;0,$E510&lt;Config!$B$8,$A510&lt;Config!$A$2),1,0)</f>
        <v>0</v>
      </c>
      <c r="G510" s="122">
        <f>$E510+$F510</f>
        <v>0</v>
      </c>
      <c r="H510" s="122">
        <f>IF($D510=1,$H509+1,IF($F510=1,$H509,IF($A510=Config!$A$2,$H509,0)))</f>
        <v>0</v>
      </c>
      <c r="M510" s="123" t="n"/>
    </row>
    <row r="511">
      <c r="A511" s="120" t="str">
        <f>A510+1</f>
        <v>2026-03-07 00:00:00</v>
      </c>
      <c r="B511" s="121">
        <f>SUMIFS('Daily Writing Log'!$H$5:$H$34,'Daily Writing Log'!$A$5:$A$34,$A511)</f>
        <v>0</v>
      </c>
      <c r="C511" s="121">
        <f>SUMIFS('Daily Writing Log'!$I$5:$I$34,'Daily Writing Log'!$A$5:$A$34,$A511)</f>
        <v>0</v>
      </c>
      <c r="D511" s="122">
        <f>IF($C511&gt;=Config!$B$5,1,0)</f>
        <v>0</v>
      </c>
      <c r="E511" s="122">
        <f>IF(MONTH($A511)&lt;&gt;MONTH($A510),0,$G510)</f>
        <v>0</v>
      </c>
      <c r="F511" s="122">
        <f>IF(AND($D511=0,$H510&gt;0,$E511&lt;Config!$B$8,$A511&lt;Config!$A$2),1,0)</f>
        <v>0</v>
      </c>
      <c r="G511" s="122">
        <f>$E511+$F511</f>
        <v>0</v>
      </c>
      <c r="H511" s="122">
        <f>IF($D511=1,$H510+1,IF($F511=1,$H510,IF($A511=Config!$A$2,$H510,0)))</f>
        <v>0</v>
      </c>
      <c r="M511" s="123" t="n"/>
    </row>
    <row r="512">
      <c r="A512" s="120" t="str">
        <f>A511+1</f>
        <v>2026-03-08 00:00:00</v>
      </c>
      <c r="B512" s="121">
        <f>SUMIFS('Daily Writing Log'!$H$5:$H$34,'Daily Writing Log'!$A$5:$A$34,$A512)</f>
        <v>0</v>
      </c>
      <c r="C512" s="121">
        <f>SUMIFS('Daily Writing Log'!$I$5:$I$34,'Daily Writing Log'!$A$5:$A$34,$A512)</f>
        <v>0</v>
      </c>
      <c r="D512" s="122">
        <f>IF($C512&gt;=Config!$B$5,1,0)</f>
        <v>0</v>
      </c>
      <c r="E512" s="122">
        <f>IF(MONTH($A512)&lt;&gt;MONTH($A511),0,$G511)</f>
        <v>0</v>
      </c>
      <c r="F512" s="122">
        <f>IF(AND($D512=0,$H511&gt;0,$E512&lt;Config!$B$8,$A512&lt;Config!$A$2),1,0)</f>
        <v>0</v>
      </c>
      <c r="G512" s="122">
        <f>$E512+$F512</f>
        <v>0</v>
      </c>
      <c r="H512" s="122">
        <f>IF($D512=1,$H511+1,IF($F512=1,$H511,IF($A512=Config!$A$2,$H511,0)))</f>
        <v>0</v>
      </c>
      <c r="M512" s="123" t="n"/>
    </row>
    <row r="513">
      <c r="A513" s="120" t="str">
        <f>A512+1</f>
        <v>2026-03-09 00:00:00</v>
      </c>
      <c r="B513" s="121">
        <f>SUMIFS('Daily Writing Log'!$H$5:$H$34,'Daily Writing Log'!$A$5:$A$34,$A513)</f>
        <v>0</v>
      </c>
      <c r="C513" s="121">
        <f>SUMIFS('Daily Writing Log'!$I$5:$I$34,'Daily Writing Log'!$A$5:$A$34,$A513)</f>
        <v>0</v>
      </c>
      <c r="D513" s="122">
        <f>IF($C513&gt;=Config!$B$5,1,0)</f>
        <v>0</v>
      </c>
      <c r="E513" s="122">
        <f>IF(MONTH($A513)&lt;&gt;MONTH($A512),0,$G512)</f>
        <v>0</v>
      </c>
      <c r="F513" s="122">
        <f>IF(AND($D513=0,$H512&gt;0,$E513&lt;Config!$B$8,$A513&lt;Config!$A$2),1,0)</f>
        <v>0</v>
      </c>
      <c r="G513" s="122">
        <f>$E513+$F513</f>
        <v>0</v>
      </c>
      <c r="H513" s="122">
        <f>IF($D513=1,$H512+1,IF($F513=1,$H512,IF($A513=Config!$A$2,$H512,0)))</f>
        <v>0</v>
      </c>
      <c r="M513" s="123" t="n"/>
    </row>
    <row r="514">
      <c r="A514" s="120" t="str">
        <f>A513+1</f>
        <v>2026-03-10 00:00:00</v>
      </c>
      <c r="B514" s="121">
        <f>SUMIFS('Daily Writing Log'!$H$5:$H$34,'Daily Writing Log'!$A$5:$A$34,$A514)</f>
        <v>0</v>
      </c>
      <c r="C514" s="121">
        <f>SUMIFS('Daily Writing Log'!$I$5:$I$34,'Daily Writing Log'!$A$5:$A$34,$A514)</f>
        <v>0</v>
      </c>
      <c r="D514" s="122">
        <f>IF($C514&gt;=Config!$B$5,1,0)</f>
        <v>0</v>
      </c>
      <c r="E514" s="122">
        <f>IF(MONTH($A514)&lt;&gt;MONTH($A513),0,$G513)</f>
        <v>0</v>
      </c>
      <c r="F514" s="122">
        <f>IF(AND($D514=0,$H513&gt;0,$E514&lt;Config!$B$8,$A514&lt;Config!$A$2),1,0)</f>
        <v>0</v>
      </c>
      <c r="G514" s="122">
        <f>$E514+$F514</f>
        <v>0</v>
      </c>
      <c r="H514" s="122">
        <f>IF($D514=1,$H513+1,IF($F514=1,$H513,IF($A514=Config!$A$2,$H513,0)))</f>
        <v>0</v>
      </c>
      <c r="M514" s="123" t="n"/>
    </row>
    <row r="515">
      <c r="A515" s="120" t="str">
        <f>A514+1</f>
        <v>2026-03-11 00:00:00</v>
      </c>
      <c r="B515" s="121">
        <f>SUMIFS('Daily Writing Log'!$H$5:$H$34,'Daily Writing Log'!$A$5:$A$34,$A515)</f>
        <v>0</v>
      </c>
      <c r="C515" s="121">
        <f>SUMIFS('Daily Writing Log'!$I$5:$I$34,'Daily Writing Log'!$A$5:$A$34,$A515)</f>
        <v>0</v>
      </c>
      <c r="D515" s="122">
        <f>IF($C515&gt;=Config!$B$5,1,0)</f>
        <v>0</v>
      </c>
      <c r="E515" s="122">
        <f>IF(MONTH($A515)&lt;&gt;MONTH($A514),0,$G514)</f>
        <v>0</v>
      </c>
      <c r="F515" s="122">
        <f>IF(AND($D515=0,$H514&gt;0,$E515&lt;Config!$B$8,$A515&lt;Config!$A$2),1,0)</f>
        <v>0</v>
      </c>
      <c r="G515" s="122">
        <f>$E515+$F515</f>
        <v>0</v>
      </c>
      <c r="H515" s="122">
        <f>IF($D515=1,$H514+1,IF($F515=1,$H514,IF($A515=Config!$A$2,$H514,0)))</f>
        <v>0</v>
      </c>
      <c r="M515" s="123" t="n"/>
    </row>
    <row r="516">
      <c r="A516" s="120" t="str">
        <f>A515+1</f>
        <v>2026-03-12 00:00:00</v>
      </c>
      <c r="B516" s="121">
        <f>SUMIFS('Daily Writing Log'!$H$5:$H$34,'Daily Writing Log'!$A$5:$A$34,$A516)</f>
        <v>0</v>
      </c>
      <c r="C516" s="121">
        <f>SUMIFS('Daily Writing Log'!$I$5:$I$34,'Daily Writing Log'!$A$5:$A$34,$A516)</f>
        <v>0</v>
      </c>
      <c r="D516" s="122">
        <f>IF($C516&gt;=Config!$B$5,1,0)</f>
        <v>0</v>
      </c>
      <c r="E516" s="122">
        <f>IF(MONTH($A516)&lt;&gt;MONTH($A515),0,$G515)</f>
        <v>0</v>
      </c>
      <c r="F516" s="122">
        <f>IF(AND($D516=0,$H515&gt;0,$E516&lt;Config!$B$8,$A516&lt;Config!$A$2),1,0)</f>
        <v>0</v>
      </c>
      <c r="G516" s="122">
        <f>$E516+$F516</f>
        <v>0</v>
      </c>
      <c r="H516" s="122">
        <f>IF($D516=1,$H515+1,IF($F516=1,$H515,IF($A516=Config!$A$2,$H515,0)))</f>
        <v>0</v>
      </c>
      <c r="M516" s="123" t="n"/>
    </row>
    <row r="517">
      <c r="A517" s="120" t="str">
        <f>A516+1</f>
        <v>2026-03-13 00:00:00</v>
      </c>
      <c r="B517" s="121">
        <f>SUMIFS('Daily Writing Log'!$H$5:$H$34,'Daily Writing Log'!$A$5:$A$34,$A517)</f>
        <v>0</v>
      </c>
      <c r="C517" s="121">
        <f>SUMIFS('Daily Writing Log'!$I$5:$I$34,'Daily Writing Log'!$A$5:$A$34,$A517)</f>
        <v>0</v>
      </c>
      <c r="D517" s="122">
        <f>IF($C517&gt;=Config!$B$5,1,0)</f>
        <v>0</v>
      </c>
      <c r="E517" s="122">
        <f>IF(MONTH($A517)&lt;&gt;MONTH($A516),0,$G516)</f>
        <v>0</v>
      </c>
      <c r="F517" s="122">
        <f>IF(AND($D517=0,$H516&gt;0,$E517&lt;Config!$B$8,$A517&lt;Config!$A$2),1,0)</f>
        <v>0</v>
      </c>
      <c r="G517" s="122">
        <f>$E517+$F517</f>
        <v>0</v>
      </c>
      <c r="H517" s="122">
        <f>IF($D517=1,$H516+1,IF($F517=1,$H516,IF($A517=Config!$A$2,$H516,0)))</f>
        <v>0</v>
      </c>
      <c r="M517" s="123" t="n"/>
    </row>
    <row r="518">
      <c r="A518" s="120" t="str">
        <f>A517+1</f>
        <v>2026-03-14 00:00:00</v>
      </c>
      <c r="B518" s="121">
        <f>SUMIFS('Daily Writing Log'!$H$5:$H$34,'Daily Writing Log'!$A$5:$A$34,$A518)</f>
        <v>0</v>
      </c>
      <c r="C518" s="121">
        <f>SUMIFS('Daily Writing Log'!$I$5:$I$34,'Daily Writing Log'!$A$5:$A$34,$A518)</f>
        <v>0</v>
      </c>
      <c r="D518" s="122">
        <f>IF($C518&gt;=Config!$B$5,1,0)</f>
        <v>0</v>
      </c>
      <c r="E518" s="122">
        <f>IF(MONTH($A518)&lt;&gt;MONTH($A517),0,$G517)</f>
        <v>0</v>
      </c>
      <c r="F518" s="122">
        <f>IF(AND($D518=0,$H517&gt;0,$E518&lt;Config!$B$8,$A518&lt;Config!$A$2),1,0)</f>
        <v>0</v>
      </c>
      <c r="G518" s="122">
        <f>$E518+$F518</f>
        <v>0</v>
      </c>
      <c r="H518" s="122">
        <f>IF($D518=1,$H517+1,IF($F518=1,$H517,IF($A518=Config!$A$2,$H517,0)))</f>
        <v>0</v>
      </c>
      <c r="M518" s="123" t="n"/>
    </row>
    <row r="519">
      <c r="A519" s="120" t="str">
        <f>A518+1</f>
        <v>2026-03-15 00:00:00</v>
      </c>
      <c r="B519" s="121">
        <f>SUMIFS('Daily Writing Log'!$H$5:$H$34,'Daily Writing Log'!$A$5:$A$34,$A519)</f>
        <v>0</v>
      </c>
      <c r="C519" s="121">
        <f>SUMIFS('Daily Writing Log'!$I$5:$I$34,'Daily Writing Log'!$A$5:$A$34,$A519)</f>
        <v>0</v>
      </c>
      <c r="D519" s="122">
        <f>IF($C519&gt;=Config!$B$5,1,0)</f>
        <v>0</v>
      </c>
      <c r="E519" s="122">
        <f>IF(MONTH($A519)&lt;&gt;MONTH($A518),0,$G518)</f>
        <v>0</v>
      </c>
      <c r="F519" s="122">
        <f>IF(AND($D519=0,$H518&gt;0,$E519&lt;Config!$B$8,$A519&lt;Config!$A$2),1,0)</f>
        <v>0</v>
      </c>
      <c r="G519" s="122">
        <f>$E519+$F519</f>
        <v>0</v>
      </c>
      <c r="H519" s="122">
        <f>IF($D519=1,$H518+1,IF($F519=1,$H518,IF($A519=Config!$A$2,$H518,0)))</f>
        <v>0</v>
      </c>
      <c r="M519" s="123" t="n"/>
    </row>
    <row r="520">
      <c r="A520" s="120" t="str">
        <f>A519+1</f>
        <v>2026-03-16 00:00:00</v>
      </c>
      <c r="B520" s="121">
        <f>SUMIFS('Daily Writing Log'!$H$5:$H$34,'Daily Writing Log'!$A$5:$A$34,$A520)</f>
        <v>0</v>
      </c>
      <c r="C520" s="121">
        <f>SUMIFS('Daily Writing Log'!$I$5:$I$34,'Daily Writing Log'!$A$5:$A$34,$A520)</f>
        <v>0</v>
      </c>
      <c r="D520" s="122">
        <f>IF($C520&gt;=Config!$B$5,1,0)</f>
        <v>0</v>
      </c>
      <c r="E520" s="122">
        <f>IF(MONTH($A520)&lt;&gt;MONTH($A519),0,$G519)</f>
        <v>0</v>
      </c>
      <c r="F520" s="122">
        <f>IF(AND($D520=0,$H519&gt;0,$E520&lt;Config!$B$8,$A520&lt;Config!$A$2),1,0)</f>
        <v>0</v>
      </c>
      <c r="G520" s="122">
        <f>$E520+$F520</f>
        <v>0</v>
      </c>
      <c r="H520" s="122">
        <f>IF($D520=1,$H519+1,IF($F520=1,$H519,IF($A520=Config!$A$2,$H519,0)))</f>
        <v>0</v>
      </c>
      <c r="M520" s="123" t="n"/>
    </row>
    <row r="521">
      <c r="A521" s="120" t="str">
        <f>A520+1</f>
        <v>2026-03-17 00:00:00</v>
      </c>
      <c r="B521" s="121">
        <f>SUMIFS('Daily Writing Log'!$H$5:$H$34,'Daily Writing Log'!$A$5:$A$34,$A521)</f>
        <v>0</v>
      </c>
      <c r="C521" s="121">
        <f>SUMIFS('Daily Writing Log'!$I$5:$I$34,'Daily Writing Log'!$A$5:$A$34,$A521)</f>
        <v>0</v>
      </c>
      <c r="D521" s="122">
        <f>IF($C521&gt;=Config!$B$5,1,0)</f>
        <v>0</v>
      </c>
      <c r="E521" s="122">
        <f>IF(MONTH($A521)&lt;&gt;MONTH($A520),0,$G520)</f>
        <v>0</v>
      </c>
      <c r="F521" s="122">
        <f>IF(AND($D521=0,$H520&gt;0,$E521&lt;Config!$B$8,$A521&lt;Config!$A$2),1,0)</f>
        <v>0</v>
      </c>
      <c r="G521" s="122">
        <f>$E521+$F521</f>
        <v>0</v>
      </c>
      <c r="H521" s="122">
        <f>IF($D521=1,$H520+1,IF($F521=1,$H520,IF($A521=Config!$A$2,$H520,0)))</f>
        <v>0</v>
      </c>
      <c r="M521" s="123" t="n"/>
    </row>
    <row r="522">
      <c r="A522" s="120" t="str">
        <f>A521+1</f>
        <v>2026-03-18 00:00:00</v>
      </c>
      <c r="B522" s="121">
        <f>SUMIFS('Daily Writing Log'!$H$5:$H$34,'Daily Writing Log'!$A$5:$A$34,$A522)</f>
        <v>0</v>
      </c>
      <c r="C522" s="121">
        <f>SUMIFS('Daily Writing Log'!$I$5:$I$34,'Daily Writing Log'!$A$5:$A$34,$A522)</f>
        <v>0</v>
      </c>
      <c r="D522" s="122">
        <f>IF($C522&gt;=Config!$B$5,1,0)</f>
        <v>0</v>
      </c>
      <c r="E522" s="122">
        <f>IF(MONTH($A522)&lt;&gt;MONTH($A521),0,$G521)</f>
        <v>0</v>
      </c>
      <c r="F522" s="122">
        <f>IF(AND($D522=0,$H521&gt;0,$E522&lt;Config!$B$8,$A522&lt;Config!$A$2),1,0)</f>
        <v>0</v>
      </c>
      <c r="G522" s="122">
        <f>$E522+$F522</f>
        <v>0</v>
      </c>
      <c r="H522" s="122">
        <f>IF($D522=1,$H521+1,IF($F522=1,$H521,IF($A522=Config!$A$2,$H521,0)))</f>
        <v>0</v>
      </c>
      <c r="M522" s="123" t="n"/>
    </row>
    <row r="523">
      <c r="A523" s="120" t="str">
        <f>A522+1</f>
        <v>2026-03-19 00:00:00</v>
      </c>
      <c r="B523" s="121">
        <f>SUMIFS('Daily Writing Log'!$H$5:$H$34,'Daily Writing Log'!$A$5:$A$34,$A523)</f>
        <v>0</v>
      </c>
      <c r="C523" s="121">
        <f>SUMIFS('Daily Writing Log'!$I$5:$I$34,'Daily Writing Log'!$A$5:$A$34,$A523)</f>
        <v>0</v>
      </c>
      <c r="D523" s="122">
        <f>IF($C523&gt;=Config!$B$5,1,0)</f>
        <v>0</v>
      </c>
      <c r="E523" s="122">
        <f>IF(MONTH($A523)&lt;&gt;MONTH($A522),0,$G522)</f>
        <v>0</v>
      </c>
      <c r="F523" s="122">
        <f>IF(AND($D523=0,$H522&gt;0,$E523&lt;Config!$B$8,$A523&lt;Config!$A$2),1,0)</f>
        <v>0</v>
      </c>
      <c r="G523" s="122">
        <f>$E523+$F523</f>
        <v>0</v>
      </c>
      <c r="H523" s="122">
        <f>IF($D523=1,$H522+1,IF($F523=1,$H522,IF($A523=Config!$A$2,$H522,0)))</f>
        <v>0</v>
      </c>
      <c r="M523" s="123" t="n"/>
    </row>
    <row r="524">
      <c r="A524" s="120" t="str">
        <f>A523+1</f>
        <v>2026-03-20 00:00:00</v>
      </c>
      <c r="B524" s="121">
        <f>SUMIFS('Daily Writing Log'!$H$5:$H$34,'Daily Writing Log'!$A$5:$A$34,$A524)</f>
        <v>0</v>
      </c>
      <c r="C524" s="121">
        <f>SUMIFS('Daily Writing Log'!$I$5:$I$34,'Daily Writing Log'!$A$5:$A$34,$A524)</f>
        <v>0</v>
      </c>
      <c r="D524" s="122">
        <f>IF($C524&gt;=Config!$B$5,1,0)</f>
        <v>0</v>
      </c>
      <c r="E524" s="122">
        <f>IF(MONTH($A524)&lt;&gt;MONTH($A523),0,$G523)</f>
        <v>0</v>
      </c>
      <c r="F524" s="122">
        <f>IF(AND($D524=0,$H523&gt;0,$E524&lt;Config!$B$8,$A524&lt;Config!$A$2),1,0)</f>
        <v>0</v>
      </c>
      <c r="G524" s="122">
        <f>$E524+$F524</f>
        <v>0</v>
      </c>
      <c r="H524" s="122">
        <f>IF($D524=1,$H523+1,IF($F524=1,$H523,IF($A524=Config!$A$2,$H523,0)))</f>
        <v>0</v>
      </c>
      <c r="M524" s="123" t="n"/>
    </row>
    <row r="525">
      <c r="A525" s="120" t="str">
        <f>A524+1</f>
        <v>2026-03-21 00:00:00</v>
      </c>
      <c r="B525" s="121">
        <f>SUMIFS('Daily Writing Log'!$H$5:$H$34,'Daily Writing Log'!$A$5:$A$34,$A525)</f>
        <v>0</v>
      </c>
      <c r="C525" s="121">
        <f>SUMIFS('Daily Writing Log'!$I$5:$I$34,'Daily Writing Log'!$A$5:$A$34,$A525)</f>
        <v>0</v>
      </c>
      <c r="D525" s="122">
        <f>IF($C525&gt;=Config!$B$5,1,0)</f>
        <v>0</v>
      </c>
      <c r="E525" s="122">
        <f>IF(MONTH($A525)&lt;&gt;MONTH($A524),0,$G524)</f>
        <v>0</v>
      </c>
      <c r="F525" s="122">
        <f>IF(AND($D525=0,$H524&gt;0,$E525&lt;Config!$B$8,$A525&lt;Config!$A$2),1,0)</f>
        <v>0</v>
      </c>
      <c r="G525" s="122">
        <f>$E525+$F525</f>
        <v>0</v>
      </c>
      <c r="H525" s="122">
        <f>IF($D525=1,$H524+1,IF($F525=1,$H524,IF($A525=Config!$A$2,$H524,0)))</f>
        <v>0</v>
      </c>
      <c r="M525" s="123" t="n"/>
    </row>
    <row r="526">
      <c r="A526" s="120" t="str">
        <f>A525+1</f>
        <v>2026-03-22 00:00:00</v>
      </c>
      <c r="B526" s="121">
        <f>SUMIFS('Daily Writing Log'!$H$5:$H$34,'Daily Writing Log'!$A$5:$A$34,$A526)</f>
        <v>0</v>
      </c>
      <c r="C526" s="121">
        <f>SUMIFS('Daily Writing Log'!$I$5:$I$34,'Daily Writing Log'!$A$5:$A$34,$A526)</f>
        <v>0</v>
      </c>
      <c r="D526" s="122">
        <f>IF($C526&gt;=Config!$B$5,1,0)</f>
        <v>0</v>
      </c>
      <c r="E526" s="122">
        <f>IF(MONTH($A526)&lt;&gt;MONTH($A525),0,$G525)</f>
        <v>0</v>
      </c>
      <c r="F526" s="122">
        <f>IF(AND($D526=0,$H525&gt;0,$E526&lt;Config!$B$8,$A526&lt;Config!$A$2),1,0)</f>
        <v>0</v>
      </c>
      <c r="G526" s="122">
        <f>$E526+$F526</f>
        <v>0</v>
      </c>
      <c r="H526" s="122">
        <f>IF($D526=1,$H525+1,IF($F526=1,$H525,IF($A526=Config!$A$2,$H525,0)))</f>
        <v>0</v>
      </c>
      <c r="M526" s="123" t="n"/>
    </row>
    <row r="527">
      <c r="A527" s="120" t="str">
        <f>A526+1</f>
        <v>2026-03-23 00:00:00</v>
      </c>
      <c r="B527" s="121">
        <f>SUMIFS('Daily Writing Log'!$H$5:$H$34,'Daily Writing Log'!$A$5:$A$34,$A527)</f>
        <v>0</v>
      </c>
      <c r="C527" s="121">
        <f>SUMIFS('Daily Writing Log'!$I$5:$I$34,'Daily Writing Log'!$A$5:$A$34,$A527)</f>
        <v>0</v>
      </c>
      <c r="D527" s="122">
        <f>IF($C527&gt;=Config!$B$5,1,0)</f>
        <v>0</v>
      </c>
      <c r="E527" s="122">
        <f>IF(MONTH($A527)&lt;&gt;MONTH($A526),0,$G526)</f>
        <v>0</v>
      </c>
      <c r="F527" s="122">
        <f>IF(AND($D527=0,$H526&gt;0,$E527&lt;Config!$B$8,$A527&lt;Config!$A$2),1,0)</f>
        <v>0</v>
      </c>
      <c r="G527" s="122">
        <f>$E527+$F527</f>
        <v>0</v>
      </c>
      <c r="H527" s="122">
        <f>IF($D527=1,$H526+1,IF($F527=1,$H526,IF($A527=Config!$A$2,$H526,0)))</f>
        <v>0</v>
      </c>
      <c r="M527" s="123" t="n"/>
    </row>
    <row r="528">
      <c r="A528" s="120" t="str">
        <f>A527+1</f>
        <v>2026-03-24 00:00:00</v>
      </c>
      <c r="B528" s="121">
        <f>SUMIFS('Daily Writing Log'!$H$5:$H$34,'Daily Writing Log'!$A$5:$A$34,$A528)</f>
        <v>0</v>
      </c>
      <c r="C528" s="121">
        <f>SUMIFS('Daily Writing Log'!$I$5:$I$34,'Daily Writing Log'!$A$5:$A$34,$A528)</f>
        <v>0</v>
      </c>
      <c r="D528" s="122">
        <f>IF($C528&gt;=Config!$B$5,1,0)</f>
        <v>0</v>
      </c>
      <c r="E528" s="122">
        <f>IF(MONTH($A528)&lt;&gt;MONTH($A527),0,$G527)</f>
        <v>0</v>
      </c>
      <c r="F528" s="122">
        <f>IF(AND($D528=0,$H527&gt;0,$E528&lt;Config!$B$8,$A528&lt;Config!$A$2),1,0)</f>
        <v>0</v>
      </c>
      <c r="G528" s="122">
        <f>$E528+$F528</f>
        <v>0</v>
      </c>
      <c r="H528" s="122">
        <f>IF($D528=1,$H527+1,IF($F528=1,$H527,IF($A528=Config!$A$2,$H527,0)))</f>
        <v>0</v>
      </c>
      <c r="M528" s="123" t="n"/>
    </row>
    <row r="529">
      <c r="A529" s="120" t="str">
        <f>A528+1</f>
        <v>2026-03-25 00:00:00</v>
      </c>
      <c r="B529" s="121">
        <f>SUMIFS('Daily Writing Log'!$H$5:$H$34,'Daily Writing Log'!$A$5:$A$34,$A529)</f>
        <v>0</v>
      </c>
      <c r="C529" s="121">
        <f>SUMIFS('Daily Writing Log'!$I$5:$I$34,'Daily Writing Log'!$A$5:$A$34,$A529)</f>
        <v>0</v>
      </c>
      <c r="D529" s="122">
        <f>IF($C529&gt;=Config!$B$5,1,0)</f>
        <v>0</v>
      </c>
      <c r="E529" s="122">
        <f>IF(MONTH($A529)&lt;&gt;MONTH($A528),0,$G528)</f>
        <v>0</v>
      </c>
      <c r="F529" s="122">
        <f>IF(AND($D529=0,$H528&gt;0,$E529&lt;Config!$B$8,$A529&lt;Config!$A$2),1,0)</f>
        <v>0</v>
      </c>
      <c r="G529" s="122">
        <f>$E529+$F529</f>
        <v>0</v>
      </c>
      <c r="H529" s="122">
        <f>IF($D529=1,$H528+1,IF($F529=1,$H528,IF($A529=Config!$A$2,$H528,0)))</f>
        <v>0</v>
      </c>
      <c r="M529" s="123" t="n"/>
    </row>
    <row r="530">
      <c r="A530" s="120" t="str">
        <f>A529+1</f>
        <v>2026-03-26 00:00:00</v>
      </c>
      <c r="B530" s="121">
        <f>SUMIFS('Daily Writing Log'!$H$5:$H$34,'Daily Writing Log'!$A$5:$A$34,$A530)</f>
        <v>0</v>
      </c>
      <c r="C530" s="121">
        <f>SUMIFS('Daily Writing Log'!$I$5:$I$34,'Daily Writing Log'!$A$5:$A$34,$A530)</f>
        <v>0</v>
      </c>
      <c r="D530" s="122">
        <f>IF($C530&gt;=Config!$B$5,1,0)</f>
        <v>0</v>
      </c>
      <c r="E530" s="122">
        <f>IF(MONTH($A530)&lt;&gt;MONTH($A529),0,$G529)</f>
        <v>0</v>
      </c>
      <c r="F530" s="122">
        <f>IF(AND($D530=0,$H529&gt;0,$E530&lt;Config!$B$8,$A530&lt;Config!$A$2),1,0)</f>
        <v>0</v>
      </c>
      <c r="G530" s="122">
        <f>$E530+$F530</f>
        <v>0</v>
      </c>
      <c r="H530" s="122">
        <f>IF($D530=1,$H529+1,IF($F530=1,$H529,IF($A530=Config!$A$2,$H529,0)))</f>
        <v>0</v>
      </c>
      <c r="M530" s="123" t="n"/>
    </row>
    <row r="531">
      <c r="A531" s="120" t="str">
        <f>A530+1</f>
        <v>2026-03-27 00:00:00</v>
      </c>
      <c r="B531" s="121">
        <f>SUMIFS('Daily Writing Log'!$H$5:$H$34,'Daily Writing Log'!$A$5:$A$34,$A531)</f>
        <v>0</v>
      </c>
      <c r="C531" s="121">
        <f>SUMIFS('Daily Writing Log'!$I$5:$I$34,'Daily Writing Log'!$A$5:$A$34,$A531)</f>
        <v>0</v>
      </c>
      <c r="D531" s="122">
        <f>IF($C531&gt;=Config!$B$5,1,0)</f>
        <v>0</v>
      </c>
      <c r="E531" s="122">
        <f>IF(MONTH($A531)&lt;&gt;MONTH($A530),0,$G530)</f>
        <v>0</v>
      </c>
      <c r="F531" s="122">
        <f>IF(AND($D531=0,$H530&gt;0,$E531&lt;Config!$B$8,$A531&lt;Config!$A$2),1,0)</f>
        <v>0</v>
      </c>
      <c r="G531" s="122">
        <f>$E531+$F531</f>
        <v>0</v>
      </c>
      <c r="H531" s="122">
        <f>IF($D531=1,$H530+1,IF($F531=1,$H530,IF($A531=Config!$A$2,$H530,0)))</f>
        <v>0</v>
      </c>
      <c r="M531" s="123" t="n"/>
    </row>
    <row r="532">
      <c r="A532" s="120" t="str">
        <f>A531+1</f>
        <v>2026-03-28 00:00:00</v>
      </c>
      <c r="B532" s="121">
        <f>SUMIFS('Daily Writing Log'!$H$5:$H$34,'Daily Writing Log'!$A$5:$A$34,$A532)</f>
        <v>0</v>
      </c>
      <c r="C532" s="121">
        <f>SUMIFS('Daily Writing Log'!$I$5:$I$34,'Daily Writing Log'!$A$5:$A$34,$A532)</f>
        <v>0</v>
      </c>
      <c r="D532" s="122">
        <f>IF($C532&gt;=Config!$B$5,1,0)</f>
        <v>0</v>
      </c>
      <c r="E532" s="122">
        <f>IF(MONTH($A532)&lt;&gt;MONTH($A531),0,$G531)</f>
        <v>0</v>
      </c>
      <c r="F532" s="122">
        <f>IF(AND($D532=0,$H531&gt;0,$E532&lt;Config!$B$8,$A532&lt;Config!$A$2),1,0)</f>
        <v>0</v>
      </c>
      <c r="G532" s="122">
        <f>$E532+$F532</f>
        <v>0</v>
      </c>
      <c r="H532" s="122">
        <f>IF($D532=1,$H531+1,IF($F532=1,$H531,IF($A532=Config!$A$2,$H531,0)))</f>
        <v>0</v>
      </c>
      <c r="M532" s="123" t="n"/>
    </row>
    <row r="533">
      <c r="A533" s="120" t="str">
        <f>A532+1</f>
        <v>2026-03-29 00:00:00</v>
      </c>
      <c r="B533" s="121">
        <f>SUMIFS('Daily Writing Log'!$H$5:$H$34,'Daily Writing Log'!$A$5:$A$34,$A533)</f>
        <v>0</v>
      </c>
      <c r="C533" s="121">
        <f>SUMIFS('Daily Writing Log'!$I$5:$I$34,'Daily Writing Log'!$A$5:$A$34,$A533)</f>
        <v>0</v>
      </c>
      <c r="D533" s="122">
        <f>IF($C533&gt;=Config!$B$5,1,0)</f>
        <v>0</v>
      </c>
      <c r="E533" s="122">
        <f>IF(MONTH($A533)&lt;&gt;MONTH($A532),0,$G532)</f>
        <v>0</v>
      </c>
      <c r="F533" s="122">
        <f>IF(AND($D533=0,$H532&gt;0,$E533&lt;Config!$B$8,$A533&lt;Config!$A$2),1,0)</f>
        <v>0</v>
      </c>
      <c r="G533" s="122">
        <f>$E533+$F533</f>
        <v>0</v>
      </c>
      <c r="H533" s="122">
        <f>IF($D533=1,$H532+1,IF($F533=1,$H532,IF($A533=Config!$A$2,$H532,0)))</f>
        <v>0</v>
      </c>
      <c r="M533" s="123" t="n"/>
    </row>
    <row r="534">
      <c r="A534" s="120" t="str">
        <f>A533+1</f>
        <v>2026-03-30 00:00:00</v>
      </c>
      <c r="B534" s="121">
        <f>SUMIFS('Daily Writing Log'!$H$5:$H$34,'Daily Writing Log'!$A$5:$A$34,$A534)</f>
        <v>0</v>
      </c>
      <c r="C534" s="121">
        <f>SUMIFS('Daily Writing Log'!$I$5:$I$34,'Daily Writing Log'!$A$5:$A$34,$A534)</f>
        <v>0</v>
      </c>
      <c r="D534" s="122">
        <f>IF($C534&gt;=Config!$B$5,1,0)</f>
        <v>0</v>
      </c>
      <c r="E534" s="122">
        <f>IF(MONTH($A534)&lt;&gt;MONTH($A533),0,$G533)</f>
        <v>0</v>
      </c>
      <c r="F534" s="122">
        <f>IF(AND($D534=0,$H533&gt;0,$E534&lt;Config!$B$8,$A534&lt;Config!$A$2),1,0)</f>
        <v>0</v>
      </c>
      <c r="G534" s="122">
        <f>$E534+$F534</f>
        <v>0</v>
      </c>
      <c r="H534" s="122">
        <f>IF($D534=1,$H533+1,IF($F534=1,$H533,IF($A534=Config!$A$2,$H533,0)))</f>
        <v>0</v>
      </c>
      <c r="M534" s="123" t="n"/>
    </row>
    <row r="535">
      <c r="A535" s="120" t="str">
        <f>A534+1</f>
        <v>2026-03-31 00:00:00</v>
      </c>
      <c r="B535" s="121">
        <f>SUMIFS('Daily Writing Log'!$H$5:$H$34,'Daily Writing Log'!$A$5:$A$34,$A535)</f>
        <v>0</v>
      </c>
      <c r="C535" s="121">
        <f>SUMIFS('Daily Writing Log'!$I$5:$I$34,'Daily Writing Log'!$A$5:$A$34,$A535)</f>
        <v>0</v>
      </c>
      <c r="D535" s="122">
        <f>IF($C535&gt;=Config!$B$5,1,0)</f>
        <v>0</v>
      </c>
      <c r="E535" s="122">
        <f>IF(MONTH($A535)&lt;&gt;MONTH($A534),0,$G534)</f>
        <v>0</v>
      </c>
      <c r="F535" s="122">
        <f>IF(AND($D535=0,$H534&gt;0,$E535&lt;Config!$B$8,$A535&lt;Config!$A$2),1,0)</f>
        <v>0</v>
      </c>
      <c r="G535" s="122">
        <f>$E535+$F535</f>
        <v>0</v>
      </c>
      <c r="H535" s="122">
        <f>IF($D535=1,$H534+1,IF($F535=1,$H534,IF($A535=Config!$A$2,$H534,0)))</f>
        <v>0</v>
      </c>
      <c r="M535" s="123" t="n"/>
    </row>
    <row r="536">
      <c r="A536" s="120" t="str">
        <f>A535+1</f>
        <v>2026-04-01 00:00:00</v>
      </c>
      <c r="B536" s="121">
        <f>SUMIFS('Daily Writing Log'!$H$5:$H$34,'Daily Writing Log'!$A$5:$A$34,$A536)</f>
        <v>0</v>
      </c>
      <c r="C536" s="121">
        <f>SUMIFS('Daily Writing Log'!$I$5:$I$34,'Daily Writing Log'!$A$5:$A$34,$A536)</f>
        <v>0</v>
      </c>
      <c r="D536" s="122">
        <f>IF($C536&gt;=Config!$B$5,1,0)</f>
        <v>0</v>
      </c>
      <c r="E536" s="122">
        <f>IF(MONTH($A536)&lt;&gt;MONTH($A535),0,$G535)</f>
        <v>0</v>
      </c>
      <c r="F536" s="122">
        <f>IF(AND($D536=0,$H535&gt;0,$E536&lt;Config!$B$8,$A536&lt;Config!$A$2),1,0)</f>
        <v>0</v>
      </c>
      <c r="G536" s="122">
        <f>$E536+$F536</f>
        <v>0</v>
      </c>
      <c r="H536" s="122">
        <f>IF($D536=1,$H535+1,IF($F536=1,$H535,IF($A536=Config!$A$2,$H535,0)))</f>
        <v>0</v>
      </c>
      <c r="M536" s="123" t="n"/>
    </row>
    <row r="537">
      <c r="A537" s="120" t="str">
        <f>A536+1</f>
        <v>2026-04-02 00:00:00</v>
      </c>
      <c r="B537" s="121">
        <f>SUMIFS('Daily Writing Log'!$H$5:$H$34,'Daily Writing Log'!$A$5:$A$34,$A537)</f>
        <v>0</v>
      </c>
      <c r="C537" s="121">
        <f>SUMIFS('Daily Writing Log'!$I$5:$I$34,'Daily Writing Log'!$A$5:$A$34,$A537)</f>
        <v>0</v>
      </c>
      <c r="D537" s="122">
        <f>IF($C537&gt;=Config!$B$5,1,0)</f>
        <v>0</v>
      </c>
      <c r="E537" s="122">
        <f>IF(MONTH($A537)&lt;&gt;MONTH($A536),0,$G536)</f>
        <v>0</v>
      </c>
      <c r="F537" s="122">
        <f>IF(AND($D537=0,$H536&gt;0,$E537&lt;Config!$B$8,$A537&lt;Config!$A$2),1,0)</f>
        <v>0</v>
      </c>
      <c r="G537" s="122">
        <f>$E537+$F537</f>
        <v>0</v>
      </c>
      <c r="H537" s="122">
        <f>IF($D537=1,$H536+1,IF($F537=1,$H536,IF($A537=Config!$A$2,$H536,0)))</f>
        <v>0</v>
      </c>
      <c r="M537" s="123" t="n"/>
    </row>
    <row r="538">
      <c r="A538" s="120" t="str">
        <f>A537+1</f>
        <v>2026-04-03 00:00:00</v>
      </c>
      <c r="B538" s="121">
        <f>SUMIFS('Daily Writing Log'!$H$5:$H$34,'Daily Writing Log'!$A$5:$A$34,$A538)</f>
        <v>0</v>
      </c>
      <c r="C538" s="121">
        <f>SUMIFS('Daily Writing Log'!$I$5:$I$34,'Daily Writing Log'!$A$5:$A$34,$A538)</f>
        <v>0</v>
      </c>
      <c r="D538" s="122">
        <f>IF($C538&gt;=Config!$B$5,1,0)</f>
        <v>0</v>
      </c>
      <c r="E538" s="122">
        <f>IF(MONTH($A538)&lt;&gt;MONTH($A537),0,$G537)</f>
        <v>0</v>
      </c>
      <c r="F538" s="122">
        <f>IF(AND($D538=0,$H537&gt;0,$E538&lt;Config!$B$8,$A538&lt;Config!$A$2),1,0)</f>
        <v>0</v>
      </c>
      <c r="G538" s="122">
        <f>$E538+$F538</f>
        <v>0</v>
      </c>
      <c r="H538" s="122">
        <f>IF($D538=1,$H537+1,IF($F538=1,$H537,IF($A538=Config!$A$2,$H537,0)))</f>
        <v>0</v>
      </c>
      <c r="M538" s="123" t="n"/>
    </row>
    <row r="539">
      <c r="A539" s="120" t="str">
        <f>A538+1</f>
        <v>2026-04-04 00:00:00</v>
      </c>
      <c r="B539" s="121">
        <f>SUMIFS('Daily Writing Log'!$H$5:$H$34,'Daily Writing Log'!$A$5:$A$34,$A539)</f>
        <v>0</v>
      </c>
      <c r="C539" s="121">
        <f>SUMIFS('Daily Writing Log'!$I$5:$I$34,'Daily Writing Log'!$A$5:$A$34,$A539)</f>
        <v>0</v>
      </c>
      <c r="D539" s="122">
        <f>IF($C539&gt;=Config!$B$5,1,0)</f>
        <v>0</v>
      </c>
      <c r="E539" s="122">
        <f>IF(MONTH($A539)&lt;&gt;MONTH($A538),0,$G538)</f>
        <v>0</v>
      </c>
      <c r="F539" s="122">
        <f>IF(AND($D539=0,$H538&gt;0,$E539&lt;Config!$B$8,$A539&lt;Config!$A$2),1,0)</f>
        <v>0</v>
      </c>
      <c r="G539" s="122">
        <f>$E539+$F539</f>
        <v>0</v>
      </c>
      <c r="H539" s="122">
        <f>IF($D539=1,$H538+1,IF($F539=1,$H538,IF($A539=Config!$A$2,$H538,0)))</f>
        <v>0</v>
      </c>
      <c r="M539" s="123" t="n"/>
    </row>
    <row r="540">
      <c r="A540" s="120" t="str">
        <f>A539+1</f>
        <v>2026-04-05 00:00:00</v>
      </c>
      <c r="B540" s="121">
        <f>SUMIFS('Daily Writing Log'!$H$5:$H$34,'Daily Writing Log'!$A$5:$A$34,$A540)</f>
        <v>0</v>
      </c>
      <c r="C540" s="121">
        <f>SUMIFS('Daily Writing Log'!$I$5:$I$34,'Daily Writing Log'!$A$5:$A$34,$A540)</f>
        <v>0</v>
      </c>
      <c r="D540" s="122">
        <f>IF($C540&gt;=Config!$B$5,1,0)</f>
        <v>0</v>
      </c>
      <c r="E540" s="122">
        <f>IF(MONTH($A540)&lt;&gt;MONTH($A539),0,$G539)</f>
        <v>0</v>
      </c>
      <c r="F540" s="122">
        <f>IF(AND($D540=0,$H539&gt;0,$E540&lt;Config!$B$8,$A540&lt;Config!$A$2),1,0)</f>
        <v>0</v>
      </c>
      <c r="G540" s="122">
        <f>$E540+$F540</f>
        <v>0</v>
      </c>
      <c r="H540" s="122">
        <f>IF($D540=1,$H539+1,IF($F540=1,$H539,IF($A540=Config!$A$2,$H539,0)))</f>
        <v>0</v>
      </c>
      <c r="M540" s="123" t="n"/>
    </row>
    <row r="541">
      <c r="A541" s="120" t="str">
        <f>A540+1</f>
        <v>2026-04-06 00:00:00</v>
      </c>
      <c r="B541" s="121">
        <f>SUMIFS('Daily Writing Log'!$H$5:$H$34,'Daily Writing Log'!$A$5:$A$34,$A541)</f>
        <v>0</v>
      </c>
      <c r="C541" s="121">
        <f>SUMIFS('Daily Writing Log'!$I$5:$I$34,'Daily Writing Log'!$A$5:$A$34,$A541)</f>
        <v>0</v>
      </c>
      <c r="D541" s="122">
        <f>IF($C541&gt;=Config!$B$5,1,0)</f>
        <v>0</v>
      </c>
      <c r="E541" s="122">
        <f>IF(MONTH($A541)&lt;&gt;MONTH($A540),0,$G540)</f>
        <v>0</v>
      </c>
      <c r="F541" s="122">
        <f>IF(AND($D541=0,$H540&gt;0,$E541&lt;Config!$B$8,$A541&lt;Config!$A$2),1,0)</f>
        <v>0</v>
      </c>
      <c r="G541" s="122">
        <f>$E541+$F541</f>
        <v>0</v>
      </c>
      <c r="H541" s="122">
        <f>IF($D541=1,$H540+1,IF($F541=1,$H540,IF($A541=Config!$A$2,$H540,0)))</f>
        <v>0</v>
      </c>
      <c r="M541" s="123" t="n"/>
    </row>
    <row r="542">
      <c r="A542" s="120" t="str">
        <f>A541+1</f>
        <v>2026-04-07 00:00:00</v>
      </c>
      <c r="B542" s="121">
        <f>SUMIFS('Daily Writing Log'!$H$5:$H$34,'Daily Writing Log'!$A$5:$A$34,$A542)</f>
        <v>0</v>
      </c>
      <c r="C542" s="121">
        <f>SUMIFS('Daily Writing Log'!$I$5:$I$34,'Daily Writing Log'!$A$5:$A$34,$A542)</f>
        <v>0</v>
      </c>
      <c r="D542" s="122">
        <f>IF($C542&gt;=Config!$B$5,1,0)</f>
        <v>0</v>
      </c>
      <c r="E542" s="122">
        <f>IF(MONTH($A542)&lt;&gt;MONTH($A541),0,$G541)</f>
        <v>0</v>
      </c>
      <c r="F542" s="122">
        <f>IF(AND($D542=0,$H541&gt;0,$E542&lt;Config!$B$8,$A542&lt;Config!$A$2),1,0)</f>
        <v>0</v>
      </c>
      <c r="G542" s="122">
        <f>$E542+$F542</f>
        <v>0</v>
      </c>
      <c r="H542" s="122">
        <f>IF($D542=1,$H541+1,IF($F542=1,$H541,IF($A542=Config!$A$2,$H541,0)))</f>
        <v>0</v>
      </c>
      <c r="M542" s="123" t="n"/>
    </row>
    <row r="543">
      <c r="A543" s="120" t="str">
        <f>A542+1</f>
        <v>2026-04-08 00:00:00</v>
      </c>
      <c r="B543" s="121">
        <f>SUMIFS('Daily Writing Log'!$H$5:$H$34,'Daily Writing Log'!$A$5:$A$34,$A543)</f>
        <v>0</v>
      </c>
      <c r="C543" s="121">
        <f>SUMIFS('Daily Writing Log'!$I$5:$I$34,'Daily Writing Log'!$A$5:$A$34,$A543)</f>
        <v>0</v>
      </c>
      <c r="D543" s="122">
        <f>IF($C543&gt;=Config!$B$5,1,0)</f>
        <v>0</v>
      </c>
      <c r="E543" s="122">
        <f>IF(MONTH($A543)&lt;&gt;MONTH($A542),0,$G542)</f>
        <v>0</v>
      </c>
      <c r="F543" s="122">
        <f>IF(AND($D543=0,$H542&gt;0,$E543&lt;Config!$B$8,$A543&lt;Config!$A$2),1,0)</f>
        <v>0</v>
      </c>
      <c r="G543" s="122">
        <f>$E543+$F543</f>
        <v>0</v>
      </c>
      <c r="H543" s="122">
        <f>IF($D543=1,$H542+1,IF($F543=1,$H542,IF($A543=Config!$A$2,$H542,0)))</f>
        <v>0</v>
      </c>
      <c r="M543" s="123" t="n"/>
    </row>
    <row r="544">
      <c r="A544" s="120" t="str">
        <f>A543+1</f>
        <v>2026-04-09 00:00:00</v>
      </c>
      <c r="B544" s="121">
        <f>SUMIFS('Daily Writing Log'!$H$5:$H$34,'Daily Writing Log'!$A$5:$A$34,$A544)</f>
        <v>0</v>
      </c>
      <c r="C544" s="121">
        <f>SUMIFS('Daily Writing Log'!$I$5:$I$34,'Daily Writing Log'!$A$5:$A$34,$A544)</f>
        <v>0</v>
      </c>
      <c r="D544" s="122">
        <f>IF($C544&gt;=Config!$B$5,1,0)</f>
        <v>0</v>
      </c>
      <c r="E544" s="122">
        <f>IF(MONTH($A544)&lt;&gt;MONTH($A543),0,$G543)</f>
        <v>0</v>
      </c>
      <c r="F544" s="122">
        <f>IF(AND($D544=0,$H543&gt;0,$E544&lt;Config!$B$8,$A544&lt;Config!$A$2),1,0)</f>
        <v>0</v>
      </c>
      <c r="G544" s="122">
        <f>$E544+$F544</f>
        <v>0</v>
      </c>
      <c r="H544" s="122">
        <f>IF($D544=1,$H543+1,IF($F544=1,$H543,IF($A544=Config!$A$2,$H543,0)))</f>
        <v>0</v>
      </c>
      <c r="M544" s="123" t="n"/>
    </row>
    <row r="545">
      <c r="A545" s="120" t="str">
        <f>A544+1</f>
        <v>2026-04-10 00:00:00</v>
      </c>
      <c r="B545" s="121">
        <f>SUMIFS('Daily Writing Log'!$H$5:$H$34,'Daily Writing Log'!$A$5:$A$34,$A545)</f>
        <v>0</v>
      </c>
      <c r="C545" s="121">
        <f>SUMIFS('Daily Writing Log'!$I$5:$I$34,'Daily Writing Log'!$A$5:$A$34,$A545)</f>
        <v>0</v>
      </c>
      <c r="D545" s="122">
        <f>IF($C545&gt;=Config!$B$5,1,0)</f>
        <v>0</v>
      </c>
      <c r="E545" s="122">
        <f>IF(MONTH($A545)&lt;&gt;MONTH($A544),0,$G544)</f>
        <v>0</v>
      </c>
      <c r="F545" s="122">
        <f>IF(AND($D545=0,$H544&gt;0,$E545&lt;Config!$B$8,$A545&lt;Config!$A$2),1,0)</f>
        <v>0</v>
      </c>
      <c r="G545" s="122">
        <f>$E545+$F545</f>
        <v>0</v>
      </c>
      <c r="H545" s="122">
        <f>IF($D545=1,$H544+1,IF($F545=1,$H544,IF($A545=Config!$A$2,$H544,0)))</f>
        <v>0</v>
      </c>
      <c r="M545" s="123" t="n"/>
    </row>
    <row r="546">
      <c r="A546" s="120" t="str">
        <f>A545+1</f>
        <v>2026-04-11 00:00:00</v>
      </c>
      <c r="B546" s="121">
        <f>SUMIFS('Daily Writing Log'!$H$5:$H$34,'Daily Writing Log'!$A$5:$A$34,$A546)</f>
        <v>0</v>
      </c>
      <c r="C546" s="121">
        <f>SUMIFS('Daily Writing Log'!$I$5:$I$34,'Daily Writing Log'!$A$5:$A$34,$A546)</f>
        <v>0</v>
      </c>
      <c r="D546" s="122">
        <f>IF($C546&gt;=Config!$B$5,1,0)</f>
        <v>0</v>
      </c>
      <c r="E546" s="122">
        <f>IF(MONTH($A546)&lt;&gt;MONTH($A545),0,$G545)</f>
        <v>0</v>
      </c>
      <c r="F546" s="122">
        <f>IF(AND($D546=0,$H545&gt;0,$E546&lt;Config!$B$8,$A546&lt;Config!$A$2),1,0)</f>
        <v>0</v>
      </c>
      <c r="G546" s="122">
        <f>$E546+$F546</f>
        <v>0</v>
      </c>
      <c r="H546" s="122">
        <f>IF($D546=1,$H545+1,IF($F546=1,$H545,IF($A546=Config!$A$2,$H545,0)))</f>
        <v>0</v>
      </c>
      <c r="M546" s="123" t="n"/>
    </row>
    <row r="547">
      <c r="A547" s="120" t="str">
        <f>A546+1</f>
        <v>2026-04-12 00:00:00</v>
      </c>
      <c r="B547" s="121">
        <f>SUMIFS('Daily Writing Log'!$H$5:$H$34,'Daily Writing Log'!$A$5:$A$34,$A547)</f>
        <v>0</v>
      </c>
      <c r="C547" s="121">
        <f>SUMIFS('Daily Writing Log'!$I$5:$I$34,'Daily Writing Log'!$A$5:$A$34,$A547)</f>
        <v>0</v>
      </c>
      <c r="D547" s="122">
        <f>IF($C547&gt;=Config!$B$5,1,0)</f>
        <v>0</v>
      </c>
      <c r="E547" s="122">
        <f>IF(MONTH($A547)&lt;&gt;MONTH($A546),0,$G546)</f>
        <v>0</v>
      </c>
      <c r="F547" s="122">
        <f>IF(AND($D547=0,$H546&gt;0,$E547&lt;Config!$B$8,$A547&lt;Config!$A$2),1,0)</f>
        <v>0</v>
      </c>
      <c r="G547" s="122">
        <f>$E547+$F547</f>
        <v>0</v>
      </c>
      <c r="H547" s="122">
        <f>IF($D547=1,$H546+1,IF($F547=1,$H546,IF($A547=Config!$A$2,$H546,0)))</f>
        <v>0</v>
      </c>
      <c r="M547" s="123" t="n"/>
    </row>
    <row r="548">
      <c r="A548" s="120" t="str">
        <f>A547+1</f>
        <v>2026-04-13 00:00:00</v>
      </c>
      <c r="B548" s="121">
        <f>SUMIFS('Daily Writing Log'!$H$5:$H$34,'Daily Writing Log'!$A$5:$A$34,$A548)</f>
        <v>0</v>
      </c>
      <c r="C548" s="121">
        <f>SUMIFS('Daily Writing Log'!$I$5:$I$34,'Daily Writing Log'!$A$5:$A$34,$A548)</f>
        <v>0</v>
      </c>
      <c r="D548" s="122">
        <f>IF($C548&gt;=Config!$B$5,1,0)</f>
        <v>0</v>
      </c>
      <c r="E548" s="122">
        <f>IF(MONTH($A548)&lt;&gt;MONTH($A547),0,$G547)</f>
        <v>0</v>
      </c>
      <c r="F548" s="122">
        <f>IF(AND($D548=0,$H547&gt;0,$E548&lt;Config!$B$8,$A548&lt;Config!$A$2),1,0)</f>
        <v>0</v>
      </c>
      <c r="G548" s="122">
        <f>$E548+$F548</f>
        <v>0</v>
      </c>
      <c r="H548" s="122">
        <f>IF($D548=1,$H547+1,IF($F548=1,$H547,IF($A548=Config!$A$2,$H547,0)))</f>
        <v>0</v>
      </c>
      <c r="M548" s="123" t="n"/>
    </row>
    <row r="549">
      <c r="A549" s="120" t="str">
        <f>A548+1</f>
        <v>2026-04-14 00:00:00</v>
      </c>
      <c r="B549" s="121">
        <f>SUMIFS('Daily Writing Log'!$H$5:$H$34,'Daily Writing Log'!$A$5:$A$34,$A549)</f>
        <v>0</v>
      </c>
      <c r="C549" s="121">
        <f>SUMIFS('Daily Writing Log'!$I$5:$I$34,'Daily Writing Log'!$A$5:$A$34,$A549)</f>
        <v>0</v>
      </c>
      <c r="D549" s="122">
        <f>IF($C549&gt;=Config!$B$5,1,0)</f>
        <v>0</v>
      </c>
      <c r="E549" s="122">
        <f>IF(MONTH($A549)&lt;&gt;MONTH($A548),0,$G548)</f>
        <v>0</v>
      </c>
      <c r="F549" s="122">
        <f>IF(AND($D549=0,$H548&gt;0,$E549&lt;Config!$B$8,$A549&lt;Config!$A$2),1,0)</f>
        <v>0</v>
      </c>
      <c r="G549" s="122">
        <f>$E549+$F549</f>
        <v>0</v>
      </c>
      <c r="H549" s="122">
        <f>IF($D549=1,$H548+1,IF($F549=1,$H548,IF($A549=Config!$A$2,$H548,0)))</f>
        <v>0</v>
      </c>
      <c r="M549" s="123" t="n"/>
    </row>
    <row r="550">
      <c r="A550" s="120" t="str">
        <f>A549+1</f>
        <v>2026-04-15 00:00:00</v>
      </c>
      <c r="B550" s="121">
        <f>SUMIFS('Daily Writing Log'!$H$5:$H$34,'Daily Writing Log'!$A$5:$A$34,$A550)</f>
        <v>0</v>
      </c>
      <c r="C550" s="121">
        <f>SUMIFS('Daily Writing Log'!$I$5:$I$34,'Daily Writing Log'!$A$5:$A$34,$A550)</f>
        <v>0</v>
      </c>
      <c r="D550" s="122">
        <f>IF($C550&gt;=Config!$B$5,1,0)</f>
        <v>0</v>
      </c>
      <c r="E550" s="122">
        <f>IF(MONTH($A550)&lt;&gt;MONTH($A549),0,$G549)</f>
        <v>0</v>
      </c>
      <c r="F550" s="122">
        <f>IF(AND($D550=0,$H549&gt;0,$E550&lt;Config!$B$8,$A550&lt;Config!$A$2),1,0)</f>
        <v>0</v>
      </c>
      <c r="G550" s="122">
        <f>$E550+$F550</f>
        <v>0</v>
      </c>
      <c r="H550" s="122">
        <f>IF($D550=1,$H549+1,IF($F550=1,$H549,IF($A550=Config!$A$2,$H549,0)))</f>
        <v>0</v>
      </c>
      <c r="M550" s="123" t="n"/>
    </row>
    <row r="551">
      <c r="A551" s="120" t="str">
        <f>A550+1</f>
        <v>2026-04-16 00:00:00</v>
      </c>
      <c r="B551" s="121">
        <f>SUMIFS('Daily Writing Log'!$H$5:$H$34,'Daily Writing Log'!$A$5:$A$34,$A551)</f>
        <v>0</v>
      </c>
      <c r="C551" s="121">
        <f>SUMIFS('Daily Writing Log'!$I$5:$I$34,'Daily Writing Log'!$A$5:$A$34,$A551)</f>
        <v>0</v>
      </c>
      <c r="D551" s="122">
        <f>IF($C551&gt;=Config!$B$5,1,0)</f>
        <v>0</v>
      </c>
      <c r="E551" s="122">
        <f>IF(MONTH($A551)&lt;&gt;MONTH($A550),0,$G550)</f>
        <v>0</v>
      </c>
      <c r="F551" s="122">
        <f>IF(AND($D551=0,$H550&gt;0,$E551&lt;Config!$B$8,$A551&lt;Config!$A$2),1,0)</f>
        <v>0</v>
      </c>
      <c r="G551" s="122">
        <f>$E551+$F551</f>
        <v>0</v>
      </c>
      <c r="H551" s="122">
        <f>IF($D551=1,$H550+1,IF($F551=1,$H550,IF($A551=Config!$A$2,$H550,0)))</f>
        <v>0</v>
      </c>
      <c r="M551" s="123" t="n"/>
    </row>
    <row r="552">
      <c r="A552" s="120" t="str">
        <f>A551+1</f>
        <v>2026-04-17 00:00:00</v>
      </c>
      <c r="B552" s="121">
        <f>SUMIFS('Daily Writing Log'!$H$5:$H$34,'Daily Writing Log'!$A$5:$A$34,$A552)</f>
        <v>0</v>
      </c>
      <c r="C552" s="121">
        <f>SUMIFS('Daily Writing Log'!$I$5:$I$34,'Daily Writing Log'!$A$5:$A$34,$A552)</f>
        <v>0</v>
      </c>
      <c r="D552" s="122">
        <f>IF($C552&gt;=Config!$B$5,1,0)</f>
        <v>0</v>
      </c>
      <c r="E552" s="122">
        <f>IF(MONTH($A552)&lt;&gt;MONTH($A551),0,$G551)</f>
        <v>0</v>
      </c>
      <c r="F552" s="122">
        <f>IF(AND($D552=0,$H551&gt;0,$E552&lt;Config!$B$8,$A552&lt;Config!$A$2),1,0)</f>
        <v>0</v>
      </c>
      <c r="G552" s="122">
        <f>$E552+$F552</f>
        <v>0</v>
      </c>
      <c r="H552" s="122">
        <f>IF($D552=1,$H551+1,IF($F552=1,$H551,IF($A552=Config!$A$2,$H551,0)))</f>
        <v>0</v>
      </c>
      <c r="M552" s="123" t="n"/>
    </row>
    <row r="553">
      <c r="A553" s="120" t="str">
        <f>A552+1</f>
        <v>2026-04-18 00:00:00</v>
      </c>
      <c r="B553" s="121">
        <f>SUMIFS('Daily Writing Log'!$H$5:$H$34,'Daily Writing Log'!$A$5:$A$34,$A553)</f>
        <v>0</v>
      </c>
      <c r="C553" s="121">
        <f>SUMIFS('Daily Writing Log'!$I$5:$I$34,'Daily Writing Log'!$A$5:$A$34,$A553)</f>
        <v>0</v>
      </c>
      <c r="D553" s="122">
        <f>IF($C553&gt;=Config!$B$5,1,0)</f>
        <v>0</v>
      </c>
      <c r="E553" s="122">
        <f>IF(MONTH($A553)&lt;&gt;MONTH($A552),0,$G552)</f>
        <v>0</v>
      </c>
      <c r="F553" s="122">
        <f>IF(AND($D553=0,$H552&gt;0,$E553&lt;Config!$B$8,$A553&lt;Config!$A$2),1,0)</f>
        <v>0</v>
      </c>
      <c r="G553" s="122">
        <f>$E553+$F553</f>
        <v>0</v>
      </c>
      <c r="H553" s="122">
        <f>IF($D553=1,$H552+1,IF($F553=1,$H552,IF($A553=Config!$A$2,$H552,0)))</f>
        <v>0</v>
      </c>
      <c r="M553" s="123" t="n"/>
    </row>
    <row r="554">
      <c r="A554" s="120" t="str">
        <f>A553+1</f>
        <v>2026-04-19 00:00:00</v>
      </c>
      <c r="B554" s="121">
        <f>SUMIFS('Daily Writing Log'!$H$5:$H$34,'Daily Writing Log'!$A$5:$A$34,$A554)</f>
        <v>0</v>
      </c>
      <c r="C554" s="121">
        <f>SUMIFS('Daily Writing Log'!$I$5:$I$34,'Daily Writing Log'!$A$5:$A$34,$A554)</f>
        <v>0</v>
      </c>
      <c r="D554" s="122">
        <f>IF($C554&gt;=Config!$B$5,1,0)</f>
        <v>0</v>
      </c>
      <c r="E554" s="122">
        <f>IF(MONTH($A554)&lt;&gt;MONTH($A553),0,$G553)</f>
        <v>0</v>
      </c>
      <c r="F554" s="122">
        <f>IF(AND($D554=0,$H553&gt;0,$E554&lt;Config!$B$8,$A554&lt;Config!$A$2),1,0)</f>
        <v>0</v>
      </c>
      <c r="G554" s="122">
        <f>$E554+$F554</f>
        <v>0</v>
      </c>
      <c r="H554" s="122">
        <f>IF($D554=1,$H553+1,IF($F554=1,$H553,IF($A554=Config!$A$2,$H553,0)))</f>
        <v>0</v>
      </c>
      <c r="M554" s="123" t="n"/>
    </row>
    <row r="555">
      <c r="A555" s="120" t="str">
        <f>A554+1</f>
        <v>2026-04-20 00:00:00</v>
      </c>
      <c r="B555" s="121">
        <f>SUMIFS('Daily Writing Log'!$H$5:$H$34,'Daily Writing Log'!$A$5:$A$34,$A555)</f>
        <v>0</v>
      </c>
      <c r="C555" s="121">
        <f>SUMIFS('Daily Writing Log'!$I$5:$I$34,'Daily Writing Log'!$A$5:$A$34,$A555)</f>
        <v>0</v>
      </c>
      <c r="D555" s="122">
        <f>IF($C555&gt;=Config!$B$5,1,0)</f>
        <v>0</v>
      </c>
      <c r="E555" s="122">
        <f>IF(MONTH($A555)&lt;&gt;MONTH($A554),0,$G554)</f>
        <v>0</v>
      </c>
      <c r="F555" s="122">
        <f>IF(AND($D555=0,$H554&gt;0,$E555&lt;Config!$B$8,$A555&lt;Config!$A$2),1,0)</f>
        <v>0</v>
      </c>
      <c r="G555" s="122">
        <f>$E555+$F555</f>
        <v>0</v>
      </c>
      <c r="H555" s="122">
        <f>IF($D555=1,$H554+1,IF($F555=1,$H554,IF($A555=Config!$A$2,$H554,0)))</f>
        <v>0</v>
      </c>
      <c r="M555" s="123" t="n"/>
    </row>
    <row r="556">
      <c r="A556" s="120" t="str">
        <f>A555+1</f>
        <v>2026-04-21 00:00:00</v>
      </c>
      <c r="B556" s="121">
        <f>SUMIFS('Daily Writing Log'!$H$5:$H$34,'Daily Writing Log'!$A$5:$A$34,$A556)</f>
        <v>0</v>
      </c>
      <c r="C556" s="121">
        <f>SUMIFS('Daily Writing Log'!$I$5:$I$34,'Daily Writing Log'!$A$5:$A$34,$A556)</f>
        <v>0</v>
      </c>
      <c r="D556" s="122">
        <f>IF($C556&gt;=Config!$B$5,1,0)</f>
        <v>0</v>
      </c>
      <c r="E556" s="122">
        <f>IF(MONTH($A556)&lt;&gt;MONTH($A555),0,$G555)</f>
        <v>0</v>
      </c>
      <c r="F556" s="122">
        <f>IF(AND($D556=0,$H555&gt;0,$E556&lt;Config!$B$8,$A556&lt;Config!$A$2),1,0)</f>
        <v>0</v>
      </c>
      <c r="G556" s="122">
        <f>$E556+$F556</f>
        <v>0</v>
      </c>
      <c r="H556" s="122">
        <f>IF($D556=1,$H555+1,IF($F556=1,$H555,IF($A556=Config!$A$2,$H555,0)))</f>
        <v>0</v>
      </c>
      <c r="M556" s="123" t="n"/>
    </row>
    <row r="557">
      <c r="A557" s="120" t="str">
        <f>A556+1</f>
        <v>2026-04-22 00:00:00</v>
      </c>
      <c r="B557" s="121">
        <f>SUMIFS('Daily Writing Log'!$H$5:$H$34,'Daily Writing Log'!$A$5:$A$34,$A557)</f>
        <v>0</v>
      </c>
      <c r="C557" s="121">
        <f>SUMIFS('Daily Writing Log'!$I$5:$I$34,'Daily Writing Log'!$A$5:$A$34,$A557)</f>
        <v>0</v>
      </c>
      <c r="D557" s="122">
        <f>IF($C557&gt;=Config!$B$5,1,0)</f>
        <v>0</v>
      </c>
      <c r="E557" s="122">
        <f>IF(MONTH($A557)&lt;&gt;MONTH($A556),0,$G556)</f>
        <v>0</v>
      </c>
      <c r="F557" s="122">
        <f>IF(AND($D557=0,$H556&gt;0,$E557&lt;Config!$B$8,$A557&lt;Config!$A$2),1,0)</f>
        <v>0</v>
      </c>
      <c r="G557" s="122">
        <f>$E557+$F557</f>
        <v>0</v>
      </c>
      <c r="H557" s="122">
        <f>IF($D557=1,$H556+1,IF($F557=1,$H556,IF($A557=Config!$A$2,$H556,0)))</f>
        <v>0</v>
      </c>
      <c r="M557" s="123" t="n"/>
    </row>
    <row r="558">
      <c r="A558" s="120" t="str">
        <f>A557+1</f>
        <v>2026-04-23 00:00:00</v>
      </c>
      <c r="B558" s="121">
        <f>SUMIFS('Daily Writing Log'!$H$5:$H$34,'Daily Writing Log'!$A$5:$A$34,$A558)</f>
        <v>0</v>
      </c>
      <c r="C558" s="121">
        <f>SUMIFS('Daily Writing Log'!$I$5:$I$34,'Daily Writing Log'!$A$5:$A$34,$A558)</f>
        <v>0</v>
      </c>
      <c r="D558" s="122">
        <f>IF($C558&gt;=Config!$B$5,1,0)</f>
        <v>0</v>
      </c>
      <c r="E558" s="122">
        <f>IF(MONTH($A558)&lt;&gt;MONTH($A557),0,$G557)</f>
        <v>0</v>
      </c>
      <c r="F558" s="122">
        <f>IF(AND($D558=0,$H557&gt;0,$E558&lt;Config!$B$8,$A558&lt;Config!$A$2),1,0)</f>
        <v>0</v>
      </c>
      <c r="G558" s="122">
        <f>$E558+$F558</f>
        <v>0</v>
      </c>
      <c r="H558" s="122">
        <f>IF($D558=1,$H557+1,IF($F558=1,$H557,IF($A558=Config!$A$2,$H557,0)))</f>
        <v>0</v>
      </c>
      <c r="M558" s="123" t="n"/>
    </row>
    <row r="559">
      <c r="A559" s="120" t="str">
        <f>A558+1</f>
        <v>2026-04-24 00:00:00</v>
      </c>
      <c r="B559" s="121">
        <f>SUMIFS('Daily Writing Log'!$H$5:$H$34,'Daily Writing Log'!$A$5:$A$34,$A559)</f>
        <v>0</v>
      </c>
      <c r="C559" s="121">
        <f>SUMIFS('Daily Writing Log'!$I$5:$I$34,'Daily Writing Log'!$A$5:$A$34,$A559)</f>
        <v>0</v>
      </c>
      <c r="D559" s="122">
        <f>IF($C559&gt;=Config!$B$5,1,0)</f>
        <v>0</v>
      </c>
      <c r="E559" s="122">
        <f>IF(MONTH($A559)&lt;&gt;MONTH($A558),0,$G558)</f>
        <v>0</v>
      </c>
      <c r="F559" s="122">
        <f>IF(AND($D559=0,$H558&gt;0,$E559&lt;Config!$B$8,$A559&lt;Config!$A$2),1,0)</f>
        <v>0</v>
      </c>
      <c r="G559" s="122">
        <f>$E559+$F559</f>
        <v>0</v>
      </c>
      <c r="H559" s="122">
        <f>IF($D559=1,$H558+1,IF($F559=1,$H558,IF($A559=Config!$A$2,$H558,0)))</f>
        <v>0</v>
      </c>
      <c r="M559" s="123" t="n"/>
    </row>
    <row r="560">
      <c r="A560" s="120" t="str">
        <f>A559+1</f>
        <v>2026-04-25 00:00:00</v>
      </c>
      <c r="B560" s="121">
        <f>SUMIFS('Daily Writing Log'!$H$5:$H$34,'Daily Writing Log'!$A$5:$A$34,$A560)</f>
        <v>0</v>
      </c>
      <c r="C560" s="121">
        <f>SUMIFS('Daily Writing Log'!$I$5:$I$34,'Daily Writing Log'!$A$5:$A$34,$A560)</f>
        <v>0</v>
      </c>
      <c r="D560" s="122">
        <f>IF($C560&gt;=Config!$B$5,1,0)</f>
        <v>0</v>
      </c>
      <c r="E560" s="122">
        <f>IF(MONTH($A560)&lt;&gt;MONTH($A559),0,$G559)</f>
        <v>0</v>
      </c>
      <c r="F560" s="122">
        <f>IF(AND($D560=0,$H559&gt;0,$E560&lt;Config!$B$8,$A560&lt;Config!$A$2),1,0)</f>
        <v>0</v>
      </c>
      <c r="G560" s="122">
        <f>$E560+$F560</f>
        <v>0</v>
      </c>
      <c r="H560" s="122">
        <f>IF($D560=1,$H559+1,IF($F560=1,$H559,IF($A560=Config!$A$2,$H559,0)))</f>
        <v>0</v>
      </c>
      <c r="M560" s="123" t="n"/>
    </row>
    <row r="561">
      <c r="A561" s="120" t="str">
        <f>A560+1</f>
        <v>2026-04-26 00:00:00</v>
      </c>
      <c r="B561" s="121">
        <f>SUMIFS('Daily Writing Log'!$H$5:$H$34,'Daily Writing Log'!$A$5:$A$34,$A561)</f>
        <v>0</v>
      </c>
      <c r="C561" s="121">
        <f>SUMIFS('Daily Writing Log'!$I$5:$I$34,'Daily Writing Log'!$A$5:$A$34,$A561)</f>
        <v>0</v>
      </c>
      <c r="D561" s="122">
        <f>IF($C561&gt;=Config!$B$5,1,0)</f>
        <v>0</v>
      </c>
      <c r="E561" s="122">
        <f>IF(MONTH($A561)&lt;&gt;MONTH($A560),0,$G560)</f>
        <v>0</v>
      </c>
      <c r="F561" s="122">
        <f>IF(AND($D561=0,$H560&gt;0,$E561&lt;Config!$B$8,$A561&lt;Config!$A$2),1,0)</f>
        <v>0</v>
      </c>
      <c r="G561" s="122">
        <f>$E561+$F561</f>
        <v>0</v>
      </c>
      <c r="H561" s="122">
        <f>IF($D561=1,$H560+1,IF($F561=1,$H560,IF($A561=Config!$A$2,$H560,0)))</f>
        <v>0</v>
      </c>
      <c r="M561" s="123" t="n"/>
    </row>
    <row r="562">
      <c r="A562" s="120" t="str">
        <f>A561+1</f>
        <v>2026-04-27 00:00:00</v>
      </c>
      <c r="B562" s="121">
        <f>SUMIFS('Daily Writing Log'!$H$5:$H$34,'Daily Writing Log'!$A$5:$A$34,$A562)</f>
        <v>0</v>
      </c>
      <c r="C562" s="121">
        <f>SUMIFS('Daily Writing Log'!$I$5:$I$34,'Daily Writing Log'!$A$5:$A$34,$A562)</f>
        <v>0</v>
      </c>
      <c r="D562" s="122">
        <f>IF($C562&gt;=Config!$B$5,1,0)</f>
        <v>0</v>
      </c>
      <c r="E562" s="122">
        <f>IF(MONTH($A562)&lt;&gt;MONTH($A561),0,$G561)</f>
        <v>0</v>
      </c>
      <c r="F562" s="122">
        <f>IF(AND($D562=0,$H561&gt;0,$E562&lt;Config!$B$8,$A562&lt;Config!$A$2),1,0)</f>
        <v>0</v>
      </c>
      <c r="G562" s="122">
        <f>$E562+$F562</f>
        <v>0</v>
      </c>
      <c r="H562" s="122">
        <f>IF($D562=1,$H561+1,IF($F562=1,$H561,IF($A562=Config!$A$2,$H561,0)))</f>
        <v>0</v>
      </c>
      <c r="M562" s="123" t="n"/>
    </row>
    <row r="563">
      <c r="A563" s="120" t="str">
        <f>A562+1</f>
        <v>2026-04-28 00:00:00</v>
      </c>
      <c r="B563" s="121">
        <f>SUMIFS('Daily Writing Log'!$H$5:$H$34,'Daily Writing Log'!$A$5:$A$34,$A563)</f>
        <v>0</v>
      </c>
      <c r="C563" s="121">
        <f>SUMIFS('Daily Writing Log'!$I$5:$I$34,'Daily Writing Log'!$A$5:$A$34,$A563)</f>
        <v>0</v>
      </c>
      <c r="D563" s="122">
        <f>IF($C563&gt;=Config!$B$5,1,0)</f>
        <v>0</v>
      </c>
      <c r="E563" s="122">
        <f>IF(MONTH($A563)&lt;&gt;MONTH($A562),0,$G562)</f>
        <v>0</v>
      </c>
      <c r="F563" s="122">
        <f>IF(AND($D563=0,$H562&gt;0,$E563&lt;Config!$B$8,$A563&lt;Config!$A$2),1,0)</f>
        <v>0</v>
      </c>
      <c r="G563" s="122">
        <f>$E563+$F563</f>
        <v>0</v>
      </c>
      <c r="H563" s="122">
        <f>IF($D563=1,$H562+1,IF($F563=1,$H562,IF($A563=Config!$A$2,$H562,0)))</f>
        <v>0</v>
      </c>
      <c r="M563" s="123" t="n"/>
    </row>
    <row r="564">
      <c r="A564" s="120" t="str">
        <f>A563+1</f>
        <v>2026-04-29 00:00:00</v>
      </c>
      <c r="B564" s="121">
        <f>SUMIFS('Daily Writing Log'!$H$5:$H$34,'Daily Writing Log'!$A$5:$A$34,$A564)</f>
        <v>0</v>
      </c>
      <c r="C564" s="121">
        <f>SUMIFS('Daily Writing Log'!$I$5:$I$34,'Daily Writing Log'!$A$5:$A$34,$A564)</f>
        <v>0</v>
      </c>
      <c r="D564" s="122">
        <f>IF($C564&gt;=Config!$B$5,1,0)</f>
        <v>0</v>
      </c>
      <c r="E564" s="122">
        <f>IF(MONTH($A564)&lt;&gt;MONTH($A563),0,$G563)</f>
        <v>0</v>
      </c>
      <c r="F564" s="122">
        <f>IF(AND($D564=0,$H563&gt;0,$E564&lt;Config!$B$8,$A564&lt;Config!$A$2),1,0)</f>
        <v>0</v>
      </c>
      <c r="G564" s="122">
        <f>$E564+$F564</f>
        <v>0</v>
      </c>
      <c r="H564" s="122">
        <f>IF($D564=1,$H563+1,IF($F564=1,$H563,IF($A564=Config!$A$2,$H563,0)))</f>
        <v>0</v>
      </c>
      <c r="M564" s="123" t="n"/>
    </row>
    <row r="565">
      <c r="A565" s="120" t="str">
        <f>A564+1</f>
        <v>2026-04-30 00:00:00</v>
      </c>
      <c r="B565" s="121">
        <f>SUMIFS('Daily Writing Log'!$H$5:$H$34,'Daily Writing Log'!$A$5:$A$34,$A565)</f>
        <v>0</v>
      </c>
      <c r="C565" s="121">
        <f>SUMIFS('Daily Writing Log'!$I$5:$I$34,'Daily Writing Log'!$A$5:$A$34,$A565)</f>
        <v>0</v>
      </c>
      <c r="D565" s="122">
        <f>IF($C565&gt;=Config!$B$5,1,0)</f>
        <v>0</v>
      </c>
      <c r="E565" s="122">
        <f>IF(MONTH($A565)&lt;&gt;MONTH($A564),0,$G564)</f>
        <v>0</v>
      </c>
      <c r="F565" s="122">
        <f>IF(AND($D565=0,$H564&gt;0,$E565&lt;Config!$B$8,$A565&lt;Config!$A$2),1,0)</f>
        <v>0</v>
      </c>
      <c r="G565" s="122">
        <f>$E565+$F565</f>
        <v>0</v>
      </c>
      <c r="H565" s="122">
        <f>IF($D565=1,$H564+1,IF($F565=1,$H564,IF($A565=Config!$A$2,$H564,0)))</f>
        <v>0</v>
      </c>
      <c r="M565" s="123" t="n"/>
    </row>
    <row r="566">
      <c r="A566" s="120" t="str">
        <f>A565+1</f>
        <v>2026-05-01 00:00:00</v>
      </c>
      <c r="B566" s="121">
        <f>SUMIFS('Daily Writing Log'!$H$5:$H$34,'Daily Writing Log'!$A$5:$A$34,$A566)</f>
        <v>0</v>
      </c>
      <c r="C566" s="121">
        <f>SUMIFS('Daily Writing Log'!$I$5:$I$34,'Daily Writing Log'!$A$5:$A$34,$A566)</f>
        <v>0</v>
      </c>
      <c r="D566" s="122">
        <f>IF($C566&gt;=Config!$B$5,1,0)</f>
        <v>0</v>
      </c>
      <c r="E566" s="122">
        <f>IF(MONTH($A566)&lt;&gt;MONTH($A565),0,$G565)</f>
        <v>0</v>
      </c>
      <c r="F566" s="122">
        <f>IF(AND($D566=0,$H565&gt;0,$E566&lt;Config!$B$8,$A566&lt;Config!$A$2),1,0)</f>
        <v>0</v>
      </c>
      <c r="G566" s="122">
        <f>$E566+$F566</f>
        <v>0</v>
      </c>
      <c r="H566" s="122">
        <f>IF($D566=1,$H565+1,IF($F566=1,$H565,IF($A566=Config!$A$2,$H565,0)))</f>
        <v>0</v>
      </c>
      <c r="M566" s="123" t="n"/>
    </row>
    <row r="567">
      <c r="A567" s="120" t="str">
        <f>A566+1</f>
        <v>2026-05-02 00:00:00</v>
      </c>
      <c r="B567" s="121">
        <f>SUMIFS('Daily Writing Log'!$H$5:$H$34,'Daily Writing Log'!$A$5:$A$34,$A567)</f>
        <v>0</v>
      </c>
      <c r="C567" s="121">
        <f>SUMIFS('Daily Writing Log'!$I$5:$I$34,'Daily Writing Log'!$A$5:$A$34,$A567)</f>
        <v>0</v>
      </c>
      <c r="D567" s="122">
        <f>IF($C567&gt;=Config!$B$5,1,0)</f>
        <v>0</v>
      </c>
      <c r="E567" s="122">
        <f>IF(MONTH($A567)&lt;&gt;MONTH($A566),0,$G566)</f>
        <v>0</v>
      </c>
      <c r="F567" s="122">
        <f>IF(AND($D567=0,$H566&gt;0,$E567&lt;Config!$B$8,$A567&lt;Config!$A$2),1,0)</f>
        <v>0</v>
      </c>
      <c r="G567" s="122">
        <f>$E567+$F567</f>
        <v>0</v>
      </c>
      <c r="H567" s="122">
        <f>IF($D567=1,$H566+1,IF($F567=1,$H566,IF($A567=Config!$A$2,$H566,0)))</f>
        <v>0</v>
      </c>
      <c r="M567" s="123" t="n"/>
    </row>
    <row r="568">
      <c r="A568" s="120" t="str">
        <f>A567+1</f>
        <v>2026-05-03 00:00:00</v>
      </c>
      <c r="B568" s="121">
        <f>SUMIFS('Daily Writing Log'!$H$5:$H$34,'Daily Writing Log'!$A$5:$A$34,$A568)</f>
        <v>0</v>
      </c>
      <c r="C568" s="121">
        <f>SUMIFS('Daily Writing Log'!$I$5:$I$34,'Daily Writing Log'!$A$5:$A$34,$A568)</f>
        <v>0</v>
      </c>
      <c r="D568" s="122">
        <f>IF($C568&gt;=Config!$B$5,1,0)</f>
        <v>0</v>
      </c>
      <c r="E568" s="122">
        <f>IF(MONTH($A568)&lt;&gt;MONTH($A567),0,$G567)</f>
        <v>0</v>
      </c>
      <c r="F568" s="122">
        <f>IF(AND($D568=0,$H567&gt;0,$E568&lt;Config!$B$8,$A568&lt;Config!$A$2),1,0)</f>
        <v>0</v>
      </c>
      <c r="G568" s="122">
        <f>$E568+$F568</f>
        <v>0</v>
      </c>
      <c r="H568" s="122">
        <f>IF($D568=1,$H567+1,IF($F568=1,$H567,IF($A568=Config!$A$2,$H567,0)))</f>
        <v>0</v>
      </c>
      <c r="M568" s="123" t="n"/>
    </row>
    <row r="569">
      <c r="A569" s="120" t="str">
        <f>A568+1</f>
        <v>2026-05-04 00:00:00</v>
      </c>
      <c r="B569" s="121">
        <f>SUMIFS('Daily Writing Log'!$H$5:$H$34,'Daily Writing Log'!$A$5:$A$34,$A569)</f>
        <v>0</v>
      </c>
      <c r="C569" s="121">
        <f>SUMIFS('Daily Writing Log'!$I$5:$I$34,'Daily Writing Log'!$A$5:$A$34,$A569)</f>
        <v>0</v>
      </c>
      <c r="D569" s="122">
        <f>IF($C569&gt;=Config!$B$5,1,0)</f>
        <v>0</v>
      </c>
      <c r="E569" s="122">
        <f>IF(MONTH($A569)&lt;&gt;MONTH($A568),0,$G568)</f>
        <v>0</v>
      </c>
      <c r="F569" s="122">
        <f>IF(AND($D569=0,$H568&gt;0,$E569&lt;Config!$B$8,$A569&lt;Config!$A$2),1,0)</f>
        <v>0</v>
      </c>
      <c r="G569" s="122">
        <f>$E569+$F569</f>
        <v>0</v>
      </c>
      <c r="H569" s="122">
        <f>IF($D569=1,$H568+1,IF($F569=1,$H568,IF($A569=Config!$A$2,$H568,0)))</f>
        <v>0</v>
      </c>
      <c r="M569" s="123" t="n"/>
    </row>
    <row r="570">
      <c r="A570" s="120" t="str">
        <f>A569+1</f>
        <v>2026-05-05 00:00:00</v>
      </c>
      <c r="B570" s="121">
        <f>SUMIFS('Daily Writing Log'!$H$5:$H$34,'Daily Writing Log'!$A$5:$A$34,$A570)</f>
        <v>0</v>
      </c>
      <c r="C570" s="121">
        <f>SUMIFS('Daily Writing Log'!$I$5:$I$34,'Daily Writing Log'!$A$5:$A$34,$A570)</f>
        <v>0</v>
      </c>
      <c r="D570" s="122">
        <f>IF($C570&gt;=Config!$B$5,1,0)</f>
        <v>0</v>
      </c>
      <c r="E570" s="122">
        <f>IF(MONTH($A570)&lt;&gt;MONTH($A569),0,$G569)</f>
        <v>0</v>
      </c>
      <c r="F570" s="122">
        <f>IF(AND($D570=0,$H569&gt;0,$E570&lt;Config!$B$8,$A570&lt;Config!$A$2),1,0)</f>
        <v>0</v>
      </c>
      <c r="G570" s="122">
        <f>$E570+$F570</f>
        <v>0</v>
      </c>
      <c r="H570" s="122">
        <f>IF($D570=1,$H569+1,IF($F570=1,$H569,IF($A570=Config!$A$2,$H569,0)))</f>
        <v>0</v>
      </c>
      <c r="M570" s="123" t="n"/>
    </row>
    <row r="571">
      <c r="A571" s="120" t="str">
        <f>A570+1</f>
        <v>2026-05-06 00:00:00</v>
      </c>
      <c r="B571" s="121">
        <f>SUMIFS('Daily Writing Log'!$H$5:$H$34,'Daily Writing Log'!$A$5:$A$34,$A571)</f>
        <v>0</v>
      </c>
      <c r="C571" s="121">
        <f>SUMIFS('Daily Writing Log'!$I$5:$I$34,'Daily Writing Log'!$A$5:$A$34,$A571)</f>
        <v>0</v>
      </c>
      <c r="D571" s="122">
        <f>IF($C571&gt;=Config!$B$5,1,0)</f>
        <v>0</v>
      </c>
      <c r="E571" s="122">
        <f>IF(MONTH($A571)&lt;&gt;MONTH($A570),0,$G570)</f>
        <v>0</v>
      </c>
      <c r="F571" s="122">
        <f>IF(AND($D571=0,$H570&gt;0,$E571&lt;Config!$B$8,$A571&lt;Config!$A$2),1,0)</f>
        <v>0</v>
      </c>
      <c r="G571" s="122">
        <f>$E571+$F571</f>
        <v>0</v>
      </c>
      <c r="H571" s="122">
        <f>IF($D571=1,$H570+1,IF($F571=1,$H570,IF($A571=Config!$A$2,$H570,0)))</f>
        <v>0</v>
      </c>
      <c r="M571" s="123" t="n"/>
    </row>
    <row r="572">
      <c r="A572" s="120" t="str">
        <f>A571+1</f>
        <v>2026-05-07 00:00:00</v>
      </c>
      <c r="B572" s="121">
        <f>SUMIFS('Daily Writing Log'!$H$5:$H$34,'Daily Writing Log'!$A$5:$A$34,$A572)</f>
        <v>0</v>
      </c>
      <c r="C572" s="121">
        <f>SUMIFS('Daily Writing Log'!$I$5:$I$34,'Daily Writing Log'!$A$5:$A$34,$A572)</f>
        <v>0</v>
      </c>
      <c r="D572" s="122">
        <f>IF($C572&gt;=Config!$B$5,1,0)</f>
        <v>0</v>
      </c>
      <c r="E572" s="122">
        <f>IF(MONTH($A572)&lt;&gt;MONTH($A571),0,$G571)</f>
        <v>0</v>
      </c>
      <c r="F572" s="122">
        <f>IF(AND($D572=0,$H571&gt;0,$E572&lt;Config!$B$8,$A572&lt;Config!$A$2),1,0)</f>
        <v>0</v>
      </c>
      <c r="G572" s="122">
        <f>$E572+$F572</f>
        <v>0</v>
      </c>
      <c r="H572" s="122">
        <f>IF($D572=1,$H571+1,IF($F572=1,$H571,IF($A572=Config!$A$2,$H571,0)))</f>
        <v>0</v>
      </c>
      <c r="M572" s="123" t="n"/>
    </row>
    <row r="573">
      <c r="A573" s="120" t="str">
        <f>A572+1</f>
        <v>2026-05-08 00:00:00</v>
      </c>
      <c r="B573" s="121">
        <f>SUMIFS('Daily Writing Log'!$H$5:$H$34,'Daily Writing Log'!$A$5:$A$34,$A573)</f>
        <v>0</v>
      </c>
      <c r="C573" s="121">
        <f>SUMIFS('Daily Writing Log'!$I$5:$I$34,'Daily Writing Log'!$A$5:$A$34,$A573)</f>
        <v>0</v>
      </c>
      <c r="D573" s="122">
        <f>IF($C573&gt;=Config!$B$5,1,0)</f>
        <v>0</v>
      </c>
      <c r="E573" s="122">
        <f>IF(MONTH($A573)&lt;&gt;MONTH($A572),0,$G572)</f>
        <v>0</v>
      </c>
      <c r="F573" s="122">
        <f>IF(AND($D573=0,$H572&gt;0,$E573&lt;Config!$B$8,$A573&lt;Config!$A$2),1,0)</f>
        <v>0</v>
      </c>
      <c r="G573" s="122">
        <f>$E573+$F573</f>
        <v>0</v>
      </c>
      <c r="H573" s="122">
        <f>IF($D573=1,$H572+1,IF($F573=1,$H572,IF($A573=Config!$A$2,$H572,0)))</f>
        <v>0</v>
      </c>
      <c r="M573" s="123" t="n"/>
    </row>
    <row r="574">
      <c r="A574" s="120" t="str">
        <f>A573+1</f>
        <v>2026-05-09 00:00:00</v>
      </c>
      <c r="B574" s="121">
        <f>SUMIFS('Daily Writing Log'!$H$5:$H$34,'Daily Writing Log'!$A$5:$A$34,$A574)</f>
        <v>0</v>
      </c>
      <c r="C574" s="121">
        <f>SUMIFS('Daily Writing Log'!$I$5:$I$34,'Daily Writing Log'!$A$5:$A$34,$A574)</f>
        <v>0</v>
      </c>
      <c r="D574" s="122">
        <f>IF($C574&gt;=Config!$B$5,1,0)</f>
        <v>0</v>
      </c>
      <c r="E574" s="122">
        <f>IF(MONTH($A574)&lt;&gt;MONTH($A573),0,$G573)</f>
        <v>0</v>
      </c>
      <c r="F574" s="122">
        <f>IF(AND($D574=0,$H573&gt;0,$E574&lt;Config!$B$8,$A574&lt;Config!$A$2),1,0)</f>
        <v>0</v>
      </c>
      <c r="G574" s="122">
        <f>$E574+$F574</f>
        <v>0</v>
      </c>
      <c r="H574" s="122">
        <f>IF($D574=1,$H573+1,IF($F574=1,$H573,IF($A574=Config!$A$2,$H573,0)))</f>
        <v>0</v>
      </c>
      <c r="M574" s="123" t="n"/>
    </row>
    <row r="575">
      <c r="A575" s="120" t="str">
        <f>A574+1</f>
        <v>2026-05-10 00:00:00</v>
      </c>
      <c r="B575" s="121">
        <f>SUMIFS('Daily Writing Log'!$H$5:$H$34,'Daily Writing Log'!$A$5:$A$34,$A575)</f>
        <v>0</v>
      </c>
      <c r="C575" s="121">
        <f>SUMIFS('Daily Writing Log'!$I$5:$I$34,'Daily Writing Log'!$A$5:$A$34,$A575)</f>
        <v>0</v>
      </c>
      <c r="D575" s="122">
        <f>IF($C575&gt;=Config!$B$5,1,0)</f>
        <v>0</v>
      </c>
      <c r="E575" s="122">
        <f>IF(MONTH($A575)&lt;&gt;MONTH($A574),0,$G574)</f>
        <v>0</v>
      </c>
      <c r="F575" s="122">
        <f>IF(AND($D575=0,$H574&gt;0,$E575&lt;Config!$B$8,$A575&lt;Config!$A$2),1,0)</f>
        <v>0</v>
      </c>
      <c r="G575" s="122">
        <f>$E575+$F575</f>
        <v>0</v>
      </c>
      <c r="H575" s="122">
        <f>IF($D575=1,$H574+1,IF($F575=1,$H574,IF($A575=Config!$A$2,$H574,0)))</f>
        <v>0</v>
      </c>
      <c r="M575" s="123" t="n"/>
    </row>
    <row r="576">
      <c r="A576" s="120" t="str">
        <f>A575+1</f>
        <v>2026-05-11 00:00:00</v>
      </c>
      <c r="B576" s="121">
        <f>SUMIFS('Daily Writing Log'!$H$5:$H$34,'Daily Writing Log'!$A$5:$A$34,$A576)</f>
        <v>0</v>
      </c>
      <c r="C576" s="121">
        <f>SUMIFS('Daily Writing Log'!$I$5:$I$34,'Daily Writing Log'!$A$5:$A$34,$A576)</f>
        <v>0</v>
      </c>
      <c r="D576" s="122">
        <f>IF($C576&gt;=Config!$B$5,1,0)</f>
        <v>0</v>
      </c>
      <c r="E576" s="122">
        <f>IF(MONTH($A576)&lt;&gt;MONTH($A575),0,$G575)</f>
        <v>0</v>
      </c>
      <c r="F576" s="122">
        <f>IF(AND($D576=0,$H575&gt;0,$E576&lt;Config!$B$8,$A576&lt;Config!$A$2),1,0)</f>
        <v>0</v>
      </c>
      <c r="G576" s="122">
        <f>$E576+$F576</f>
        <v>0</v>
      </c>
      <c r="H576" s="122">
        <f>IF($D576=1,$H575+1,IF($F576=1,$H575,IF($A576=Config!$A$2,$H575,0)))</f>
        <v>0</v>
      </c>
      <c r="M576" s="123" t="n"/>
    </row>
    <row r="577">
      <c r="A577" s="120" t="str">
        <f>A576+1</f>
        <v>2026-05-12 00:00:00</v>
      </c>
      <c r="B577" s="121">
        <f>SUMIFS('Daily Writing Log'!$H$5:$H$34,'Daily Writing Log'!$A$5:$A$34,$A577)</f>
        <v>0</v>
      </c>
      <c r="C577" s="121">
        <f>SUMIFS('Daily Writing Log'!$I$5:$I$34,'Daily Writing Log'!$A$5:$A$34,$A577)</f>
        <v>0</v>
      </c>
      <c r="D577" s="122">
        <f>IF($C577&gt;=Config!$B$5,1,0)</f>
        <v>0</v>
      </c>
      <c r="E577" s="122">
        <f>IF(MONTH($A577)&lt;&gt;MONTH($A576),0,$G576)</f>
        <v>0</v>
      </c>
      <c r="F577" s="122">
        <f>IF(AND($D577=0,$H576&gt;0,$E577&lt;Config!$B$8,$A577&lt;Config!$A$2),1,0)</f>
        <v>0</v>
      </c>
      <c r="G577" s="122">
        <f>$E577+$F577</f>
        <v>0</v>
      </c>
      <c r="H577" s="122">
        <f>IF($D577=1,$H576+1,IF($F577=1,$H576,IF($A577=Config!$A$2,$H576,0)))</f>
        <v>0</v>
      </c>
      <c r="M577" s="123" t="n"/>
    </row>
    <row r="578">
      <c r="A578" s="120" t="str">
        <f>A577+1</f>
        <v>2026-05-13 00:00:00</v>
      </c>
      <c r="B578" s="121">
        <f>SUMIFS('Daily Writing Log'!$H$5:$H$34,'Daily Writing Log'!$A$5:$A$34,$A578)</f>
        <v>0</v>
      </c>
      <c r="C578" s="121">
        <f>SUMIFS('Daily Writing Log'!$I$5:$I$34,'Daily Writing Log'!$A$5:$A$34,$A578)</f>
        <v>0</v>
      </c>
      <c r="D578" s="122">
        <f>IF($C578&gt;=Config!$B$5,1,0)</f>
        <v>0</v>
      </c>
      <c r="E578" s="122">
        <f>IF(MONTH($A578)&lt;&gt;MONTH($A577),0,$G577)</f>
        <v>0</v>
      </c>
      <c r="F578" s="122">
        <f>IF(AND($D578=0,$H577&gt;0,$E578&lt;Config!$B$8,$A578&lt;Config!$A$2),1,0)</f>
        <v>0</v>
      </c>
      <c r="G578" s="122">
        <f>$E578+$F578</f>
        <v>0</v>
      </c>
      <c r="H578" s="122">
        <f>IF($D578=1,$H577+1,IF($F578=1,$H577,IF($A578=Config!$A$2,$H577,0)))</f>
        <v>0</v>
      </c>
      <c r="M578" s="123" t="n"/>
    </row>
    <row r="579">
      <c r="A579" s="120" t="str">
        <f>A578+1</f>
        <v>2026-05-14 00:00:00</v>
      </c>
      <c r="B579" s="121">
        <f>SUMIFS('Daily Writing Log'!$H$5:$H$34,'Daily Writing Log'!$A$5:$A$34,$A579)</f>
        <v>0</v>
      </c>
      <c r="C579" s="121">
        <f>SUMIFS('Daily Writing Log'!$I$5:$I$34,'Daily Writing Log'!$A$5:$A$34,$A579)</f>
        <v>0</v>
      </c>
      <c r="D579" s="122">
        <f>IF($C579&gt;=Config!$B$5,1,0)</f>
        <v>0</v>
      </c>
      <c r="E579" s="122">
        <f>IF(MONTH($A579)&lt;&gt;MONTH($A578),0,$G578)</f>
        <v>0</v>
      </c>
      <c r="F579" s="122">
        <f>IF(AND($D579=0,$H578&gt;0,$E579&lt;Config!$B$8,$A579&lt;Config!$A$2),1,0)</f>
        <v>0</v>
      </c>
      <c r="G579" s="122">
        <f>$E579+$F579</f>
        <v>0</v>
      </c>
      <c r="H579" s="122">
        <f>IF($D579=1,$H578+1,IF($F579=1,$H578,IF($A579=Config!$A$2,$H578,0)))</f>
        <v>0</v>
      </c>
      <c r="M579" s="123" t="n"/>
    </row>
    <row r="580">
      <c r="A580" s="120" t="str">
        <f>A579+1</f>
        <v>2026-05-15 00:00:00</v>
      </c>
      <c r="B580" s="121">
        <f>SUMIFS('Daily Writing Log'!$H$5:$H$34,'Daily Writing Log'!$A$5:$A$34,$A580)</f>
        <v>0</v>
      </c>
      <c r="C580" s="121">
        <f>SUMIFS('Daily Writing Log'!$I$5:$I$34,'Daily Writing Log'!$A$5:$A$34,$A580)</f>
        <v>0</v>
      </c>
      <c r="D580" s="122">
        <f>IF($C580&gt;=Config!$B$5,1,0)</f>
        <v>0</v>
      </c>
      <c r="E580" s="122">
        <f>IF(MONTH($A580)&lt;&gt;MONTH($A579),0,$G579)</f>
        <v>0</v>
      </c>
      <c r="F580" s="122">
        <f>IF(AND($D580=0,$H579&gt;0,$E580&lt;Config!$B$8,$A580&lt;Config!$A$2),1,0)</f>
        <v>0</v>
      </c>
      <c r="G580" s="122">
        <f>$E580+$F580</f>
        <v>0</v>
      </c>
      <c r="H580" s="122">
        <f>IF($D580=1,$H579+1,IF($F580=1,$H579,IF($A580=Config!$A$2,$H579,0)))</f>
        <v>0</v>
      </c>
      <c r="M580" s="123" t="n"/>
    </row>
    <row r="581">
      <c r="A581" s="120" t="str">
        <f>A580+1</f>
        <v>2026-05-16 00:00:00</v>
      </c>
      <c r="B581" s="121">
        <f>SUMIFS('Daily Writing Log'!$H$5:$H$34,'Daily Writing Log'!$A$5:$A$34,$A581)</f>
        <v>0</v>
      </c>
      <c r="C581" s="121">
        <f>SUMIFS('Daily Writing Log'!$I$5:$I$34,'Daily Writing Log'!$A$5:$A$34,$A581)</f>
        <v>0</v>
      </c>
      <c r="D581" s="122">
        <f>IF($C581&gt;=Config!$B$5,1,0)</f>
        <v>0</v>
      </c>
      <c r="E581" s="122">
        <f>IF(MONTH($A581)&lt;&gt;MONTH($A580),0,$G580)</f>
        <v>0</v>
      </c>
      <c r="F581" s="122">
        <f>IF(AND($D581=0,$H580&gt;0,$E581&lt;Config!$B$8,$A581&lt;Config!$A$2),1,0)</f>
        <v>0</v>
      </c>
      <c r="G581" s="122">
        <f>$E581+$F581</f>
        <v>0</v>
      </c>
      <c r="H581" s="122">
        <f>IF($D581=1,$H580+1,IF($F581=1,$H580,IF($A581=Config!$A$2,$H580,0)))</f>
        <v>0</v>
      </c>
      <c r="M581" s="123" t="n"/>
    </row>
    <row r="582">
      <c r="A582" s="120" t="str">
        <f>A581+1</f>
        <v>2026-05-17 00:00:00</v>
      </c>
      <c r="B582" s="121">
        <f>SUMIFS('Daily Writing Log'!$H$5:$H$34,'Daily Writing Log'!$A$5:$A$34,$A582)</f>
        <v>0</v>
      </c>
      <c r="C582" s="121">
        <f>SUMIFS('Daily Writing Log'!$I$5:$I$34,'Daily Writing Log'!$A$5:$A$34,$A582)</f>
        <v>0</v>
      </c>
      <c r="D582" s="122">
        <f>IF($C582&gt;=Config!$B$5,1,0)</f>
        <v>0</v>
      </c>
      <c r="E582" s="122">
        <f>IF(MONTH($A582)&lt;&gt;MONTH($A581),0,$G581)</f>
        <v>0</v>
      </c>
      <c r="F582" s="122">
        <f>IF(AND($D582=0,$H581&gt;0,$E582&lt;Config!$B$8,$A582&lt;Config!$A$2),1,0)</f>
        <v>0</v>
      </c>
      <c r="G582" s="122">
        <f>$E582+$F582</f>
        <v>0</v>
      </c>
      <c r="H582" s="122">
        <f>IF($D582=1,$H581+1,IF($F582=1,$H581,IF($A582=Config!$A$2,$H581,0)))</f>
        <v>0</v>
      </c>
      <c r="M582" s="123" t="n"/>
    </row>
    <row r="583">
      <c r="A583" s="120" t="str">
        <f>A582+1</f>
        <v>2026-05-18 00:00:00</v>
      </c>
      <c r="B583" s="121">
        <f>SUMIFS('Daily Writing Log'!$H$5:$H$34,'Daily Writing Log'!$A$5:$A$34,$A583)</f>
        <v>0</v>
      </c>
      <c r="C583" s="121">
        <f>SUMIFS('Daily Writing Log'!$I$5:$I$34,'Daily Writing Log'!$A$5:$A$34,$A583)</f>
        <v>0</v>
      </c>
      <c r="D583" s="122">
        <f>IF($C583&gt;=Config!$B$5,1,0)</f>
        <v>0</v>
      </c>
      <c r="E583" s="122">
        <f>IF(MONTH($A583)&lt;&gt;MONTH($A582),0,$G582)</f>
        <v>0</v>
      </c>
      <c r="F583" s="122">
        <f>IF(AND($D583=0,$H582&gt;0,$E583&lt;Config!$B$8,$A583&lt;Config!$A$2),1,0)</f>
        <v>0</v>
      </c>
      <c r="G583" s="122">
        <f>$E583+$F583</f>
        <v>0</v>
      </c>
      <c r="H583" s="122">
        <f>IF($D583=1,$H582+1,IF($F583=1,$H582,IF($A583=Config!$A$2,$H582,0)))</f>
        <v>0</v>
      </c>
      <c r="M583" s="123" t="n"/>
    </row>
    <row r="584">
      <c r="A584" s="120" t="str">
        <f>A583+1</f>
        <v>2026-05-19 00:00:00</v>
      </c>
      <c r="B584" s="121">
        <f>SUMIFS('Daily Writing Log'!$H$5:$H$34,'Daily Writing Log'!$A$5:$A$34,$A584)</f>
        <v>0</v>
      </c>
      <c r="C584" s="121">
        <f>SUMIFS('Daily Writing Log'!$I$5:$I$34,'Daily Writing Log'!$A$5:$A$34,$A584)</f>
        <v>0</v>
      </c>
      <c r="D584" s="122">
        <f>IF($C584&gt;=Config!$B$5,1,0)</f>
        <v>0</v>
      </c>
      <c r="E584" s="122">
        <f>IF(MONTH($A584)&lt;&gt;MONTH($A583),0,$G583)</f>
        <v>0</v>
      </c>
      <c r="F584" s="122">
        <f>IF(AND($D584=0,$H583&gt;0,$E584&lt;Config!$B$8,$A584&lt;Config!$A$2),1,0)</f>
        <v>0</v>
      </c>
      <c r="G584" s="122">
        <f>$E584+$F584</f>
        <v>0</v>
      </c>
      <c r="H584" s="122">
        <f>IF($D584=1,$H583+1,IF($F584=1,$H583,IF($A584=Config!$A$2,$H583,0)))</f>
        <v>0</v>
      </c>
      <c r="M584" s="123" t="n"/>
    </row>
    <row r="585">
      <c r="A585" s="120" t="str">
        <f>A584+1</f>
        <v>2026-05-20 00:00:00</v>
      </c>
      <c r="B585" s="121">
        <f>SUMIFS('Daily Writing Log'!$H$5:$H$34,'Daily Writing Log'!$A$5:$A$34,$A585)</f>
        <v>0</v>
      </c>
      <c r="C585" s="121">
        <f>SUMIFS('Daily Writing Log'!$I$5:$I$34,'Daily Writing Log'!$A$5:$A$34,$A585)</f>
        <v>0</v>
      </c>
      <c r="D585" s="122">
        <f>IF($C585&gt;=Config!$B$5,1,0)</f>
        <v>0</v>
      </c>
      <c r="E585" s="122">
        <f>IF(MONTH($A585)&lt;&gt;MONTH($A584),0,$G584)</f>
        <v>0</v>
      </c>
      <c r="F585" s="122">
        <f>IF(AND($D585=0,$H584&gt;0,$E585&lt;Config!$B$8,$A585&lt;Config!$A$2),1,0)</f>
        <v>0</v>
      </c>
      <c r="G585" s="122">
        <f>$E585+$F585</f>
        <v>0</v>
      </c>
      <c r="H585" s="122">
        <f>IF($D585=1,$H584+1,IF($F585=1,$H584,IF($A585=Config!$A$2,$H584,0)))</f>
        <v>0</v>
      </c>
      <c r="M585" s="123" t="n"/>
    </row>
    <row r="586">
      <c r="A586" s="120" t="str">
        <f>A585+1</f>
        <v>2026-05-21 00:00:00</v>
      </c>
      <c r="B586" s="121">
        <f>SUMIFS('Daily Writing Log'!$H$5:$H$34,'Daily Writing Log'!$A$5:$A$34,$A586)</f>
        <v>0</v>
      </c>
      <c r="C586" s="121">
        <f>SUMIFS('Daily Writing Log'!$I$5:$I$34,'Daily Writing Log'!$A$5:$A$34,$A586)</f>
        <v>0</v>
      </c>
      <c r="D586" s="122">
        <f>IF($C586&gt;=Config!$B$5,1,0)</f>
        <v>0</v>
      </c>
      <c r="E586" s="122">
        <f>IF(MONTH($A586)&lt;&gt;MONTH($A585),0,$G585)</f>
        <v>0</v>
      </c>
      <c r="F586" s="122">
        <f>IF(AND($D586=0,$H585&gt;0,$E586&lt;Config!$B$8,$A586&lt;Config!$A$2),1,0)</f>
        <v>0</v>
      </c>
      <c r="G586" s="122">
        <f>$E586+$F586</f>
        <v>0</v>
      </c>
      <c r="H586" s="122">
        <f>IF($D586=1,$H585+1,IF($F586=1,$H585,IF($A586=Config!$A$2,$H585,0)))</f>
        <v>0</v>
      </c>
      <c r="M586" s="123" t="n"/>
    </row>
    <row r="587">
      <c r="A587" s="120" t="str">
        <f>A586+1</f>
        <v>2026-05-22 00:00:00</v>
      </c>
      <c r="B587" s="121">
        <f>SUMIFS('Daily Writing Log'!$H$5:$H$34,'Daily Writing Log'!$A$5:$A$34,$A587)</f>
        <v>0</v>
      </c>
      <c r="C587" s="121">
        <f>SUMIFS('Daily Writing Log'!$I$5:$I$34,'Daily Writing Log'!$A$5:$A$34,$A587)</f>
        <v>0</v>
      </c>
      <c r="D587" s="122">
        <f>IF($C587&gt;=Config!$B$5,1,0)</f>
        <v>0</v>
      </c>
      <c r="E587" s="122">
        <f>IF(MONTH($A587)&lt;&gt;MONTH($A586),0,$G586)</f>
        <v>0</v>
      </c>
      <c r="F587" s="122">
        <f>IF(AND($D587=0,$H586&gt;0,$E587&lt;Config!$B$8,$A587&lt;Config!$A$2),1,0)</f>
        <v>0</v>
      </c>
      <c r="G587" s="122">
        <f>$E587+$F587</f>
        <v>0</v>
      </c>
      <c r="H587" s="122">
        <f>IF($D587=1,$H586+1,IF($F587=1,$H586,IF($A587=Config!$A$2,$H586,0)))</f>
        <v>0</v>
      </c>
      <c r="M587" s="123" t="n"/>
    </row>
    <row r="588">
      <c r="A588" s="120" t="str">
        <f>A587+1</f>
        <v>2026-05-23 00:00:00</v>
      </c>
      <c r="B588" s="121">
        <f>SUMIFS('Daily Writing Log'!$H$5:$H$34,'Daily Writing Log'!$A$5:$A$34,$A588)</f>
        <v>0</v>
      </c>
      <c r="C588" s="121">
        <f>SUMIFS('Daily Writing Log'!$I$5:$I$34,'Daily Writing Log'!$A$5:$A$34,$A588)</f>
        <v>0</v>
      </c>
      <c r="D588" s="122">
        <f>IF($C588&gt;=Config!$B$5,1,0)</f>
        <v>0</v>
      </c>
      <c r="E588" s="122">
        <f>IF(MONTH($A588)&lt;&gt;MONTH($A587),0,$G587)</f>
        <v>0</v>
      </c>
      <c r="F588" s="122">
        <f>IF(AND($D588=0,$H587&gt;0,$E588&lt;Config!$B$8,$A588&lt;Config!$A$2),1,0)</f>
        <v>0</v>
      </c>
      <c r="G588" s="122">
        <f>$E588+$F588</f>
        <v>0</v>
      </c>
      <c r="H588" s="122">
        <f>IF($D588=1,$H587+1,IF($F588=1,$H587,IF($A588=Config!$A$2,$H587,0)))</f>
        <v>0</v>
      </c>
      <c r="M588" s="123" t="n"/>
    </row>
    <row r="589">
      <c r="A589" s="120" t="str">
        <f>A588+1</f>
        <v>2026-05-24 00:00:00</v>
      </c>
      <c r="B589" s="121">
        <f>SUMIFS('Daily Writing Log'!$H$5:$H$34,'Daily Writing Log'!$A$5:$A$34,$A589)</f>
        <v>0</v>
      </c>
      <c r="C589" s="121">
        <f>SUMIFS('Daily Writing Log'!$I$5:$I$34,'Daily Writing Log'!$A$5:$A$34,$A589)</f>
        <v>0</v>
      </c>
      <c r="D589" s="122">
        <f>IF($C589&gt;=Config!$B$5,1,0)</f>
        <v>0</v>
      </c>
      <c r="E589" s="122">
        <f>IF(MONTH($A589)&lt;&gt;MONTH($A588),0,$G588)</f>
        <v>0</v>
      </c>
      <c r="F589" s="122">
        <f>IF(AND($D589=0,$H588&gt;0,$E589&lt;Config!$B$8,$A589&lt;Config!$A$2),1,0)</f>
        <v>0</v>
      </c>
      <c r="G589" s="122">
        <f>$E589+$F589</f>
        <v>0</v>
      </c>
      <c r="H589" s="122">
        <f>IF($D589=1,$H588+1,IF($F589=1,$H588,IF($A589=Config!$A$2,$H588,0)))</f>
        <v>0</v>
      </c>
      <c r="M589" s="123" t="n"/>
    </row>
    <row r="590">
      <c r="A590" s="120" t="str">
        <f>A589+1</f>
        <v>2026-05-25 00:00:00</v>
      </c>
      <c r="B590" s="121">
        <f>SUMIFS('Daily Writing Log'!$H$5:$H$34,'Daily Writing Log'!$A$5:$A$34,$A590)</f>
        <v>0</v>
      </c>
      <c r="C590" s="121">
        <f>SUMIFS('Daily Writing Log'!$I$5:$I$34,'Daily Writing Log'!$A$5:$A$34,$A590)</f>
        <v>0</v>
      </c>
      <c r="D590" s="122">
        <f>IF($C590&gt;=Config!$B$5,1,0)</f>
        <v>0</v>
      </c>
      <c r="E590" s="122">
        <f>IF(MONTH($A590)&lt;&gt;MONTH($A589),0,$G589)</f>
        <v>0</v>
      </c>
      <c r="F590" s="122">
        <f>IF(AND($D590=0,$H589&gt;0,$E590&lt;Config!$B$8,$A590&lt;Config!$A$2),1,0)</f>
        <v>0</v>
      </c>
      <c r="G590" s="122">
        <f>$E590+$F590</f>
        <v>0</v>
      </c>
      <c r="H590" s="122">
        <f>IF($D590=1,$H589+1,IF($F590=1,$H589,IF($A590=Config!$A$2,$H589,0)))</f>
        <v>0</v>
      </c>
      <c r="M590" s="123" t="n"/>
    </row>
    <row r="591">
      <c r="A591" s="120" t="str">
        <f>A590+1</f>
        <v>2026-05-26 00:00:00</v>
      </c>
      <c r="B591" s="121">
        <f>SUMIFS('Daily Writing Log'!$H$5:$H$34,'Daily Writing Log'!$A$5:$A$34,$A591)</f>
        <v>0</v>
      </c>
      <c r="C591" s="121">
        <f>SUMIFS('Daily Writing Log'!$I$5:$I$34,'Daily Writing Log'!$A$5:$A$34,$A591)</f>
        <v>0</v>
      </c>
      <c r="D591" s="122">
        <f>IF($C591&gt;=Config!$B$5,1,0)</f>
        <v>0</v>
      </c>
      <c r="E591" s="122">
        <f>IF(MONTH($A591)&lt;&gt;MONTH($A590),0,$G590)</f>
        <v>0</v>
      </c>
      <c r="F591" s="122">
        <f>IF(AND($D591=0,$H590&gt;0,$E591&lt;Config!$B$8,$A591&lt;Config!$A$2),1,0)</f>
        <v>0</v>
      </c>
      <c r="G591" s="122">
        <f>$E591+$F591</f>
        <v>0</v>
      </c>
      <c r="H591" s="122">
        <f>IF($D591=1,$H590+1,IF($F591=1,$H590,IF($A591=Config!$A$2,$H590,0)))</f>
        <v>0</v>
      </c>
      <c r="M591" s="123" t="n"/>
    </row>
    <row r="592">
      <c r="A592" s="120" t="str">
        <f>A591+1</f>
        <v>2026-05-27 00:00:00</v>
      </c>
      <c r="B592" s="121">
        <f>SUMIFS('Daily Writing Log'!$H$5:$H$34,'Daily Writing Log'!$A$5:$A$34,$A592)</f>
        <v>0</v>
      </c>
      <c r="C592" s="121">
        <f>SUMIFS('Daily Writing Log'!$I$5:$I$34,'Daily Writing Log'!$A$5:$A$34,$A592)</f>
        <v>0</v>
      </c>
      <c r="D592" s="122">
        <f>IF($C592&gt;=Config!$B$5,1,0)</f>
        <v>0</v>
      </c>
      <c r="E592" s="122">
        <f>IF(MONTH($A592)&lt;&gt;MONTH($A591),0,$G591)</f>
        <v>0</v>
      </c>
      <c r="F592" s="122">
        <f>IF(AND($D592=0,$H591&gt;0,$E592&lt;Config!$B$8,$A592&lt;Config!$A$2),1,0)</f>
        <v>0</v>
      </c>
      <c r="G592" s="122">
        <f>$E592+$F592</f>
        <v>0</v>
      </c>
      <c r="H592" s="122">
        <f>IF($D592=1,$H591+1,IF($F592=1,$H591,IF($A592=Config!$A$2,$H591,0)))</f>
        <v>0</v>
      </c>
      <c r="M592" s="123" t="n"/>
    </row>
    <row r="593">
      <c r="A593" s="120" t="str">
        <f>A592+1</f>
        <v>2026-05-28 00:00:00</v>
      </c>
      <c r="B593" s="121">
        <f>SUMIFS('Daily Writing Log'!$H$5:$H$34,'Daily Writing Log'!$A$5:$A$34,$A593)</f>
        <v>0</v>
      </c>
      <c r="C593" s="121">
        <f>SUMIFS('Daily Writing Log'!$I$5:$I$34,'Daily Writing Log'!$A$5:$A$34,$A593)</f>
        <v>0</v>
      </c>
      <c r="D593" s="122">
        <f>IF($C593&gt;=Config!$B$5,1,0)</f>
        <v>0</v>
      </c>
      <c r="E593" s="122">
        <f>IF(MONTH($A593)&lt;&gt;MONTH($A592),0,$G592)</f>
        <v>0</v>
      </c>
      <c r="F593" s="122">
        <f>IF(AND($D593=0,$H592&gt;0,$E593&lt;Config!$B$8,$A593&lt;Config!$A$2),1,0)</f>
        <v>0</v>
      </c>
      <c r="G593" s="122">
        <f>$E593+$F593</f>
        <v>0</v>
      </c>
      <c r="H593" s="122">
        <f>IF($D593=1,$H592+1,IF($F593=1,$H592,IF($A593=Config!$A$2,$H592,0)))</f>
        <v>0</v>
      </c>
      <c r="M593" s="123" t="n"/>
    </row>
    <row r="594">
      <c r="A594" s="120" t="str">
        <f>A593+1</f>
        <v>2026-05-29 00:00:00</v>
      </c>
      <c r="B594" s="121">
        <f>SUMIFS('Daily Writing Log'!$H$5:$H$34,'Daily Writing Log'!$A$5:$A$34,$A594)</f>
        <v>0</v>
      </c>
      <c r="C594" s="121">
        <f>SUMIFS('Daily Writing Log'!$I$5:$I$34,'Daily Writing Log'!$A$5:$A$34,$A594)</f>
        <v>0</v>
      </c>
      <c r="D594" s="122">
        <f>IF($C594&gt;=Config!$B$5,1,0)</f>
        <v>0</v>
      </c>
      <c r="E594" s="122">
        <f>IF(MONTH($A594)&lt;&gt;MONTH($A593),0,$G593)</f>
        <v>0</v>
      </c>
      <c r="F594" s="122">
        <f>IF(AND($D594=0,$H593&gt;0,$E594&lt;Config!$B$8,$A594&lt;Config!$A$2),1,0)</f>
        <v>0</v>
      </c>
      <c r="G594" s="122">
        <f>$E594+$F594</f>
        <v>0</v>
      </c>
      <c r="H594" s="122">
        <f>IF($D594=1,$H593+1,IF($F594=1,$H593,IF($A594=Config!$A$2,$H593,0)))</f>
        <v>0</v>
      </c>
      <c r="M594" s="123" t="n"/>
    </row>
    <row r="595">
      <c r="A595" s="120" t="str">
        <f>A594+1</f>
        <v>2026-05-30 00:00:00</v>
      </c>
      <c r="B595" s="121">
        <f>SUMIFS('Daily Writing Log'!$H$5:$H$34,'Daily Writing Log'!$A$5:$A$34,$A595)</f>
        <v>0</v>
      </c>
      <c r="C595" s="121">
        <f>SUMIFS('Daily Writing Log'!$I$5:$I$34,'Daily Writing Log'!$A$5:$A$34,$A595)</f>
        <v>0</v>
      </c>
      <c r="D595" s="122">
        <f>IF($C595&gt;=Config!$B$5,1,0)</f>
        <v>0</v>
      </c>
      <c r="E595" s="122">
        <f>IF(MONTH($A595)&lt;&gt;MONTH($A594),0,$G594)</f>
        <v>0</v>
      </c>
      <c r="F595" s="122">
        <f>IF(AND($D595=0,$H594&gt;0,$E595&lt;Config!$B$8,$A595&lt;Config!$A$2),1,0)</f>
        <v>0</v>
      </c>
      <c r="G595" s="122">
        <f>$E595+$F595</f>
        <v>0</v>
      </c>
      <c r="H595" s="122">
        <f>IF($D595=1,$H594+1,IF($F595=1,$H594,IF($A595=Config!$A$2,$H594,0)))</f>
        <v>0</v>
      </c>
      <c r="M595" s="123" t="n"/>
    </row>
    <row r="596">
      <c r="A596" s="120" t="str">
        <f>A595+1</f>
        <v>2026-05-31 00:00:00</v>
      </c>
      <c r="B596" s="121">
        <f>SUMIFS('Daily Writing Log'!$H$5:$H$34,'Daily Writing Log'!$A$5:$A$34,$A596)</f>
        <v>0</v>
      </c>
      <c r="C596" s="121">
        <f>SUMIFS('Daily Writing Log'!$I$5:$I$34,'Daily Writing Log'!$A$5:$A$34,$A596)</f>
        <v>0</v>
      </c>
      <c r="D596" s="122">
        <f>IF($C596&gt;=Config!$B$5,1,0)</f>
        <v>0</v>
      </c>
      <c r="E596" s="122">
        <f>IF(MONTH($A596)&lt;&gt;MONTH($A595),0,$G595)</f>
        <v>0</v>
      </c>
      <c r="F596" s="122">
        <f>IF(AND($D596=0,$H595&gt;0,$E596&lt;Config!$B$8,$A596&lt;Config!$A$2),1,0)</f>
        <v>0</v>
      </c>
      <c r="G596" s="122">
        <f>$E596+$F596</f>
        <v>0</v>
      </c>
      <c r="H596" s="122">
        <f>IF($D596=1,$H595+1,IF($F596=1,$H595,IF($A596=Config!$A$2,$H595,0)))</f>
        <v>0</v>
      </c>
      <c r="M596" s="123" t="n"/>
    </row>
    <row r="597">
      <c r="A597" s="120" t="str">
        <f>A596+1</f>
        <v>2026-06-01 00:00:00</v>
      </c>
      <c r="B597" s="121">
        <f>SUMIFS('Daily Writing Log'!$H$5:$H$34,'Daily Writing Log'!$A$5:$A$34,$A597)</f>
        <v>0</v>
      </c>
      <c r="C597" s="121">
        <f>SUMIFS('Daily Writing Log'!$I$5:$I$34,'Daily Writing Log'!$A$5:$A$34,$A597)</f>
        <v>0</v>
      </c>
      <c r="D597" s="122">
        <f>IF($C597&gt;=Config!$B$5,1,0)</f>
        <v>0</v>
      </c>
      <c r="E597" s="122">
        <f>IF(MONTH($A597)&lt;&gt;MONTH($A596),0,$G596)</f>
        <v>0</v>
      </c>
      <c r="F597" s="122">
        <f>IF(AND($D597=0,$H596&gt;0,$E597&lt;Config!$B$8,$A597&lt;Config!$A$2),1,0)</f>
        <v>0</v>
      </c>
      <c r="G597" s="122">
        <f>$E597+$F597</f>
        <v>0</v>
      </c>
      <c r="H597" s="122">
        <f>IF($D597=1,$H596+1,IF($F597=1,$H596,IF($A597=Config!$A$2,$H596,0)))</f>
        <v>0</v>
      </c>
      <c r="M597" s="123" t="n"/>
    </row>
    <row r="598">
      <c r="A598" s="120" t="str">
        <f>A597+1</f>
        <v>2026-06-02 00:00:00</v>
      </c>
      <c r="B598" s="121">
        <f>SUMIFS('Daily Writing Log'!$H$5:$H$34,'Daily Writing Log'!$A$5:$A$34,$A598)</f>
        <v>0</v>
      </c>
      <c r="C598" s="121">
        <f>SUMIFS('Daily Writing Log'!$I$5:$I$34,'Daily Writing Log'!$A$5:$A$34,$A598)</f>
        <v>0</v>
      </c>
      <c r="D598" s="122">
        <f>IF($C598&gt;=Config!$B$5,1,0)</f>
        <v>0</v>
      </c>
      <c r="E598" s="122">
        <f>IF(MONTH($A598)&lt;&gt;MONTH($A597),0,$G597)</f>
        <v>0</v>
      </c>
      <c r="F598" s="122">
        <f>IF(AND($D598=0,$H597&gt;0,$E598&lt;Config!$B$8,$A598&lt;Config!$A$2),1,0)</f>
        <v>0</v>
      </c>
      <c r="G598" s="122">
        <f>$E598+$F598</f>
        <v>0</v>
      </c>
      <c r="H598" s="122">
        <f>IF($D598=1,$H597+1,IF($F598=1,$H597,IF($A598=Config!$A$2,$H597,0)))</f>
        <v>0</v>
      </c>
      <c r="M598" s="123" t="n"/>
    </row>
    <row r="599">
      <c r="A599" s="120" t="str">
        <f>A598+1</f>
        <v>2026-06-03 00:00:00</v>
      </c>
      <c r="B599" s="121">
        <f>SUMIFS('Daily Writing Log'!$H$5:$H$34,'Daily Writing Log'!$A$5:$A$34,$A599)</f>
        <v>0</v>
      </c>
      <c r="C599" s="121">
        <f>SUMIFS('Daily Writing Log'!$I$5:$I$34,'Daily Writing Log'!$A$5:$A$34,$A599)</f>
        <v>0</v>
      </c>
      <c r="D599" s="122">
        <f>IF($C599&gt;=Config!$B$5,1,0)</f>
        <v>0</v>
      </c>
      <c r="E599" s="122">
        <f>IF(MONTH($A599)&lt;&gt;MONTH($A598),0,$G598)</f>
        <v>0</v>
      </c>
      <c r="F599" s="122">
        <f>IF(AND($D599=0,$H598&gt;0,$E599&lt;Config!$B$8,$A599&lt;Config!$A$2),1,0)</f>
        <v>0</v>
      </c>
      <c r="G599" s="122">
        <f>$E599+$F599</f>
        <v>0</v>
      </c>
      <c r="H599" s="122">
        <f>IF($D599=1,$H598+1,IF($F599=1,$H598,IF($A599=Config!$A$2,$H598,0)))</f>
        <v>0</v>
      </c>
      <c r="M599" s="123" t="n"/>
    </row>
    <row r="600">
      <c r="A600" s="120" t="str">
        <f>A599+1</f>
        <v>2026-06-04 00:00:00</v>
      </c>
      <c r="B600" s="121">
        <f>SUMIFS('Daily Writing Log'!$H$5:$H$34,'Daily Writing Log'!$A$5:$A$34,$A600)</f>
        <v>0</v>
      </c>
      <c r="C600" s="121">
        <f>SUMIFS('Daily Writing Log'!$I$5:$I$34,'Daily Writing Log'!$A$5:$A$34,$A600)</f>
        <v>0</v>
      </c>
      <c r="D600" s="122">
        <f>IF($C600&gt;=Config!$B$5,1,0)</f>
        <v>0</v>
      </c>
      <c r="E600" s="122">
        <f>IF(MONTH($A600)&lt;&gt;MONTH($A599),0,$G599)</f>
        <v>0</v>
      </c>
      <c r="F600" s="122">
        <f>IF(AND($D600=0,$H599&gt;0,$E600&lt;Config!$B$8,$A600&lt;Config!$A$2),1,0)</f>
        <v>0</v>
      </c>
      <c r="G600" s="122">
        <f>$E600+$F600</f>
        <v>0</v>
      </c>
      <c r="H600" s="122">
        <f>IF($D600=1,$H599+1,IF($F600=1,$H599,IF($A600=Config!$A$2,$H599,0)))</f>
        <v>0</v>
      </c>
      <c r="M600" s="123" t="n"/>
    </row>
    <row r="601">
      <c r="A601" s="120" t="str">
        <f>A600+1</f>
        <v>2026-06-05 00:00:00</v>
      </c>
      <c r="B601" s="121">
        <f>SUMIFS('Daily Writing Log'!$H$5:$H$34,'Daily Writing Log'!$A$5:$A$34,$A601)</f>
        <v>0</v>
      </c>
      <c r="C601" s="121">
        <f>SUMIFS('Daily Writing Log'!$I$5:$I$34,'Daily Writing Log'!$A$5:$A$34,$A601)</f>
        <v>0</v>
      </c>
      <c r="D601" s="122">
        <f>IF($C601&gt;=Config!$B$5,1,0)</f>
        <v>0</v>
      </c>
      <c r="E601" s="122">
        <f>IF(MONTH($A601)&lt;&gt;MONTH($A600),0,$G600)</f>
        <v>0</v>
      </c>
      <c r="F601" s="122">
        <f>IF(AND($D601=0,$H600&gt;0,$E601&lt;Config!$B$8,$A601&lt;Config!$A$2),1,0)</f>
        <v>0</v>
      </c>
      <c r="G601" s="122">
        <f>$E601+$F601</f>
        <v>0</v>
      </c>
      <c r="H601" s="122">
        <f>IF($D601=1,$H600+1,IF($F601=1,$H600,IF($A601=Config!$A$2,$H600,0)))</f>
        <v>0</v>
      </c>
      <c r="M601" s="123" t="n"/>
    </row>
    <row r="602">
      <c r="A602" s="120" t="str">
        <f>A601+1</f>
        <v>2026-06-06 00:00:00</v>
      </c>
      <c r="B602" s="121">
        <f>SUMIFS('Daily Writing Log'!$H$5:$H$34,'Daily Writing Log'!$A$5:$A$34,$A602)</f>
        <v>0</v>
      </c>
      <c r="C602" s="121">
        <f>SUMIFS('Daily Writing Log'!$I$5:$I$34,'Daily Writing Log'!$A$5:$A$34,$A602)</f>
        <v>0</v>
      </c>
      <c r="D602" s="122">
        <f>IF($C602&gt;=Config!$B$5,1,0)</f>
        <v>0</v>
      </c>
      <c r="E602" s="122">
        <f>IF(MONTH($A602)&lt;&gt;MONTH($A601),0,$G601)</f>
        <v>0</v>
      </c>
      <c r="F602" s="122">
        <f>IF(AND($D602=0,$H601&gt;0,$E602&lt;Config!$B$8,$A602&lt;Config!$A$2),1,0)</f>
        <v>0</v>
      </c>
      <c r="G602" s="122">
        <f>$E602+$F602</f>
        <v>0</v>
      </c>
      <c r="H602" s="122">
        <f>IF($D602=1,$H601+1,IF($F602=1,$H601,IF($A602=Config!$A$2,$H601,0)))</f>
        <v>0</v>
      </c>
      <c r="M602" s="123" t="n"/>
    </row>
    <row r="603">
      <c r="A603" s="120" t="str">
        <f>A602+1</f>
        <v>2026-06-07 00:00:00</v>
      </c>
      <c r="B603" s="121">
        <f>SUMIFS('Daily Writing Log'!$H$5:$H$34,'Daily Writing Log'!$A$5:$A$34,$A603)</f>
        <v>0</v>
      </c>
      <c r="C603" s="121">
        <f>SUMIFS('Daily Writing Log'!$I$5:$I$34,'Daily Writing Log'!$A$5:$A$34,$A603)</f>
        <v>0</v>
      </c>
      <c r="D603" s="122">
        <f>IF($C603&gt;=Config!$B$5,1,0)</f>
        <v>0</v>
      </c>
      <c r="E603" s="122">
        <f>IF(MONTH($A603)&lt;&gt;MONTH($A602),0,$G602)</f>
        <v>0</v>
      </c>
      <c r="F603" s="122">
        <f>IF(AND($D603=0,$H602&gt;0,$E603&lt;Config!$B$8,$A603&lt;Config!$A$2),1,0)</f>
        <v>0</v>
      </c>
      <c r="G603" s="122">
        <f>$E603+$F603</f>
        <v>0</v>
      </c>
      <c r="H603" s="122">
        <f>IF($D603=1,$H602+1,IF($F603=1,$H602,IF($A603=Config!$A$2,$H602,0)))</f>
        <v>0</v>
      </c>
      <c r="M603" s="123" t="n"/>
    </row>
    <row r="604">
      <c r="A604" s="120" t="str">
        <f>A603+1</f>
        <v>2026-06-08 00:00:00</v>
      </c>
      <c r="B604" s="121">
        <f>SUMIFS('Daily Writing Log'!$H$5:$H$34,'Daily Writing Log'!$A$5:$A$34,$A604)</f>
        <v>0</v>
      </c>
      <c r="C604" s="121">
        <f>SUMIFS('Daily Writing Log'!$I$5:$I$34,'Daily Writing Log'!$A$5:$A$34,$A604)</f>
        <v>0</v>
      </c>
      <c r="D604" s="122">
        <f>IF($C604&gt;=Config!$B$5,1,0)</f>
        <v>0</v>
      </c>
      <c r="E604" s="122">
        <f>IF(MONTH($A604)&lt;&gt;MONTH($A603),0,$G603)</f>
        <v>0</v>
      </c>
      <c r="F604" s="122">
        <f>IF(AND($D604=0,$H603&gt;0,$E604&lt;Config!$B$8,$A604&lt;Config!$A$2),1,0)</f>
        <v>0</v>
      </c>
      <c r="G604" s="122">
        <f>$E604+$F604</f>
        <v>0</v>
      </c>
      <c r="H604" s="122">
        <f>IF($D604=1,$H603+1,IF($F604=1,$H603,IF($A604=Config!$A$2,$H603,0)))</f>
        <v>0</v>
      </c>
      <c r="M604" s="123" t="n"/>
    </row>
    <row r="605">
      <c r="A605" s="120" t="str">
        <f>A604+1</f>
        <v>2026-06-09 00:00:00</v>
      </c>
      <c r="B605" s="121">
        <f>SUMIFS('Daily Writing Log'!$H$5:$H$34,'Daily Writing Log'!$A$5:$A$34,$A605)</f>
        <v>0</v>
      </c>
      <c r="C605" s="121">
        <f>SUMIFS('Daily Writing Log'!$I$5:$I$34,'Daily Writing Log'!$A$5:$A$34,$A605)</f>
        <v>0</v>
      </c>
      <c r="D605" s="122">
        <f>IF($C605&gt;=Config!$B$5,1,0)</f>
        <v>0</v>
      </c>
      <c r="E605" s="122">
        <f>IF(MONTH($A605)&lt;&gt;MONTH($A604),0,$G604)</f>
        <v>0</v>
      </c>
      <c r="F605" s="122">
        <f>IF(AND($D605=0,$H604&gt;0,$E605&lt;Config!$B$8,$A605&lt;Config!$A$2),1,0)</f>
        <v>0</v>
      </c>
      <c r="G605" s="122">
        <f>$E605+$F605</f>
        <v>0</v>
      </c>
      <c r="H605" s="122">
        <f>IF($D605=1,$H604+1,IF($F605=1,$H604,IF($A605=Config!$A$2,$H604,0)))</f>
        <v>0</v>
      </c>
      <c r="M605" s="123" t="n"/>
    </row>
    <row r="606">
      <c r="A606" s="120" t="str">
        <f>A605+1</f>
        <v>2026-06-10 00:00:00</v>
      </c>
      <c r="B606" s="121">
        <f>SUMIFS('Daily Writing Log'!$H$5:$H$34,'Daily Writing Log'!$A$5:$A$34,$A606)</f>
        <v>0</v>
      </c>
      <c r="C606" s="121">
        <f>SUMIFS('Daily Writing Log'!$I$5:$I$34,'Daily Writing Log'!$A$5:$A$34,$A606)</f>
        <v>0</v>
      </c>
      <c r="D606" s="122">
        <f>IF($C606&gt;=Config!$B$5,1,0)</f>
        <v>0</v>
      </c>
      <c r="E606" s="122">
        <f>IF(MONTH($A606)&lt;&gt;MONTH($A605),0,$G605)</f>
        <v>0</v>
      </c>
      <c r="F606" s="122">
        <f>IF(AND($D606=0,$H605&gt;0,$E606&lt;Config!$B$8,$A606&lt;Config!$A$2),1,0)</f>
        <v>0</v>
      </c>
      <c r="G606" s="122">
        <f>$E606+$F606</f>
        <v>0</v>
      </c>
      <c r="H606" s="122">
        <f>IF($D606=1,$H605+1,IF($F606=1,$H605,IF($A606=Config!$A$2,$H605,0)))</f>
        <v>0</v>
      </c>
      <c r="M606" s="123" t="n"/>
    </row>
    <row r="607">
      <c r="A607" s="120" t="str">
        <f>A606+1</f>
        <v>2026-06-11 00:00:00</v>
      </c>
      <c r="B607" s="121">
        <f>SUMIFS('Daily Writing Log'!$H$5:$H$34,'Daily Writing Log'!$A$5:$A$34,$A607)</f>
        <v>0</v>
      </c>
      <c r="C607" s="121">
        <f>SUMIFS('Daily Writing Log'!$I$5:$I$34,'Daily Writing Log'!$A$5:$A$34,$A607)</f>
        <v>0</v>
      </c>
      <c r="D607" s="122">
        <f>IF($C607&gt;=Config!$B$5,1,0)</f>
        <v>0</v>
      </c>
      <c r="E607" s="122">
        <f>IF(MONTH($A607)&lt;&gt;MONTH($A606),0,$G606)</f>
        <v>0</v>
      </c>
      <c r="F607" s="122">
        <f>IF(AND($D607=0,$H606&gt;0,$E607&lt;Config!$B$8,$A607&lt;Config!$A$2),1,0)</f>
        <v>0</v>
      </c>
      <c r="G607" s="122">
        <f>$E607+$F607</f>
        <v>0</v>
      </c>
      <c r="H607" s="122">
        <f>IF($D607=1,$H606+1,IF($F607=1,$H606,IF($A607=Config!$A$2,$H606,0)))</f>
        <v>0</v>
      </c>
      <c r="M607" s="123" t="n"/>
    </row>
    <row r="608">
      <c r="A608" s="120" t="str">
        <f>A607+1</f>
        <v>2026-06-12 00:00:00</v>
      </c>
      <c r="B608" s="121">
        <f>SUMIFS('Daily Writing Log'!$H$5:$H$34,'Daily Writing Log'!$A$5:$A$34,$A608)</f>
        <v>0</v>
      </c>
      <c r="C608" s="121">
        <f>SUMIFS('Daily Writing Log'!$I$5:$I$34,'Daily Writing Log'!$A$5:$A$34,$A608)</f>
        <v>0</v>
      </c>
      <c r="D608" s="122">
        <f>IF($C608&gt;=Config!$B$5,1,0)</f>
        <v>0</v>
      </c>
      <c r="E608" s="122">
        <f>IF(MONTH($A608)&lt;&gt;MONTH($A607),0,$G607)</f>
        <v>0</v>
      </c>
      <c r="F608" s="122">
        <f>IF(AND($D608=0,$H607&gt;0,$E608&lt;Config!$B$8,$A608&lt;Config!$A$2),1,0)</f>
        <v>0</v>
      </c>
      <c r="G608" s="122">
        <f>$E608+$F608</f>
        <v>0</v>
      </c>
      <c r="H608" s="122">
        <f>IF($D608=1,$H607+1,IF($F608=1,$H607,IF($A608=Config!$A$2,$H607,0)))</f>
        <v>0</v>
      </c>
      <c r="M608" s="123" t="n"/>
    </row>
    <row r="609">
      <c r="A609" s="120" t="str">
        <f>A608+1</f>
        <v>2026-06-13 00:00:00</v>
      </c>
      <c r="B609" s="121">
        <f>SUMIFS('Daily Writing Log'!$H$5:$H$34,'Daily Writing Log'!$A$5:$A$34,$A609)</f>
        <v>0</v>
      </c>
      <c r="C609" s="121">
        <f>SUMIFS('Daily Writing Log'!$I$5:$I$34,'Daily Writing Log'!$A$5:$A$34,$A609)</f>
        <v>0</v>
      </c>
      <c r="D609" s="122">
        <f>IF($C609&gt;=Config!$B$5,1,0)</f>
        <v>0</v>
      </c>
      <c r="E609" s="122">
        <f>IF(MONTH($A609)&lt;&gt;MONTH($A608),0,$G608)</f>
        <v>0</v>
      </c>
      <c r="F609" s="122">
        <f>IF(AND($D609=0,$H608&gt;0,$E609&lt;Config!$B$8,$A609&lt;Config!$A$2),1,0)</f>
        <v>0</v>
      </c>
      <c r="G609" s="122">
        <f>$E609+$F609</f>
        <v>0</v>
      </c>
      <c r="H609" s="122">
        <f>IF($D609=1,$H608+1,IF($F609=1,$H608,IF($A609=Config!$A$2,$H608,0)))</f>
        <v>0</v>
      </c>
      <c r="M609" s="123" t="n"/>
    </row>
    <row r="610">
      <c r="A610" s="120" t="str">
        <f>A609+1</f>
        <v>2026-06-14 00:00:00</v>
      </c>
      <c r="B610" s="121">
        <f>SUMIFS('Daily Writing Log'!$H$5:$H$34,'Daily Writing Log'!$A$5:$A$34,$A610)</f>
        <v>0</v>
      </c>
      <c r="C610" s="121">
        <f>SUMIFS('Daily Writing Log'!$I$5:$I$34,'Daily Writing Log'!$A$5:$A$34,$A610)</f>
        <v>0</v>
      </c>
      <c r="D610" s="122">
        <f>IF($C610&gt;=Config!$B$5,1,0)</f>
        <v>0</v>
      </c>
      <c r="E610" s="122">
        <f>IF(MONTH($A610)&lt;&gt;MONTH($A609),0,$G609)</f>
        <v>0</v>
      </c>
      <c r="F610" s="122">
        <f>IF(AND($D610=0,$H609&gt;0,$E610&lt;Config!$B$8,$A610&lt;Config!$A$2),1,0)</f>
        <v>0</v>
      </c>
      <c r="G610" s="122">
        <f>$E610+$F610</f>
        <v>0</v>
      </c>
      <c r="H610" s="122">
        <f>IF($D610=1,$H609+1,IF($F610=1,$H609,IF($A610=Config!$A$2,$H609,0)))</f>
        <v>0</v>
      </c>
      <c r="M610" s="123" t="n"/>
    </row>
    <row r="611">
      <c r="A611" s="120" t="str">
        <f>A610+1</f>
        <v>2026-06-15 00:00:00</v>
      </c>
      <c r="B611" s="121">
        <f>SUMIFS('Daily Writing Log'!$H$5:$H$34,'Daily Writing Log'!$A$5:$A$34,$A611)</f>
        <v>0</v>
      </c>
      <c r="C611" s="121">
        <f>SUMIFS('Daily Writing Log'!$I$5:$I$34,'Daily Writing Log'!$A$5:$A$34,$A611)</f>
        <v>0</v>
      </c>
      <c r="D611" s="122">
        <f>IF($C611&gt;=Config!$B$5,1,0)</f>
        <v>0</v>
      </c>
      <c r="E611" s="122">
        <f>IF(MONTH($A611)&lt;&gt;MONTH($A610),0,$G610)</f>
        <v>0</v>
      </c>
      <c r="F611" s="122">
        <f>IF(AND($D611=0,$H610&gt;0,$E611&lt;Config!$B$8,$A611&lt;Config!$A$2),1,0)</f>
        <v>0</v>
      </c>
      <c r="G611" s="122">
        <f>$E611+$F611</f>
        <v>0</v>
      </c>
      <c r="H611" s="122">
        <f>IF($D611=1,$H610+1,IF($F611=1,$H610,IF($A611=Config!$A$2,$H610,0)))</f>
        <v>0</v>
      </c>
      <c r="M611" s="123" t="n"/>
    </row>
    <row r="612">
      <c r="A612" s="120" t="str">
        <f>A611+1</f>
        <v>2026-06-16 00:00:00</v>
      </c>
      <c r="B612" s="121">
        <f>SUMIFS('Daily Writing Log'!$H$5:$H$34,'Daily Writing Log'!$A$5:$A$34,$A612)</f>
        <v>0</v>
      </c>
      <c r="C612" s="121">
        <f>SUMIFS('Daily Writing Log'!$I$5:$I$34,'Daily Writing Log'!$A$5:$A$34,$A612)</f>
        <v>0</v>
      </c>
      <c r="D612" s="122">
        <f>IF($C612&gt;=Config!$B$5,1,0)</f>
        <v>0</v>
      </c>
      <c r="E612" s="122">
        <f>IF(MONTH($A612)&lt;&gt;MONTH($A611),0,$G611)</f>
        <v>0</v>
      </c>
      <c r="F612" s="122">
        <f>IF(AND($D612=0,$H611&gt;0,$E612&lt;Config!$B$8,$A612&lt;Config!$A$2),1,0)</f>
        <v>0</v>
      </c>
      <c r="G612" s="122">
        <f>$E612+$F612</f>
        <v>0</v>
      </c>
      <c r="H612" s="122">
        <f>IF($D612=1,$H611+1,IF($F612=1,$H611,IF($A612=Config!$A$2,$H611,0)))</f>
        <v>0</v>
      </c>
      <c r="M612" s="123" t="n"/>
    </row>
    <row r="613">
      <c r="A613" s="120" t="str">
        <f>A612+1</f>
        <v>2026-06-17 00:00:00</v>
      </c>
      <c r="B613" s="121">
        <f>SUMIFS('Daily Writing Log'!$H$5:$H$34,'Daily Writing Log'!$A$5:$A$34,$A613)</f>
        <v>0</v>
      </c>
      <c r="C613" s="121">
        <f>SUMIFS('Daily Writing Log'!$I$5:$I$34,'Daily Writing Log'!$A$5:$A$34,$A613)</f>
        <v>0</v>
      </c>
      <c r="D613" s="122">
        <f>IF($C613&gt;=Config!$B$5,1,0)</f>
        <v>0</v>
      </c>
      <c r="E613" s="122">
        <f>IF(MONTH($A613)&lt;&gt;MONTH($A612),0,$G612)</f>
        <v>0</v>
      </c>
      <c r="F613" s="122">
        <f>IF(AND($D613=0,$H612&gt;0,$E613&lt;Config!$B$8,$A613&lt;Config!$A$2),1,0)</f>
        <v>0</v>
      </c>
      <c r="G613" s="122">
        <f>$E613+$F613</f>
        <v>0</v>
      </c>
      <c r="H613" s="122">
        <f>IF($D613=1,$H612+1,IF($F613=1,$H612,IF($A613=Config!$A$2,$H612,0)))</f>
        <v>0</v>
      </c>
      <c r="M613" s="123" t="n"/>
    </row>
    <row r="614">
      <c r="A614" s="120" t="str">
        <f>A613+1</f>
        <v>2026-06-18 00:00:00</v>
      </c>
      <c r="B614" s="121">
        <f>SUMIFS('Daily Writing Log'!$H$5:$H$34,'Daily Writing Log'!$A$5:$A$34,$A614)</f>
        <v>0</v>
      </c>
      <c r="C614" s="121">
        <f>SUMIFS('Daily Writing Log'!$I$5:$I$34,'Daily Writing Log'!$A$5:$A$34,$A614)</f>
        <v>0</v>
      </c>
      <c r="D614" s="122">
        <f>IF($C614&gt;=Config!$B$5,1,0)</f>
        <v>0</v>
      </c>
      <c r="E614" s="122">
        <f>IF(MONTH($A614)&lt;&gt;MONTH($A613),0,$G613)</f>
        <v>0</v>
      </c>
      <c r="F614" s="122">
        <f>IF(AND($D614=0,$H613&gt;0,$E614&lt;Config!$B$8,$A614&lt;Config!$A$2),1,0)</f>
        <v>0</v>
      </c>
      <c r="G614" s="122">
        <f>$E614+$F614</f>
        <v>0</v>
      </c>
      <c r="H614" s="122">
        <f>IF($D614=1,$H613+1,IF($F614=1,$H613,IF($A614=Config!$A$2,$H613,0)))</f>
        <v>0</v>
      </c>
      <c r="M614" s="123" t="n"/>
    </row>
    <row r="615">
      <c r="A615" s="120" t="str">
        <f>A614+1</f>
        <v>2026-06-19 00:00:00</v>
      </c>
      <c r="B615" s="121">
        <f>SUMIFS('Daily Writing Log'!$H$5:$H$34,'Daily Writing Log'!$A$5:$A$34,$A615)</f>
        <v>0</v>
      </c>
      <c r="C615" s="121">
        <f>SUMIFS('Daily Writing Log'!$I$5:$I$34,'Daily Writing Log'!$A$5:$A$34,$A615)</f>
        <v>0</v>
      </c>
      <c r="D615" s="122">
        <f>IF($C615&gt;=Config!$B$5,1,0)</f>
        <v>0</v>
      </c>
      <c r="E615" s="122">
        <f>IF(MONTH($A615)&lt;&gt;MONTH($A614),0,$G614)</f>
        <v>0</v>
      </c>
      <c r="F615" s="122">
        <f>IF(AND($D615=0,$H614&gt;0,$E615&lt;Config!$B$8,$A615&lt;Config!$A$2),1,0)</f>
        <v>0</v>
      </c>
      <c r="G615" s="122">
        <f>$E615+$F615</f>
        <v>0</v>
      </c>
      <c r="H615" s="122">
        <f>IF($D615=1,$H614+1,IF($F615=1,$H614,IF($A615=Config!$A$2,$H614,0)))</f>
        <v>0</v>
      </c>
      <c r="M615" s="123" t="n"/>
    </row>
    <row r="616">
      <c r="A616" s="120" t="str">
        <f>A615+1</f>
        <v>2026-06-20 00:00:00</v>
      </c>
      <c r="B616" s="121">
        <f>SUMIFS('Daily Writing Log'!$H$5:$H$34,'Daily Writing Log'!$A$5:$A$34,$A616)</f>
        <v>0</v>
      </c>
      <c r="C616" s="121">
        <f>SUMIFS('Daily Writing Log'!$I$5:$I$34,'Daily Writing Log'!$A$5:$A$34,$A616)</f>
        <v>0</v>
      </c>
      <c r="D616" s="122">
        <f>IF($C616&gt;=Config!$B$5,1,0)</f>
        <v>0</v>
      </c>
      <c r="E616" s="122">
        <f>IF(MONTH($A616)&lt;&gt;MONTH($A615),0,$G615)</f>
        <v>0</v>
      </c>
      <c r="F616" s="122">
        <f>IF(AND($D616=0,$H615&gt;0,$E616&lt;Config!$B$8,$A616&lt;Config!$A$2),1,0)</f>
        <v>0</v>
      </c>
      <c r="G616" s="122">
        <f>$E616+$F616</f>
        <v>0</v>
      </c>
      <c r="H616" s="122">
        <f>IF($D616=1,$H615+1,IF($F616=1,$H615,IF($A616=Config!$A$2,$H615,0)))</f>
        <v>0</v>
      </c>
      <c r="M616" s="123" t="n"/>
    </row>
    <row r="617">
      <c r="A617" s="120" t="str">
        <f>A616+1</f>
        <v>2026-06-21 00:00:00</v>
      </c>
      <c r="B617" s="121">
        <f>SUMIFS('Daily Writing Log'!$H$5:$H$34,'Daily Writing Log'!$A$5:$A$34,$A617)</f>
        <v>0</v>
      </c>
      <c r="C617" s="121">
        <f>SUMIFS('Daily Writing Log'!$I$5:$I$34,'Daily Writing Log'!$A$5:$A$34,$A617)</f>
        <v>0</v>
      </c>
      <c r="D617" s="122">
        <f>IF($C617&gt;=Config!$B$5,1,0)</f>
        <v>0</v>
      </c>
      <c r="E617" s="122">
        <f>IF(MONTH($A617)&lt;&gt;MONTH($A616),0,$G616)</f>
        <v>0</v>
      </c>
      <c r="F617" s="122">
        <f>IF(AND($D617=0,$H616&gt;0,$E617&lt;Config!$B$8,$A617&lt;Config!$A$2),1,0)</f>
        <v>0</v>
      </c>
      <c r="G617" s="122">
        <f>$E617+$F617</f>
        <v>0</v>
      </c>
      <c r="H617" s="122">
        <f>IF($D617=1,$H616+1,IF($F617=1,$H616,IF($A617=Config!$A$2,$H616,0)))</f>
        <v>0</v>
      </c>
      <c r="M617" s="123" t="n"/>
    </row>
    <row r="618">
      <c r="A618" s="120" t="str">
        <f>A617+1</f>
        <v>2026-06-22 00:00:00</v>
      </c>
      <c r="B618" s="121">
        <f>SUMIFS('Daily Writing Log'!$H$5:$H$34,'Daily Writing Log'!$A$5:$A$34,$A618)</f>
        <v>0</v>
      </c>
      <c r="C618" s="121">
        <f>SUMIFS('Daily Writing Log'!$I$5:$I$34,'Daily Writing Log'!$A$5:$A$34,$A618)</f>
        <v>0</v>
      </c>
      <c r="D618" s="122">
        <f>IF($C618&gt;=Config!$B$5,1,0)</f>
        <v>0</v>
      </c>
      <c r="E618" s="122">
        <f>IF(MONTH($A618)&lt;&gt;MONTH($A617),0,$G617)</f>
        <v>0</v>
      </c>
      <c r="F618" s="122">
        <f>IF(AND($D618=0,$H617&gt;0,$E618&lt;Config!$B$8,$A618&lt;Config!$A$2),1,0)</f>
        <v>0</v>
      </c>
      <c r="G618" s="122">
        <f>$E618+$F618</f>
        <v>0</v>
      </c>
      <c r="H618" s="122">
        <f>IF($D618=1,$H617+1,IF($F618=1,$H617,IF($A618=Config!$A$2,$H617,0)))</f>
        <v>0</v>
      </c>
      <c r="M618" s="123" t="n"/>
    </row>
    <row r="619">
      <c r="A619" s="120" t="str">
        <f>A618+1</f>
        <v>2026-06-23 00:00:00</v>
      </c>
      <c r="B619" s="121">
        <f>SUMIFS('Daily Writing Log'!$H$5:$H$34,'Daily Writing Log'!$A$5:$A$34,$A619)</f>
        <v>0</v>
      </c>
      <c r="C619" s="121">
        <f>SUMIFS('Daily Writing Log'!$I$5:$I$34,'Daily Writing Log'!$A$5:$A$34,$A619)</f>
        <v>0</v>
      </c>
      <c r="D619" s="122">
        <f>IF($C619&gt;=Config!$B$5,1,0)</f>
        <v>0</v>
      </c>
      <c r="E619" s="122">
        <f>IF(MONTH($A619)&lt;&gt;MONTH($A618),0,$G618)</f>
        <v>0</v>
      </c>
      <c r="F619" s="122">
        <f>IF(AND($D619=0,$H618&gt;0,$E619&lt;Config!$B$8,$A619&lt;Config!$A$2),1,0)</f>
        <v>0</v>
      </c>
      <c r="G619" s="122">
        <f>$E619+$F619</f>
        <v>0</v>
      </c>
      <c r="H619" s="122">
        <f>IF($D619=1,$H618+1,IF($F619=1,$H618,IF($A619=Config!$A$2,$H618,0)))</f>
        <v>0</v>
      </c>
      <c r="M619" s="123" t="n"/>
    </row>
    <row r="620">
      <c r="A620" s="120" t="str">
        <f>A619+1</f>
        <v>2026-06-24 00:00:00</v>
      </c>
      <c r="B620" s="121">
        <f>SUMIFS('Daily Writing Log'!$H$5:$H$34,'Daily Writing Log'!$A$5:$A$34,$A620)</f>
        <v>0</v>
      </c>
      <c r="C620" s="121">
        <f>SUMIFS('Daily Writing Log'!$I$5:$I$34,'Daily Writing Log'!$A$5:$A$34,$A620)</f>
        <v>0</v>
      </c>
      <c r="D620" s="122">
        <f>IF($C620&gt;=Config!$B$5,1,0)</f>
        <v>0</v>
      </c>
      <c r="E620" s="122">
        <f>IF(MONTH($A620)&lt;&gt;MONTH($A619),0,$G619)</f>
        <v>0</v>
      </c>
      <c r="F620" s="122">
        <f>IF(AND($D620=0,$H619&gt;0,$E620&lt;Config!$B$8,$A620&lt;Config!$A$2),1,0)</f>
        <v>0</v>
      </c>
      <c r="G620" s="122">
        <f>$E620+$F620</f>
        <v>0</v>
      </c>
      <c r="H620" s="122">
        <f>IF($D620=1,$H619+1,IF($F620=1,$H619,IF($A620=Config!$A$2,$H619,0)))</f>
        <v>0</v>
      </c>
      <c r="M620" s="123" t="n"/>
    </row>
    <row r="621">
      <c r="A621" s="120" t="str">
        <f>A620+1</f>
        <v>2026-06-25 00:00:00</v>
      </c>
      <c r="B621" s="121">
        <f>SUMIFS('Daily Writing Log'!$H$5:$H$34,'Daily Writing Log'!$A$5:$A$34,$A621)</f>
        <v>0</v>
      </c>
      <c r="C621" s="121">
        <f>SUMIFS('Daily Writing Log'!$I$5:$I$34,'Daily Writing Log'!$A$5:$A$34,$A621)</f>
        <v>0</v>
      </c>
      <c r="D621" s="122">
        <f>IF($C621&gt;=Config!$B$5,1,0)</f>
        <v>0</v>
      </c>
      <c r="E621" s="122">
        <f>IF(MONTH($A621)&lt;&gt;MONTH($A620),0,$G620)</f>
        <v>0</v>
      </c>
      <c r="F621" s="122">
        <f>IF(AND($D621=0,$H620&gt;0,$E621&lt;Config!$B$8,$A621&lt;Config!$A$2),1,0)</f>
        <v>0</v>
      </c>
      <c r="G621" s="122">
        <f>$E621+$F621</f>
        <v>0</v>
      </c>
      <c r="H621" s="122">
        <f>IF($D621=1,$H620+1,IF($F621=1,$H620,IF($A621=Config!$A$2,$H620,0)))</f>
        <v>0</v>
      </c>
      <c r="M621" s="123" t="n"/>
    </row>
    <row r="622">
      <c r="A622" s="120" t="str">
        <f>A621+1</f>
        <v>2026-06-26 00:00:00</v>
      </c>
      <c r="B622" s="121">
        <f>SUMIFS('Daily Writing Log'!$H$5:$H$34,'Daily Writing Log'!$A$5:$A$34,$A622)</f>
        <v>0</v>
      </c>
      <c r="C622" s="121">
        <f>SUMIFS('Daily Writing Log'!$I$5:$I$34,'Daily Writing Log'!$A$5:$A$34,$A622)</f>
        <v>0</v>
      </c>
      <c r="D622" s="122">
        <f>IF($C622&gt;=Config!$B$5,1,0)</f>
        <v>0</v>
      </c>
      <c r="E622" s="122">
        <f>IF(MONTH($A622)&lt;&gt;MONTH($A621),0,$G621)</f>
        <v>0</v>
      </c>
      <c r="F622" s="122">
        <f>IF(AND($D622=0,$H621&gt;0,$E622&lt;Config!$B$8,$A622&lt;Config!$A$2),1,0)</f>
        <v>0</v>
      </c>
      <c r="G622" s="122">
        <f>$E622+$F622</f>
        <v>0</v>
      </c>
      <c r="H622" s="122">
        <f>IF($D622=1,$H621+1,IF($F622=1,$H621,IF($A622=Config!$A$2,$H621,0)))</f>
        <v>0</v>
      </c>
      <c r="M622" s="123" t="n"/>
    </row>
    <row r="623">
      <c r="A623" s="120" t="str">
        <f>A622+1</f>
        <v>2026-06-27 00:00:00</v>
      </c>
      <c r="B623" s="121">
        <f>SUMIFS('Daily Writing Log'!$H$5:$H$34,'Daily Writing Log'!$A$5:$A$34,$A623)</f>
        <v>0</v>
      </c>
      <c r="C623" s="121">
        <f>SUMIFS('Daily Writing Log'!$I$5:$I$34,'Daily Writing Log'!$A$5:$A$34,$A623)</f>
        <v>0</v>
      </c>
      <c r="D623" s="122">
        <f>IF($C623&gt;=Config!$B$5,1,0)</f>
        <v>0</v>
      </c>
      <c r="E623" s="122">
        <f>IF(MONTH($A623)&lt;&gt;MONTH($A622),0,$G622)</f>
        <v>0</v>
      </c>
      <c r="F623" s="122">
        <f>IF(AND($D623=0,$H622&gt;0,$E623&lt;Config!$B$8,$A623&lt;Config!$A$2),1,0)</f>
        <v>0</v>
      </c>
      <c r="G623" s="122">
        <f>$E623+$F623</f>
        <v>0</v>
      </c>
      <c r="H623" s="122">
        <f>IF($D623=1,$H622+1,IF($F623=1,$H622,IF($A623=Config!$A$2,$H622,0)))</f>
        <v>0</v>
      </c>
      <c r="M623" s="123" t="n"/>
    </row>
    <row r="624">
      <c r="A624" s="120" t="str">
        <f>A623+1</f>
        <v>2026-06-28 00:00:00</v>
      </c>
      <c r="B624" s="121">
        <f>SUMIFS('Daily Writing Log'!$H$5:$H$34,'Daily Writing Log'!$A$5:$A$34,$A624)</f>
        <v>0</v>
      </c>
      <c r="C624" s="121">
        <f>SUMIFS('Daily Writing Log'!$I$5:$I$34,'Daily Writing Log'!$A$5:$A$34,$A624)</f>
        <v>0</v>
      </c>
      <c r="D624" s="122">
        <f>IF($C624&gt;=Config!$B$5,1,0)</f>
        <v>0</v>
      </c>
      <c r="E624" s="122">
        <f>IF(MONTH($A624)&lt;&gt;MONTH($A623),0,$G623)</f>
        <v>0</v>
      </c>
      <c r="F624" s="122">
        <f>IF(AND($D624=0,$H623&gt;0,$E624&lt;Config!$B$8,$A624&lt;Config!$A$2),1,0)</f>
        <v>0</v>
      </c>
      <c r="G624" s="122">
        <f>$E624+$F624</f>
        <v>0</v>
      </c>
      <c r="H624" s="122">
        <f>IF($D624=1,$H623+1,IF($F624=1,$H623,IF($A624=Config!$A$2,$H623,0)))</f>
        <v>0</v>
      </c>
      <c r="M624" s="123" t="n"/>
    </row>
    <row r="625">
      <c r="A625" s="120" t="str">
        <f>A624+1</f>
        <v>2026-06-29 00:00:00</v>
      </c>
      <c r="B625" s="121">
        <f>SUMIFS('Daily Writing Log'!$H$5:$H$34,'Daily Writing Log'!$A$5:$A$34,$A625)</f>
        <v>0</v>
      </c>
      <c r="C625" s="121">
        <f>SUMIFS('Daily Writing Log'!$I$5:$I$34,'Daily Writing Log'!$A$5:$A$34,$A625)</f>
        <v>0</v>
      </c>
      <c r="D625" s="122">
        <f>IF($C625&gt;=Config!$B$5,1,0)</f>
        <v>0</v>
      </c>
      <c r="E625" s="122">
        <f>IF(MONTH($A625)&lt;&gt;MONTH($A624),0,$G624)</f>
        <v>0</v>
      </c>
      <c r="F625" s="122">
        <f>IF(AND($D625=0,$H624&gt;0,$E625&lt;Config!$B$8,$A625&lt;Config!$A$2),1,0)</f>
        <v>0</v>
      </c>
      <c r="G625" s="122">
        <f>$E625+$F625</f>
        <v>0</v>
      </c>
      <c r="H625" s="122">
        <f>IF($D625=1,$H624+1,IF($F625=1,$H624,IF($A625=Config!$A$2,$H624,0)))</f>
        <v>0</v>
      </c>
      <c r="M625" s="123" t="n"/>
    </row>
    <row r="626">
      <c r="A626" s="120" t="str">
        <f>A625+1</f>
        <v>2026-06-30 00:00:00</v>
      </c>
      <c r="B626" s="121">
        <f>SUMIFS('Daily Writing Log'!$H$5:$H$34,'Daily Writing Log'!$A$5:$A$34,$A626)</f>
        <v>0</v>
      </c>
      <c r="C626" s="121">
        <f>SUMIFS('Daily Writing Log'!$I$5:$I$34,'Daily Writing Log'!$A$5:$A$34,$A626)</f>
        <v>0</v>
      </c>
      <c r="D626" s="122">
        <f>IF($C626&gt;=Config!$B$5,1,0)</f>
        <v>0</v>
      </c>
      <c r="E626" s="122">
        <f>IF(MONTH($A626)&lt;&gt;MONTH($A625),0,$G625)</f>
        <v>0</v>
      </c>
      <c r="F626" s="122">
        <f>IF(AND($D626=0,$H625&gt;0,$E626&lt;Config!$B$8,$A626&lt;Config!$A$2),1,0)</f>
        <v>0</v>
      </c>
      <c r="G626" s="122">
        <f>$E626+$F626</f>
        <v>0</v>
      </c>
      <c r="H626" s="122">
        <f>IF($D626=1,$H625+1,IF($F626=1,$H625,IF($A626=Config!$A$2,$H625,0)))</f>
        <v>0</v>
      </c>
      <c r="M626" s="123" t="n"/>
    </row>
    <row r="627">
      <c r="A627" s="120" t="str">
        <f>A626+1</f>
        <v>2026-07-01 00:00:00</v>
      </c>
      <c r="B627" s="121">
        <f>SUMIFS('Daily Writing Log'!$H$5:$H$34,'Daily Writing Log'!$A$5:$A$34,$A627)</f>
        <v>0</v>
      </c>
      <c r="C627" s="121">
        <f>SUMIFS('Daily Writing Log'!$I$5:$I$34,'Daily Writing Log'!$A$5:$A$34,$A627)</f>
        <v>0</v>
      </c>
      <c r="D627" s="122">
        <f>IF($C627&gt;=Config!$B$5,1,0)</f>
        <v>0</v>
      </c>
      <c r="E627" s="122">
        <f>IF(MONTH($A627)&lt;&gt;MONTH($A626),0,$G626)</f>
        <v>0</v>
      </c>
      <c r="F627" s="122">
        <f>IF(AND($D627=0,$H626&gt;0,$E627&lt;Config!$B$8,$A627&lt;Config!$A$2),1,0)</f>
        <v>0</v>
      </c>
      <c r="G627" s="122">
        <f>$E627+$F627</f>
        <v>0</v>
      </c>
      <c r="H627" s="122">
        <f>IF($D627=1,$H626+1,IF($F627=1,$H626,IF($A627=Config!$A$2,$H626,0)))</f>
        <v>0</v>
      </c>
      <c r="M627" s="123" t="n"/>
    </row>
    <row r="628">
      <c r="A628" s="120" t="str">
        <f>A627+1</f>
        <v>2026-07-02 00:00:00</v>
      </c>
      <c r="B628" s="121">
        <f>SUMIFS('Daily Writing Log'!$H$5:$H$34,'Daily Writing Log'!$A$5:$A$34,$A628)</f>
        <v>0</v>
      </c>
      <c r="C628" s="121">
        <f>SUMIFS('Daily Writing Log'!$I$5:$I$34,'Daily Writing Log'!$A$5:$A$34,$A628)</f>
        <v>0</v>
      </c>
      <c r="D628" s="122">
        <f>IF($C628&gt;=Config!$B$5,1,0)</f>
        <v>0</v>
      </c>
      <c r="E628" s="122">
        <f>IF(MONTH($A628)&lt;&gt;MONTH($A627),0,$G627)</f>
        <v>0</v>
      </c>
      <c r="F628" s="122">
        <f>IF(AND($D628=0,$H627&gt;0,$E628&lt;Config!$B$8,$A628&lt;Config!$A$2),1,0)</f>
        <v>0</v>
      </c>
      <c r="G628" s="122">
        <f>$E628+$F628</f>
        <v>0</v>
      </c>
      <c r="H628" s="122">
        <f>IF($D628=1,$H627+1,IF($F628=1,$H627,IF($A628=Config!$A$2,$H627,0)))</f>
        <v>0</v>
      </c>
      <c r="M628" s="123" t="n"/>
    </row>
    <row r="629">
      <c r="A629" s="120" t="str">
        <f>A628+1</f>
        <v>2026-07-03 00:00:00</v>
      </c>
      <c r="B629" s="121">
        <f>SUMIFS('Daily Writing Log'!$H$5:$H$34,'Daily Writing Log'!$A$5:$A$34,$A629)</f>
        <v>0</v>
      </c>
      <c r="C629" s="121">
        <f>SUMIFS('Daily Writing Log'!$I$5:$I$34,'Daily Writing Log'!$A$5:$A$34,$A629)</f>
        <v>0</v>
      </c>
      <c r="D629" s="122">
        <f>IF($C629&gt;=Config!$B$5,1,0)</f>
        <v>0</v>
      </c>
      <c r="E629" s="122">
        <f>IF(MONTH($A629)&lt;&gt;MONTH($A628),0,$G628)</f>
        <v>0</v>
      </c>
      <c r="F629" s="122">
        <f>IF(AND($D629=0,$H628&gt;0,$E629&lt;Config!$B$8,$A629&lt;Config!$A$2),1,0)</f>
        <v>0</v>
      </c>
      <c r="G629" s="122">
        <f>$E629+$F629</f>
        <v>0</v>
      </c>
      <c r="H629" s="122">
        <f>IF($D629=1,$H628+1,IF($F629=1,$H628,IF($A629=Config!$A$2,$H628,0)))</f>
        <v>0</v>
      </c>
      <c r="M629" s="123" t="n"/>
    </row>
    <row r="630">
      <c r="A630" s="120" t="str">
        <f>A629+1</f>
        <v>2026-07-04 00:00:00</v>
      </c>
      <c r="B630" s="121">
        <f>SUMIFS('Daily Writing Log'!$H$5:$H$34,'Daily Writing Log'!$A$5:$A$34,$A630)</f>
        <v>0</v>
      </c>
      <c r="C630" s="121">
        <f>SUMIFS('Daily Writing Log'!$I$5:$I$34,'Daily Writing Log'!$A$5:$A$34,$A630)</f>
        <v>0</v>
      </c>
      <c r="D630" s="122">
        <f>IF($C630&gt;=Config!$B$5,1,0)</f>
        <v>0</v>
      </c>
      <c r="E630" s="122">
        <f>IF(MONTH($A630)&lt;&gt;MONTH($A629),0,$G629)</f>
        <v>0</v>
      </c>
      <c r="F630" s="122">
        <f>IF(AND($D630=0,$H629&gt;0,$E630&lt;Config!$B$8,$A630&lt;Config!$A$2),1,0)</f>
        <v>0</v>
      </c>
      <c r="G630" s="122">
        <f>$E630+$F630</f>
        <v>0</v>
      </c>
      <c r="H630" s="122">
        <f>IF($D630=1,$H629+1,IF($F630=1,$H629,IF($A630=Config!$A$2,$H629,0)))</f>
        <v>0</v>
      </c>
      <c r="M630" s="123" t="n"/>
    </row>
    <row r="631">
      <c r="A631" s="120" t="str">
        <f>A630+1</f>
        <v>2026-07-05 00:00:00</v>
      </c>
      <c r="B631" s="121">
        <f>SUMIFS('Daily Writing Log'!$H$5:$H$34,'Daily Writing Log'!$A$5:$A$34,$A631)</f>
        <v>0</v>
      </c>
      <c r="C631" s="121">
        <f>SUMIFS('Daily Writing Log'!$I$5:$I$34,'Daily Writing Log'!$A$5:$A$34,$A631)</f>
        <v>0</v>
      </c>
      <c r="D631" s="122">
        <f>IF($C631&gt;=Config!$B$5,1,0)</f>
        <v>0</v>
      </c>
      <c r="E631" s="122">
        <f>IF(MONTH($A631)&lt;&gt;MONTH($A630),0,$G630)</f>
        <v>0</v>
      </c>
      <c r="F631" s="122">
        <f>IF(AND($D631=0,$H630&gt;0,$E631&lt;Config!$B$8,$A631&lt;Config!$A$2),1,0)</f>
        <v>0</v>
      </c>
      <c r="G631" s="122">
        <f>$E631+$F631</f>
        <v>0</v>
      </c>
      <c r="H631" s="122">
        <f>IF($D631=1,$H630+1,IF($F631=1,$H630,IF($A631=Config!$A$2,$H630,0)))</f>
        <v>0</v>
      </c>
      <c r="M631" s="123" t="n"/>
    </row>
    <row r="632">
      <c r="A632" s="120" t="str">
        <f>A631+1</f>
        <v>2026-07-06 00:00:00</v>
      </c>
      <c r="B632" s="121">
        <f>SUMIFS('Daily Writing Log'!$H$5:$H$34,'Daily Writing Log'!$A$5:$A$34,$A632)</f>
        <v>0</v>
      </c>
      <c r="C632" s="121">
        <f>SUMIFS('Daily Writing Log'!$I$5:$I$34,'Daily Writing Log'!$A$5:$A$34,$A632)</f>
        <v>0</v>
      </c>
      <c r="D632" s="122">
        <f>IF($C632&gt;=Config!$B$5,1,0)</f>
        <v>0</v>
      </c>
      <c r="E632" s="122">
        <f>IF(MONTH($A632)&lt;&gt;MONTH($A631),0,$G631)</f>
        <v>0</v>
      </c>
      <c r="F632" s="122">
        <f>IF(AND($D632=0,$H631&gt;0,$E632&lt;Config!$B$8,$A632&lt;Config!$A$2),1,0)</f>
        <v>0</v>
      </c>
      <c r="G632" s="122">
        <f>$E632+$F632</f>
        <v>0</v>
      </c>
      <c r="H632" s="122">
        <f>IF($D632=1,$H631+1,IF($F632=1,$H631,IF($A632=Config!$A$2,$H631,0)))</f>
        <v>0</v>
      </c>
      <c r="M632" s="123" t="n"/>
    </row>
    <row r="633">
      <c r="A633" s="120" t="str">
        <f>A632+1</f>
        <v>2026-07-07 00:00:00</v>
      </c>
      <c r="B633" s="121">
        <f>SUMIFS('Daily Writing Log'!$H$5:$H$34,'Daily Writing Log'!$A$5:$A$34,$A633)</f>
        <v>0</v>
      </c>
      <c r="C633" s="121">
        <f>SUMIFS('Daily Writing Log'!$I$5:$I$34,'Daily Writing Log'!$A$5:$A$34,$A633)</f>
        <v>0</v>
      </c>
      <c r="D633" s="122">
        <f>IF($C633&gt;=Config!$B$5,1,0)</f>
        <v>0</v>
      </c>
      <c r="E633" s="122">
        <f>IF(MONTH($A633)&lt;&gt;MONTH($A632),0,$G632)</f>
        <v>0</v>
      </c>
      <c r="F633" s="122">
        <f>IF(AND($D633=0,$H632&gt;0,$E633&lt;Config!$B$8,$A633&lt;Config!$A$2),1,0)</f>
        <v>0</v>
      </c>
      <c r="G633" s="122">
        <f>$E633+$F633</f>
        <v>0</v>
      </c>
      <c r="H633" s="122">
        <f>IF($D633=1,$H632+1,IF($F633=1,$H632,IF($A633=Config!$A$2,$H632,0)))</f>
        <v>0</v>
      </c>
      <c r="M633" s="123" t="n"/>
    </row>
    <row r="634">
      <c r="A634" s="120" t="str">
        <f>A633+1</f>
        <v>2026-07-08 00:00:00</v>
      </c>
      <c r="B634" s="121">
        <f>SUMIFS('Daily Writing Log'!$H$5:$H$34,'Daily Writing Log'!$A$5:$A$34,$A634)</f>
        <v>0</v>
      </c>
      <c r="C634" s="121">
        <f>SUMIFS('Daily Writing Log'!$I$5:$I$34,'Daily Writing Log'!$A$5:$A$34,$A634)</f>
        <v>0</v>
      </c>
      <c r="D634" s="122">
        <f>IF($C634&gt;=Config!$B$5,1,0)</f>
        <v>0</v>
      </c>
      <c r="E634" s="122">
        <f>IF(MONTH($A634)&lt;&gt;MONTH($A633),0,$G633)</f>
        <v>0</v>
      </c>
      <c r="F634" s="122">
        <f>IF(AND($D634=0,$H633&gt;0,$E634&lt;Config!$B$8,$A634&lt;Config!$A$2),1,0)</f>
        <v>0</v>
      </c>
      <c r="G634" s="122">
        <f>$E634+$F634</f>
        <v>0</v>
      </c>
      <c r="H634" s="122">
        <f>IF($D634=1,$H633+1,IF($F634=1,$H633,IF($A634=Config!$A$2,$H633,0)))</f>
        <v>0</v>
      </c>
      <c r="M634" s="123" t="n"/>
    </row>
    <row r="635">
      <c r="A635" s="120" t="str">
        <f>A634+1</f>
        <v>2026-07-09 00:00:00</v>
      </c>
      <c r="B635" s="121">
        <f>SUMIFS('Daily Writing Log'!$H$5:$H$34,'Daily Writing Log'!$A$5:$A$34,$A635)</f>
        <v>0</v>
      </c>
      <c r="C635" s="121">
        <f>SUMIFS('Daily Writing Log'!$I$5:$I$34,'Daily Writing Log'!$A$5:$A$34,$A635)</f>
        <v>0</v>
      </c>
      <c r="D635" s="122">
        <f>IF($C635&gt;=Config!$B$5,1,0)</f>
        <v>0</v>
      </c>
      <c r="E635" s="122">
        <f>IF(MONTH($A635)&lt;&gt;MONTH($A634),0,$G634)</f>
        <v>0</v>
      </c>
      <c r="F635" s="122">
        <f>IF(AND($D635=0,$H634&gt;0,$E635&lt;Config!$B$8,$A635&lt;Config!$A$2),1,0)</f>
        <v>0</v>
      </c>
      <c r="G635" s="122">
        <f>$E635+$F635</f>
        <v>0</v>
      </c>
      <c r="H635" s="122">
        <f>IF($D635=1,$H634+1,IF($F635=1,$H634,IF($A635=Config!$A$2,$H634,0)))</f>
        <v>0</v>
      </c>
      <c r="M635" s="123" t="n"/>
    </row>
    <row r="636">
      <c r="A636" s="120" t="str">
        <f>A635+1</f>
        <v>2026-07-10 00:00:00</v>
      </c>
      <c r="B636" s="121">
        <f>SUMIFS('Daily Writing Log'!$H$5:$H$34,'Daily Writing Log'!$A$5:$A$34,$A636)</f>
        <v>0</v>
      </c>
      <c r="C636" s="121">
        <f>SUMIFS('Daily Writing Log'!$I$5:$I$34,'Daily Writing Log'!$A$5:$A$34,$A636)</f>
        <v>0</v>
      </c>
      <c r="D636" s="122">
        <f>IF($C636&gt;=Config!$B$5,1,0)</f>
        <v>0</v>
      </c>
      <c r="E636" s="122">
        <f>IF(MONTH($A636)&lt;&gt;MONTH($A635),0,$G635)</f>
        <v>0</v>
      </c>
      <c r="F636" s="122">
        <f>IF(AND($D636=0,$H635&gt;0,$E636&lt;Config!$B$8,$A636&lt;Config!$A$2),1,0)</f>
        <v>0</v>
      </c>
      <c r="G636" s="122">
        <f>$E636+$F636</f>
        <v>0</v>
      </c>
      <c r="H636" s="122">
        <f>IF($D636=1,$H635+1,IF($F636=1,$H635,IF($A636=Config!$A$2,$H635,0)))</f>
        <v>0</v>
      </c>
      <c r="M636" s="123" t="n"/>
    </row>
    <row r="637">
      <c r="A637" s="120" t="str">
        <f>A636+1</f>
        <v>2026-07-11 00:00:00</v>
      </c>
      <c r="B637" s="121">
        <f>SUMIFS('Daily Writing Log'!$H$5:$H$34,'Daily Writing Log'!$A$5:$A$34,$A637)</f>
        <v>0</v>
      </c>
      <c r="C637" s="121">
        <f>SUMIFS('Daily Writing Log'!$I$5:$I$34,'Daily Writing Log'!$A$5:$A$34,$A637)</f>
        <v>0</v>
      </c>
      <c r="D637" s="122">
        <f>IF($C637&gt;=Config!$B$5,1,0)</f>
        <v>0</v>
      </c>
      <c r="E637" s="122">
        <f>IF(MONTH($A637)&lt;&gt;MONTH($A636),0,$G636)</f>
        <v>0</v>
      </c>
      <c r="F637" s="122">
        <f>IF(AND($D637=0,$H636&gt;0,$E637&lt;Config!$B$8,$A637&lt;Config!$A$2),1,0)</f>
        <v>0</v>
      </c>
      <c r="G637" s="122">
        <f>$E637+$F637</f>
        <v>0</v>
      </c>
      <c r="H637" s="122">
        <f>IF($D637=1,$H636+1,IF($F637=1,$H636,IF($A637=Config!$A$2,$H636,0)))</f>
        <v>0</v>
      </c>
      <c r="M637" s="123" t="n"/>
    </row>
    <row r="638">
      <c r="A638" s="120" t="str">
        <f>A637+1</f>
        <v>2026-07-12 00:00:00</v>
      </c>
      <c r="B638" s="121">
        <f>SUMIFS('Daily Writing Log'!$H$5:$H$34,'Daily Writing Log'!$A$5:$A$34,$A638)</f>
        <v>0</v>
      </c>
      <c r="C638" s="121">
        <f>SUMIFS('Daily Writing Log'!$I$5:$I$34,'Daily Writing Log'!$A$5:$A$34,$A638)</f>
        <v>0</v>
      </c>
      <c r="D638" s="122">
        <f>IF($C638&gt;=Config!$B$5,1,0)</f>
        <v>0</v>
      </c>
      <c r="E638" s="122">
        <f>IF(MONTH($A638)&lt;&gt;MONTH($A637),0,$G637)</f>
        <v>0</v>
      </c>
      <c r="F638" s="122">
        <f>IF(AND($D638=0,$H637&gt;0,$E638&lt;Config!$B$8,$A638&lt;Config!$A$2),1,0)</f>
        <v>0</v>
      </c>
      <c r="G638" s="122">
        <f>$E638+$F638</f>
        <v>0</v>
      </c>
      <c r="H638" s="122">
        <f>IF($D638=1,$H637+1,IF($F638=1,$H637,IF($A638=Config!$A$2,$H637,0)))</f>
        <v>0</v>
      </c>
      <c r="M638" s="123" t="n"/>
    </row>
    <row r="639">
      <c r="A639" s="120" t="str">
        <f>A638+1</f>
        <v>2026-07-13 00:00:00</v>
      </c>
      <c r="B639" s="121">
        <f>SUMIFS('Daily Writing Log'!$H$5:$H$34,'Daily Writing Log'!$A$5:$A$34,$A639)</f>
        <v>0</v>
      </c>
      <c r="C639" s="121">
        <f>SUMIFS('Daily Writing Log'!$I$5:$I$34,'Daily Writing Log'!$A$5:$A$34,$A639)</f>
        <v>0</v>
      </c>
      <c r="D639" s="122">
        <f>IF($C639&gt;=Config!$B$5,1,0)</f>
        <v>0</v>
      </c>
      <c r="E639" s="122">
        <f>IF(MONTH($A639)&lt;&gt;MONTH($A638),0,$G638)</f>
        <v>0</v>
      </c>
      <c r="F639" s="122">
        <f>IF(AND($D639=0,$H638&gt;0,$E639&lt;Config!$B$8,$A639&lt;Config!$A$2),1,0)</f>
        <v>0</v>
      </c>
      <c r="G639" s="122">
        <f>$E639+$F639</f>
        <v>0</v>
      </c>
      <c r="H639" s="122">
        <f>IF($D639=1,$H638+1,IF($F639=1,$H638,IF($A639=Config!$A$2,$H638,0)))</f>
        <v>0</v>
      </c>
      <c r="M639" s="123" t="n"/>
    </row>
    <row r="640">
      <c r="A640" s="120" t="str">
        <f>A639+1</f>
        <v>2026-07-14 00:00:00</v>
      </c>
      <c r="B640" s="121">
        <f>SUMIFS('Daily Writing Log'!$H$5:$H$34,'Daily Writing Log'!$A$5:$A$34,$A640)</f>
        <v>0</v>
      </c>
      <c r="C640" s="121">
        <f>SUMIFS('Daily Writing Log'!$I$5:$I$34,'Daily Writing Log'!$A$5:$A$34,$A640)</f>
        <v>0</v>
      </c>
      <c r="D640" s="122">
        <f>IF($C640&gt;=Config!$B$5,1,0)</f>
        <v>0</v>
      </c>
      <c r="E640" s="122">
        <f>IF(MONTH($A640)&lt;&gt;MONTH($A639),0,$G639)</f>
        <v>0</v>
      </c>
      <c r="F640" s="122">
        <f>IF(AND($D640=0,$H639&gt;0,$E640&lt;Config!$B$8,$A640&lt;Config!$A$2),1,0)</f>
        <v>0</v>
      </c>
      <c r="G640" s="122">
        <f>$E640+$F640</f>
        <v>0</v>
      </c>
      <c r="H640" s="122">
        <f>IF($D640=1,$H639+1,IF($F640=1,$H639,IF($A640=Config!$A$2,$H639,0)))</f>
        <v>0</v>
      </c>
      <c r="M640" s="123" t="n"/>
    </row>
    <row r="641">
      <c r="A641" s="120" t="str">
        <f>A640+1</f>
        <v>2026-07-15 00:00:00</v>
      </c>
      <c r="B641" s="121">
        <f>SUMIFS('Daily Writing Log'!$H$5:$H$34,'Daily Writing Log'!$A$5:$A$34,$A641)</f>
        <v>0</v>
      </c>
      <c r="C641" s="121">
        <f>SUMIFS('Daily Writing Log'!$I$5:$I$34,'Daily Writing Log'!$A$5:$A$34,$A641)</f>
        <v>0</v>
      </c>
      <c r="D641" s="122">
        <f>IF($C641&gt;=Config!$B$5,1,0)</f>
        <v>0</v>
      </c>
      <c r="E641" s="122">
        <f>IF(MONTH($A641)&lt;&gt;MONTH($A640),0,$G640)</f>
        <v>0</v>
      </c>
      <c r="F641" s="122">
        <f>IF(AND($D641=0,$H640&gt;0,$E641&lt;Config!$B$8,$A641&lt;Config!$A$2),1,0)</f>
        <v>0</v>
      </c>
      <c r="G641" s="122">
        <f>$E641+$F641</f>
        <v>0</v>
      </c>
      <c r="H641" s="122">
        <f>IF($D641=1,$H640+1,IF($F641=1,$H640,IF($A641=Config!$A$2,$H640,0)))</f>
        <v>0</v>
      </c>
      <c r="M641" s="123" t="n"/>
    </row>
    <row r="642">
      <c r="A642" s="120" t="str">
        <f>A641+1</f>
        <v>2026-07-16 00:00:00</v>
      </c>
      <c r="B642" s="121">
        <f>SUMIFS('Daily Writing Log'!$H$5:$H$34,'Daily Writing Log'!$A$5:$A$34,$A642)</f>
        <v>0</v>
      </c>
      <c r="C642" s="121">
        <f>SUMIFS('Daily Writing Log'!$I$5:$I$34,'Daily Writing Log'!$A$5:$A$34,$A642)</f>
        <v>0</v>
      </c>
      <c r="D642" s="122">
        <f>IF($C642&gt;=Config!$B$5,1,0)</f>
        <v>0</v>
      </c>
      <c r="E642" s="122">
        <f>IF(MONTH($A642)&lt;&gt;MONTH($A641),0,$G641)</f>
        <v>0</v>
      </c>
      <c r="F642" s="122">
        <f>IF(AND($D642=0,$H641&gt;0,$E642&lt;Config!$B$8,$A642&lt;Config!$A$2),1,0)</f>
        <v>0</v>
      </c>
      <c r="G642" s="122">
        <f>$E642+$F642</f>
        <v>0</v>
      </c>
      <c r="H642" s="122">
        <f>IF($D642=1,$H641+1,IF($F642=1,$H641,IF($A642=Config!$A$2,$H641,0)))</f>
        <v>0</v>
      </c>
      <c r="M642" s="123" t="n"/>
    </row>
    <row r="643">
      <c r="A643" s="120" t="str">
        <f>A642+1</f>
        <v>2026-07-17 00:00:00</v>
      </c>
      <c r="B643" s="121">
        <f>SUMIFS('Daily Writing Log'!$H$5:$H$34,'Daily Writing Log'!$A$5:$A$34,$A643)</f>
        <v>0</v>
      </c>
      <c r="C643" s="121">
        <f>SUMIFS('Daily Writing Log'!$I$5:$I$34,'Daily Writing Log'!$A$5:$A$34,$A643)</f>
        <v>0</v>
      </c>
      <c r="D643" s="122">
        <f>IF($C643&gt;=Config!$B$5,1,0)</f>
        <v>0</v>
      </c>
      <c r="E643" s="122">
        <f>IF(MONTH($A643)&lt;&gt;MONTH($A642),0,$G642)</f>
        <v>0</v>
      </c>
      <c r="F643" s="122">
        <f>IF(AND($D643=0,$H642&gt;0,$E643&lt;Config!$B$8,$A643&lt;Config!$A$2),1,0)</f>
        <v>0</v>
      </c>
      <c r="G643" s="122">
        <f>$E643+$F643</f>
        <v>0</v>
      </c>
      <c r="H643" s="122">
        <f>IF($D643=1,$H642+1,IF($F643=1,$H642,IF($A643=Config!$A$2,$H642,0)))</f>
        <v>0</v>
      </c>
      <c r="M643" s="123" t="n"/>
    </row>
    <row r="644">
      <c r="A644" s="120" t="str">
        <f>A643+1</f>
        <v>2026-07-18 00:00:00</v>
      </c>
      <c r="B644" s="121">
        <f>SUMIFS('Daily Writing Log'!$H$5:$H$34,'Daily Writing Log'!$A$5:$A$34,$A644)</f>
        <v>0</v>
      </c>
      <c r="C644" s="121">
        <f>SUMIFS('Daily Writing Log'!$I$5:$I$34,'Daily Writing Log'!$A$5:$A$34,$A644)</f>
        <v>0</v>
      </c>
      <c r="D644" s="122">
        <f>IF($C644&gt;=Config!$B$5,1,0)</f>
        <v>0</v>
      </c>
      <c r="E644" s="122">
        <f>IF(MONTH($A644)&lt;&gt;MONTH($A643),0,$G643)</f>
        <v>0</v>
      </c>
      <c r="F644" s="122">
        <f>IF(AND($D644=0,$H643&gt;0,$E644&lt;Config!$B$8,$A644&lt;Config!$A$2),1,0)</f>
        <v>0</v>
      </c>
      <c r="G644" s="122">
        <f>$E644+$F644</f>
        <v>0</v>
      </c>
      <c r="H644" s="122">
        <f>IF($D644=1,$H643+1,IF($F644=1,$H643,IF($A644=Config!$A$2,$H643,0)))</f>
        <v>0</v>
      </c>
      <c r="M644" s="123" t="n"/>
    </row>
    <row r="645">
      <c r="A645" s="120" t="str">
        <f>A644+1</f>
        <v>2026-07-19 00:00:00</v>
      </c>
      <c r="B645" s="121">
        <f>SUMIFS('Daily Writing Log'!$H$5:$H$34,'Daily Writing Log'!$A$5:$A$34,$A645)</f>
        <v>0</v>
      </c>
      <c r="C645" s="121">
        <f>SUMIFS('Daily Writing Log'!$I$5:$I$34,'Daily Writing Log'!$A$5:$A$34,$A645)</f>
        <v>0</v>
      </c>
      <c r="D645" s="122">
        <f>IF($C645&gt;=Config!$B$5,1,0)</f>
        <v>0</v>
      </c>
      <c r="E645" s="122">
        <f>IF(MONTH($A645)&lt;&gt;MONTH($A644),0,$G644)</f>
        <v>0</v>
      </c>
      <c r="F645" s="122">
        <f>IF(AND($D645=0,$H644&gt;0,$E645&lt;Config!$B$8,$A645&lt;Config!$A$2),1,0)</f>
        <v>0</v>
      </c>
      <c r="G645" s="122">
        <f>$E645+$F645</f>
        <v>0</v>
      </c>
      <c r="H645" s="122">
        <f>IF($D645=1,$H644+1,IF($F645=1,$H644,IF($A645=Config!$A$2,$H644,0)))</f>
        <v>0</v>
      </c>
      <c r="M645" s="123" t="n"/>
    </row>
    <row r="646">
      <c r="A646" s="120" t="str">
        <f>A645+1</f>
        <v>2026-07-20 00:00:00</v>
      </c>
      <c r="B646" s="121">
        <f>SUMIFS('Daily Writing Log'!$H$5:$H$34,'Daily Writing Log'!$A$5:$A$34,$A646)</f>
        <v>0</v>
      </c>
      <c r="C646" s="121">
        <f>SUMIFS('Daily Writing Log'!$I$5:$I$34,'Daily Writing Log'!$A$5:$A$34,$A646)</f>
        <v>0</v>
      </c>
      <c r="D646" s="122">
        <f>IF($C646&gt;=Config!$B$5,1,0)</f>
        <v>0</v>
      </c>
      <c r="E646" s="122">
        <f>IF(MONTH($A646)&lt;&gt;MONTH($A645),0,$G645)</f>
        <v>0</v>
      </c>
      <c r="F646" s="122">
        <f>IF(AND($D646=0,$H645&gt;0,$E646&lt;Config!$B$8,$A646&lt;Config!$A$2),1,0)</f>
        <v>0</v>
      </c>
      <c r="G646" s="122">
        <f>$E646+$F646</f>
        <v>0</v>
      </c>
      <c r="H646" s="122">
        <f>IF($D646=1,$H645+1,IF($F646=1,$H645,IF($A646=Config!$A$2,$H645,0)))</f>
        <v>0</v>
      </c>
      <c r="M646" s="123" t="n"/>
    </row>
    <row r="647">
      <c r="A647" s="120" t="str">
        <f>A646+1</f>
        <v>2026-07-21 00:00:00</v>
      </c>
      <c r="B647" s="121">
        <f>SUMIFS('Daily Writing Log'!$H$5:$H$34,'Daily Writing Log'!$A$5:$A$34,$A647)</f>
        <v>0</v>
      </c>
      <c r="C647" s="121">
        <f>SUMIFS('Daily Writing Log'!$I$5:$I$34,'Daily Writing Log'!$A$5:$A$34,$A647)</f>
        <v>0</v>
      </c>
      <c r="D647" s="122">
        <f>IF($C647&gt;=Config!$B$5,1,0)</f>
        <v>0</v>
      </c>
      <c r="E647" s="122">
        <f>IF(MONTH($A647)&lt;&gt;MONTH($A646),0,$G646)</f>
        <v>0</v>
      </c>
      <c r="F647" s="122">
        <f>IF(AND($D647=0,$H646&gt;0,$E647&lt;Config!$B$8,$A647&lt;Config!$A$2),1,0)</f>
        <v>0</v>
      </c>
      <c r="G647" s="122">
        <f>$E647+$F647</f>
        <v>0</v>
      </c>
      <c r="H647" s="122">
        <f>IF($D647=1,$H646+1,IF($F647=1,$H646,IF($A647=Config!$A$2,$H646,0)))</f>
        <v>0</v>
      </c>
      <c r="M647" s="123" t="n"/>
    </row>
    <row r="648">
      <c r="A648" s="120" t="str">
        <f>A647+1</f>
        <v>2026-07-22 00:00:00</v>
      </c>
      <c r="B648" s="121">
        <f>SUMIFS('Daily Writing Log'!$H$5:$H$34,'Daily Writing Log'!$A$5:$A$34,$A648)</f>
        <v>0</v>
      </c>
      <c r="C648" s="121">
        <f>SUMIFS('Daily Writing Log'!$I$5:$I$34,'Daily Writing Log'!$A$5:$A$34,$A648)</f>
        <v>0</v>
      </c>
      <c r="D648" s="122">
        <f>IF($C648&gt;=Config!$B$5,1,0)</f>
        <v>0</v>
      </c>
      <c r="E648" s="122">
        <f>IF(MONTH($A648)&lt;&gt;MONTH($A647),0,$G647)</f>
        <v>0</v>
      </c>
      <c r="F648" s="122">
        <f>IF(AND($D648=0,$H647&gt;0,$E648&lt;Config!$B$8,$A648&lt;Config!$A$2),1,0)</f>
        <v>0</v>
      </c>
      <c r="G648" s="122">
        <f>$E648+$F648</f>
        <v>0</v>
      </c>
      <c r="H648" s="122">
        <f>IF($D648=1,$H647+1,IF($F648=1,$H647,IF($A648=Config!$A$2,$H647,0)))</f>
        <v>0</v>
      </c>
      <c r="M648" s="123" t="n"/>
    </row>
    <row r="649">
      <c r="A649" s="120" t="str">
        <f>A648+1</f>
        <v>2026-07-23 00:00:00</v>
      </c>
      <c r="B649" s="121">
        <f>SUMIFS('Daily Writing Log'!$H$5:$H$34,'Daily Writing Log'!$A$5:$A$34,$A649)</f>
        <v>0</v>
      </c>
      <c r="C649" s="121">
        <f>SUMIFS('Daily Writing Log'!$I$5:$I$34,'Daily Writing Log'!$A$5:$A$34,$A649)</f>
        <v>0</v>
      </c>
      <c r="D649" s="122">
        <f>IF($C649&gt;=Config!$B$5,1,0)</f>
        <v>0</v>
      </c>
      <c r="E649" s="122">
        <f>IF(MONTH($A649)&lt;&gt;MONTH($A648),0,$G648)</f>
        <v>0</v>
      </c>
      <c r="F649" s="122">
        <f>IF(AND($D649=0,$H648&gt;0,$E649&lt;Config!$B$8,$A649&lt;Config!$A$2),1,0)</f>
        <v>0</v>
      </c>
      <c r="G649" s="122">
        <f>$E649+$F649</f>
        <v>0</v>
      </c>
      <c r="H649" s="122">
        <f>IF($D649=1,$H648+1,IF($F649=1,$H648,IF($A649=Config!$A$2,$H648,0)))</f>
        <v>0</v>
      </c>
      <c r="M649" s="123" t="n"/>
    </row>
    <row r="650">
      <c r="A650" s="120" t="str">
        <f>A649+1</f>
        <v>2026-07-24 00:00:00</v>
      </c>
      <c r="B650" s="121">
        <f>SUMIFS('Daily Writing Log'!$H$5:$H$34,'Daily Writing Log'!$A$5:$A$34,$A650)</f>
        <v>0</v>
      </c>
      <c r="C650" s="121">
        <f>SUMIFS('Daily Writing Log'!$I$5:$I$34,'Daily Writing Log'!$A$5:$A$34,$A650)</f>
        <v>0</v>
      </c>
      <c r="D650" s="122">
        <f>IF($C650&gt;=Config!$B$5,1,0)</f>
        <v>0</v>
      </c>
      <c r="E650" s="122">
        <f>IF(MONTH($A650)&lt;&gt;MONTH($A649),0,$G649)</f>
        <v>0</v>
      </c>
      <c r="F650" s="122">
        <f>IF(AND($D650=0,$H649&gt;0,$E650&lt;Config!$B$8,$A650&lt;Config!$A$2),1,0)</f>
        <v>0</v>
      </c>
      <c r="G650" s="122">
        <f>$E650+$F650</f>
        <v>0</v>
      </c>
      <c r="H650" s="122">
        <f>IF($D650=1,$H649+1,IF($F650=1,$H649,IF($A650=Config!$A$2,$H649,0)))</f>
        <v>0</v>
      </c>
      <c r="M650" s="123" t="n"/>
    </row>
    <row r="651">
      <c r="A651" s="120" t="str">
        <f>A650+1</f>
        <v>2026-07-25 00:00:00</v>
      </c>
      <c r="B651" s="121">
        <f>SUMIFS('Daily Writing Log'!$H$5:$H$34,'Daily Writing Log'!$A$5:$A$34,$A651)</f>
        <v>0</v>
      </c>
      <c r="C651" s="121">
        <f>SUMIFS('Daily Writing Log'!$I$5:$I$34,'Daily Writing Log'!$A$5:$A$34,$A651)</f>
        <v>0</v>
      </c>
      <c r="D651" s="122">
        <f>IF($C651&gt;=Config!$B$5,1,0)</f>
        <v>0</v>
      </c>
      <c r="E651" s="122">
        <f>IF(MONTH($A651)&lt;&gt;MONTH($A650),0,$G650)</f>
        <v>0</v>
      </c>
      <c r="F651" s="122">
        <f>IF(AND($D651=0,$H650&gt;0,$E651&lt;Config!$B$8,$A651&lt;Config!$A$2),1,0)</f>
        <v>0</v>
      </c>
      <c r="G651" s="122">
        <f>$E651+$F651</f>
        <v>0</v>
      </c>
      <c r="H651" s="122">
        <f>IF($D651=1,$H650+1,IF($F651=1,$H650,IF($A651=Config!$A$2,$H650,0)))</f>
        <v>0</v>
      </c>
      <c r="M651" s="123" t="n"/>
    </row>
    <row r="652">
      <c r="A652" s="120" t="str">
        <f>A651+1</f>
        <v>2026-07-26 00:00:00</v>
      </c>
      <c r="B652" s="121">
        <f>SUMIFS('Daily Writing Log'!$H$5:$H$34,'Daily Writing Log'!$A$5:$A$34,$A652)</f>
        <v>0</v>
      </c>
      <c r="C652" s="121">
        <f>SUMIFS('Daily Writing Log'!$I$5:$I$34,'Daily Writing Log'!$A$5:$A$34,$A652)</f>
        <v>0</v>
      </c>
      <c r="D652" s="122">
        <f>IF($C652&gt;=Config!$B$5,1,0)</f>
        <v>0</v>
      </c>
      <c r="E652" s="122">
        <f>IF(MONTH($A652)&lt;&gt;MONTH($A651),0,$G651)</f>
        <v>0</v>
      </c>
      <c r="F652" s="122">
        <f>IF(AND($D652=0,$H651&gt;0,$E652&lt;Config!$B$8,$A652&lt;Config!$A$2),1,0)</f>
        <v>0</v>
      </c>
      <c r="G652" s="122">
        <f>$E652+$F652</f>
        <v>0</v>
      </c>
      <c r="H652" s="122">
        <f>IF($D652=1,$H651+1,IF($F652=1,$H651,IF($A652=Config!$A$2,$H651,0)))</f>
        <v>0</v>
      </c>
      <c r="M652" s="123" t="n"/>
    </row>
    <row r="653">
      <c r="A653" s="120" t="str">
        <f>A652+1</f>
        <v>2026-07-27 00:00:00</v>
      </c>
      <c r="B653" s="121">
        <f>SUMIFS('Daily Writing Log'!$H$5:$H$34,'Daily Writing Log'!$A$5:$A$34,$A653)</f>
        <v>0</v>
      </c>
      <c r="C653" s="121">
        <f>SUMIFS('Daily Writing Log'!$I$5:$I$34,'Daily Writing Log'!$A$5:$A$34,$A653)</f>
        <v>0</v>
      </c>
      <c r="D653" s="122">
        <f>IF($C653&gt;=Config!$B$5,1,0)</f>
        <v>0</v>
      </c>
      <c r="E653" s="122">
        <f>IF(MONTH($A653)&lt;&gt;MONTH($A652),0,$G652)</f>
        <v>0</v>
      </c>
      <c r="F653" s="122">
        <f>IF(AND($D653=0,$H652&gt;0,$E653&lt;Config!$B$8,$A653&lt;Config!$A$2),1,0)</f>
        <v>0</v>
      </c>
      <c r="G653" s="122">
        <f>$E653+$F653</f>
        <v>0</v>
      </c>
      <c r="H653" s="122">
        <f>IF($D653=1,$H652+1,IF($F653=1,$H652,IF($A653=Config!$A$2,$H652,0)))</f>
        <v>0</v>
      </c>
      <c r="M653" s="123" t="n"/>
    </row>
    <row r="654">
      <c r="A654" s="120" t="str">
        <f>A653+1</f>
        <v>2026-07-28 00:00:00</v>
      </c>
      <c r="B654" s="121">
        <f>SUMIFS('Daily Writing Log'!$H$5:$H$34,'Daily Writing Log'!$A$5:$A$34,$A654)</f>
        <v>0</v>
      </c>
      <c r="C654" s="121">
        <f>SUMIFS('Daily Writing Log'!$I$5:$I$34,'Daily Writing Log'!$A$5:$A$34,$A654)</f>
        <v>0</v>
      </c>
      <c r="D654" s="122">
        <f>IF($C654&gt;=Config!$B$5,1,0)</f>
        <v>0</v>
      </c>
      <c r="E654" s="122">
        <f>IF(MONTH($A654)&lt;&gt;MONTH($A653),0,$G653)</f>
        <v>0</v>
      </c>
      <c r="F654" s="122">
        <f>IF(AND($D654=0,$H653&gt;0,$E654&lt;Config!$B$8,$A654&lt;Config!$A$2),1,0)</f>
        <v>0</v>
      </c>
      <c r="G654" s="122">
        <f>$E654+$F654</f>
        <v>0</v>
      </c>
      <c r="H654" s="122">
        <f>IF($D654=1,$H653+1,IF($F654=1,$H653,IF($A654=Config!$A$2,$H653,0)))</f>
        <v>0</v>
      </c>
      <c r="M654" s="123" t="n"/>
    </row>
    <row r="655">
      <c r="A655" s="120" t="str">
        <f>A654+1</f>
        <v>2026-07-29 00:00:00</v>
      </c>
      <c r="B655" s="121">
        <f>SUMIFS('Daily Writing Log'!$H$5:$H$34,'Daily Writing Log'!$A$5:$A$34,$A655)</f>
        <v>0</v>
      </c>
      <c r="C655" s="121">
        <f>SUMIFS('Daily Writing Log'!$I$5:$I$34,'Daily Writing Log'!$A$5:$A$34,$A655)</f>
        <v>0</v>
      </c>
      <c r="D655" s="122">
        <f>IF($C655&gt;=Config!$B$5,1,0)</f>
        <v>0</v>
      </c>
      <c r="E655" s="122">
        <f>IF(MONTH($A655)&lt;&gt;MONTH($A654),0,$G654)</f>
        <v>0</v>
      </c>
      <c r="F655" s="122">
        <f>IF(AND($D655=0,$H654&gt;0,$E655&lt;Config!$B$8,$A655&lt;Config!$A$2),1,0)</f>
        <v>0</v>
      </c>
      <c r="G655" s="122">
        <f>$E655+$F655</f>
        <v>0</v>
      </c>
      <c r="H655" s="122">
        <f>IF($D655=1,$H654+1,IF($F655=1,$H654,IF($A655=Config!$A$2,$H654,0)))</f>
        <v>0</v>
      </c>
      <c r="M655" s="123" t="n"/>
    </row>
    <row r="656">
      <c r="A656" s="120" t="str">
        <f>A655+1</f>
        <v>2026-07-30 00:00:00</v>
      </c>
      <c r="B656" s="121">
        <f>SUMIFS('Daily Writing Log'!$H$5:$H$34,'Daily Writing Log'!$A$5:$A$34,$A656)</f>
        <v>0</v>
      </c>
      <c r="C656" s="121">
        <f>SUMIFS('Daily Writing Log'!$I$5:$I$34,'Daily Writing Log'!$A$5:$A$34,$A656)</f>
        <v>0</v>
      </c>
      <c r="D656" s="122">
        <f>IF($C656&gt;=Config!$B$5,1,0)</f>
        <v>0</v>
      </c>
      <c r="E656" s="122">
        <f>IF(MONTH($A656)&lt;&gt;MONTH($A655),0,$G655)</f>
        <v>0</v>
      </c>
      <c r="F656" s="122">
        <f>IF(AND($D656=0,$H655&gt;0,$E656&lt;Config!$B$8,$A656&lt;Config!$A$2),1,0)</f>
        <v>0</v>
      </c>
      <c r="G656" s="122">
        <f>$E656+$F656</f>
        <v>0</v>
      </c>
      <c r="H656" s="122">
        <f>IF($D656=1,$H655+1,IF($F656=1,$H655,IF($A656=Config!$A$2,$H655,0)))</f>
        <v>0</v>
      </c>
      <c r="M656" s="123" t="n"/>
    </row>
    <row r="657">
      <c r="A657" s="120" t="str">
        <f>A656+1</f>
        <v>2026-07-31 00:00:00</v>
      </c>
      <c r="B657" s="121">
        <f>SUMIFS('Daily Writing Log'!$H$5:$H$34,'Daily Writing Log'!$A$5:$A$34,$A657)</f>
        <v>0</v>
      </c>
      <c r="C657" s="121">
        <f>SUMIFS('Daily Writing Log'!$I$5:$I$34,'Daily Writing Log'!$A$5:$A$34,$A657)</f>
        <v>0</v>
      </c>
      <c r="D657" s="122">
        <f>IF($C657&gt;=Config!$B$5,1,0)</f>
        <v>0</v>
      </c>
      <c r="E657" s="122">
        <f>IF(MONTH($A657)&lt;&gt;MONTH($A656),0,$G656)</f>
        <v>0</v>
      </c>
      <c r="F657" s="122">
        <f>IF(AND($D657=0,$H656&gt;0,$E657&lt;Config!$B$8,$A657&lt;Config!$A$2),1,0)</f>
        <v>0</v>
      </c>
      <c r="G657" s="122">
        <f>$E657+$F657</f>
        <v>0</v>
      </c>
      <c r="H657" s="122">
        <f>IF($D657=1,$H656+1,IF($F657=1,$H656,IF($A657=Config!$A$2,$H656,0)))</f>
        <v>0</v>
      </c>
      <c r="M657" s="123" t="n"/>
    </row>
    <row r="658">
      <c r="A658" s="120" t="str">
        <f>A657+1</f>
        <v>2026-08-01 00:00:00</v>
      </c>
      <c r="B658" s="121">
        <f>SUMIFS('Daily Writing Log'!$H$5:$H$34,'Daily Writing Log'!$A$5:$A$34,$A658)</f>
        <v>0</v>
      </c>
      <c r="C658" s="121">
        <f>SUMIFS('Daily Writing Log'!$I$5:$I$34,'Daily Writing Log'!$A$5:$A$34,$A658)</f>
        <v>0</v>
      </c>
      <c r="D658" s="122">
        <f>IF($C658&gt;=Config!$B$5,1,0)</f>
        <v>0</v>
      </c>
      <c r="E658" s="122">
        <f>IF(MONTH($A658)&lt;&gt;MONTH($A657),0,$G657)</f>
        <v>0</v>
      </c>
      <c r="F658" s="122">
        <f>IF(AND($D658=0,$H657&gt;0,$E658&lt;Config!$B$8,$A658&lt;Config!$A$2),1,0)</f>
        <v>0</v>
      </c>
      <c r="G658" s="122">
        <f>$E658+$F658</f>
        <v>0</v>
      </c>
      <c r="H658" s="122">
        <f>IF($D658=1,$H657+1,IF($F658=1,$H657,IF($A658=Config!$A$2,$H657,0)))</f>
        <v>0</v>
      </c>
      <c r="M658" s="123" t="n"/>
    </row>
    <row r="659">
      <c r="A659" s="120" t="str">
        <f>A658+1</f>
        <v>2026-08-02 00:00:00</v>
      </c>
      <c r="B659" s="121">
        <f>SUMIFS('Daily Writing Log'!$H$5:$H$34,'Daily Writing Log'!$A$5:$A$34,$A659)</f>
        <v>0</v>
      </c>
      <c r="C659" s="121">
        <f>SUMIFS('Daily Writing Log'!$I$5:$I$34,'Daily Writing Log'!$A$5:$A$34,$A659)</f>
        <v>0</v>
      </c>
      <c r="D659" s="122">
        <f>IF($C659&gt;=Config!$B$5,1,0)</f>
        <v>0</v>
      </c>
      <c r="E659" s="122">
        <f>IF(MONTH($A659)&lt;&gt;MONTH($A658),0,$G658)</f>
        <v>0</v>
      </c>
      <c r="F659" s="122">
        <f>IF(AND($D659=0,$H658&gt;0,$E659&lt;Config!$B$8,$A659&lt;Config!$A$2),1,0)</f>
        <v>0</v>
      </c>
      <c r="G659" s="122">
        <f>$E659+$F659</f>
        <v>0</v>
      </c>
      <c r="H659" s="122">
        <f>IF($D659=1,$H658+1,IF($F659=1,$H658,IF($A659=Config!$A$2,$H658,0)))</f>
        <v>0</v>
      </c>
      <c r="M659" s="123" t="n"/>
    </row>
    <row r="660">
      <c r="A660" s="120" t="str">
        <f>A659+1</f>
        <v>2026-08-03 00:00:00</v>
      </c>
      <c r="B660" s="121">
        <f>SUMIFS('Daily Writing Log'!$H$5:$H$34,'Daily Writing Log'!$A$5:$A$34,$A660)</f>
        <v>0</v>
      </c>
      <c r="C660" s="121">
        <f>SUMIFS('Daily Writing Log'!$I$5:$I$34,'Daily Writing Log'!$A$5:$A$34,$A660)</f>
        <v>0</v>
      </c>
      <c r="D660" s="122">
        <f>IF($C660&gt;=Config!$B$5,1,0)</f>
        <v>0</v>
      </c>
      <c r="E660" s="122">
        <f>IF(MONTH($A660)&lt;&gt;MONTH($A659),0,$G659)</f>
        <v>0</v>
      </c>
      <c r="F660" s="122">
        <f>IF(AND($D660=0,$H659&gt;0,$E660&lt;Config!$B$8,$A660&lt;Config!$A$2),1,0)</f>
        <v>0</v>
      </c>
      <c r="G660" s="122">
        <f>$E660+$F660</f>
        <v>0</v>
      </c>
      <c r="H660" s="122">
        <f>IF($D660=1,$H659+1,IF($F660=1,$H659,IF($A660=Config!$A$2,$H659,0)))</f>
        <v>0</v>
      </c>
      <c r="M660" s="123" t="n"/>
    </row>
    <row r="661">
      <c r="A661" s="120" t="str">
        <f>A660+1</f>
        <v>2026-08-04 00:00:00</v>
      </c>
      <c r="B661" s="121">
        <f>SUMIFS('Daily Writing Log'!$H$5:$H$34,'Daily Writing Log'!$A$5:$A$34,$A661)</f>
        <v>0</v>
      </c>
      <c r="C661" s="121">
        <f>SUMIFS('Daily Writing Log'!$I$5:$I$34,'Daily Writing Log'!$A$5:$A$34,$A661)</f>
        <v>0</v>
      </c>
      <c r="D661" s="122">
        <f>IF($C661&gt;=Config!$B$5,1,0)</f>
        <v>0</v>
      </c>
      <c r="E661" s="122">
        <f>IF(MONTH($A661)&lt;&gt;MONTH($A660),0,$G660)</f>
        <v>0</v>
      </c>
      <c r="F661" s="122">
        <f>IF(AND($D661=0,$H660&gt;0,$E661&lt;Config!$B$8,$A661&lt;Config!$A$2),1,0)</f>
        <v>0</v>
      </c>
      <c r="G661" s="122">
        <f>$E661+$F661</f>
        <v>0</v>
      </c>
      <c r="H661" s="122">
        <f>IF($D661=1,$H660+1,IF($F661=1,$H660,IF($A661=Config!$A$2,$H660,0)))</f>
        <v>0</v>
      </c>
      <c r="M661" s="123" t="n"/>
    </row>
    <row r="662">
      <c r="A662" s="120" t="str">
        <f>A661+1</f>
        <v>2026-08-05 00:00:00</v>
      </c>
      <c r="B662" s="121">
        <f>SUMIFS('Daily Writing Log'!$H$5:$H$34,'Daily Writing Log'!$A$5:$A$34,$A662)</f>
        <v>0</v>
      </c>
      <c r="C662" s="121">
        <f>SUMIFS('Daily Writing Log'!$I$5:$I$34,'Daily Writing Log'!$A$5:$A$34,$A662)</f>
        <v>0</v>
      </c>
      <c r="D662" s="122">
        <f>IF($C662&gt;=Config!$B$5,1,0)</f>
        <v>0</v>
      </c>
      <c r="E662" s="122">
        <f>IF(MONTH($A662)&lt;&gt;MONTH($A661),0,$G661)</f>
        <v>0</v>
      </c>
      <c r="F662" s="122">
        <f>IF(AND($D662=0,$H661&gt;0,$E662&lt;Config!$B$8,$A662&lt;Config!$A$2),1,0)</f>
        <v>0</v>
      </c>
      <c r="G662" s="122">
        <f>$E662+$F662</f>
        <v>0</v>
      </c>
      <c r="H662" s="122">
        <f>IF($D662=1,$H661+1,IF($F662=1,$H661,IF($A662=Config!$A$2,$H661,0)))</f>
        <v>0</v>
      </c>
      <c r="M662" s="123" t="n"/>
    </row>
    <row r="663">
      <c r="A663" s="120" t="str">
        <f>A662+1</f>
        <v>2026-08-06 00:00:00</v>
      </c>
      <c r="B663" s="121">
        <f>SUMIFS('Daily Writing Log'!$H$5:$H$34,'Daily Writing Log'!$A$5:$A$34,$A663)</f>
        <v>0</v>
      </c>
      <c r="C663" s="121">
        <f>SUMIFS('Daily Writing Log'!$I$5:$I$34,'Daily Writing Log'!$A$5:$A$34,$A663)</f>
        <v>0</v>
      </c>
      <c r="D663" s="122">
        <f>IF($C663&gt;=Config!$B$5,1,0)</f>
        <v>0</v>
      </c>
      <c r="E663" s="122">
        <f>IF(MONTH($A663)&lt;&gt;MONTH($A662),0,$G662)</f>
        <v>0</v>
      </c>
      <c r="F663" s="122">
        <f>IF(AND($D663=0,$H662&gt;0,$E663&lt;Config!$B$8,$A663&lt;Config!$A$2),1,0)</f>
        <v>0</v>
      </c>
      <c r="G663" s="122">
        <f>$E663+$F663</f>
        <v>0</v>
      </c>
      <c r="H663" s="122">
        <f>IF($D663=1,$H662+1,IF($F663=1,$H662,IF($A663=Config!$A$2,$H662,0)))</f>
        <v>0</v>
      </c>
      <c r="M663" s="123" t="n"/>
    </row>
    <row r="664">
      <c r="A664" s="120" t="str">
        <f>A663+1</f>
        <v>2026-08-07 00:00:00</v>
      </c>
      <c r="B664" s="121">
        <f>SUMIFS('Daily Writing Log'!$H$5:$H$34,'Daily Writing Log'!$A$5:$A$34,$A664)</f>
        <v>0</v>
      </c>
      <c r="C664" s="121">
        <f>SUMIFS('Daily Writing Log'!$I$5:$I$34,'Daily Writing Log'!$A$5:$A$34,$A664)</f>
        <v>0</v>
      </c>
      <c r="D664" s="122">
        <f>IF($C664&gt;=Config!$B$5,1,0)</f>
        <v>0</v>
      </c>
      <c r="E664" s="122">
        <f>IF(MONTH($A664)&lt;&gt;MONTH($A663),0,$G663)</f>
        <v>0</v>
      </c>
      <c r="F664" s="122">
        <f>IF(AND($D664=0,$H663&gt;0,$E664&lt;Config!$B$8,$A664&lt;Config!$A$2),1,0)</f>
        <v>0</v>
      </c>
      <c r="G664" s="122">
        <f>$E664+$F664</f>
        <v>0</v>
      </c>
      <c r="H664" s="122">
        <f>IF($D664=1,$H663+1,IF($F664=1,$H663,IF($A664=Config!$A$2,$H663,0)))</f>
        <v>0</v>
      </c>
      <c r="M664" s="123" t="n"/>
    </row>
    <row r="665">
      <c r="A665" s="120" t="str">
        <f>A664+1</f>
        <v>2026-08-08 00:00:00</v>
      </c>
      <c r="B665" s="121">
        <f>SUMIFS('Daily Writing Log'!$H$5:$H$34,'Daily Writing Log'!$A$5:$A$34,$A665)</f>
        <v>0</v>
      </c>
      <c r="C665" s="121">
        <f>SUMIFS('Daily Writing Log'!$I$5:$I$34,'Daily Writing Log'!$A$5:$A$34,$A665)</f>
        <v>0</v>
      </c>
      <c r="D665" s="122">
        <f>IF($C665&gt;=Config!$B$5,1,0)</f>
        <v>0</v>
      </c>
      <c r="E665" s="122">
        <f>IF(MONTH($A665)&lt;&gt;MONTH($A664),0,$G664)</f>
        <v>0</v>
      </c>
      <c r="F665" s="122">
        <f>IF(AND($D665=0,$H664&gt;0,$E665&lt;Config!$B$8,$A665&lt;Config!$A$2),1,0)</f>
        <v>0</v>
      </c>
      <c r="G665" s="122">
        <f>$E665+$F665</f>
        <v>0</v>
      </c>
      <c r="H665" s="122">
        <f>IF($D665=1,$H664+1,IF($F665=1,$H664,IF($A665=Config!$A$2,$H664,0)))</f>
        <v>0</v>
      </c>
      <c r="M665" s="123" t="n"/>
    </row>
    <row r="666">
      <c r="A666" s="120" t="str">
        <f>A665+1</f>
        <v>2026-08-09 00:00:00</v>
      </c>
      <c r="B666" s="121">
        <f>SUMIFS('Daily Writing Log'!$H$5:$H$34,'Daily Writing Log'!$A$5:$A$34,$A666)</f>
        <v>0</v>
      </c>
      <c r="C666" s="121">
        <f>SUMIFS('Daily Writing Log'!$I$5:$I$34,'Daily Writing Log'!$A$5:$A$34,$A666)</f>
        <v>0</v>
      </c>
      <c r="D666" s="122">
        <f>IF($C666&gt;=Config!$B$5,1,0)</f>
        <v>0</v>
      </c>
      <c r="E666" s="122">
        <f>IF(MONTH($A666)&lt;&gt;MONTH($A665),0,$G665)</f>
        <v>0</v>
      </c>
      <c r="F666" s="122">
        <f>IF(AND($D666=0,$H665&gt;0,$E666&lt;Config!$B$8,$A666&lt;Config!$A$2),1,0)</f>
        <v>0</v>
      </c>
      <c r="G666" s="122">
        <f>$E666+$F666</f>
        <v>0</v>
      </c>
      <c r="H666" s="122">
        <f>IF($D666=1,$H665+1,IF($F666=1,$H665,IF($A666=Config!$A$2,$H665,0)))</f>
        <v>0</v>
      </c>
      <c r="M666" s="123" t="n"/>
    </row>
    <row r="667">
      <c r="A667" s="120" t="str">
        <f>A666+1</f>
        <v>2026-08-10 00:00:00</v>
      </c>
      <c r="B667" s="121">
        <f>SUMIFS('Daily Writing Log'!$H$5:$H$34,'Daily Writing Log'!$A$5:$A$34,$A667)</f>
        <v>0</v>
      </c>
      <c r="C667" s="121">
        <f>SUMIFS('Daily Writing Log'!$I$5:$I$34,'Daily Writing Log'!$A$5:$A$34,$A667)</f>
        <v>0</v>
      </c>
      <c r="D667" s="122">
        <f>IF($C667&gt;=Config!$B$5,1,0)</f>
        <v>0</v>
      </c>
      <c r="E667" s="122">
        <f>IF(MONTH($A667)&lt;&gt;MONTH($A666),0,$G666)</f>
        <v>0</v>
      </c>
      <c r="F667" s="122">
        <f>IF(AND($D667=0,$H666&gt;0,$E667&lt;Config!$B$8,$A667&lt;Config!$A$2),1,0)</f>
        <v>0</v>
      </c>
      <c r="G667" s="122">
        <f>$E667+$F667</f>
        <v>0</v>
      </c>
      <c r="H667" s="122">
        <f>IF($D667=1,$H666+1,IF($F667=1,$H666,IF($A667=Config!$A$2,$H666,0)))</f>
        <v>0</v>
      </c>
      <c r="M667" s="123" t="n"/>
    </row>
    <row r="668">
      <c r="A668" s="120" t="str">
        <f>A667+1</f>
        <v>2026-08-11 00:00:00</v>
      </c>
      <c r="B668" s="121">
        <f>SUMIFS('Daily Writing Log'!$H$5:$H$34,'Daily Writing Log'!$A$5:$A$34,$A668)</f>
        <v>0</v>
      </c>
      <c r="C668" s="121">
        <f>SUMIFS('Daily Writing Log'!$I$5:$I$34,'Daily Writing Log'!$A$5:$A$34,$A668)</f>
        <v>0</v>
      </c>
      <c r="D668" s="122">
        <f>IF($C668&gt;=Config!$B$5,1,0)</f>
        <v>0</v>
      </c>
      <c r="E668" s="122">
        <f>IF(MONTH($A668)&lt;&gt;MONTH($A667),0,$G667)</f>
        <v>0</v>
      </c>
      <c r="F668" s="122">
        <f>IF(AND($D668=0,$H667&gt;0,$E668&lt;Config!$B$8,$A668&lt;Config!$A$2),1,0)</f>
        <v>0</v>
      </c>
      <c r="G668" s="122">
        <f>$E668+$F668</f>
        <v>0</v>
      </c>
      <c r="H668" s="122">
        <f>IF($D668=1,$H667+1,IF($F668=1,$H667,IF($A668=Config!$A$2,$H667,0)))</f>
        <v>0</v>
      </c>
      <c r="M668" s="123" t="n"/>
    </row>
    <row r="669">
      <c r="A669" s="120" t="str">
        <f>A668+1</f>
        <v>2026-08-12 00:00:00</v>
      </c>
      <c r="B669" s="121">
        <f>SUMIFS('Daily Writing Log'!$H$5:$H$34,'Daily Writing Log'!$A$5:$A$34,$A669)</f>
        <v>0</v>
      </c>
      <c r="C669" s="121">
        <f>SUMIFS('Daily Writing Log'!$I$5:$I$34,'Daily Writing Log'!$A$5:$A$34,$A669)</f>
        <v>0</v>
      </c>
      <c r="D669" s="122">
        <f>IF($C669&gt;=Config!$B$5,1,0)</f>
        <v>0</v>
      </c>
      <c r="E669" s="122">
        <f>IF(MONTH($A669)&lt;&gt;MONTH($A668),0,$G668)</f>
        <v>0</v>
      </c>
      <c r="F669" s="122">
        <f>IF(AND($D669=0,$H668&gt;0,$E669&lt;Config!$B$8,$A669&lt;Config!$A$2),1,0)</f>
        <v>0</v>
      </c>
      <c r="G669" s="122">
        <f>$E669+$F669</f>
        <v>0</v>
      </c>
      <c r="H669" s="122">
        <f>IF($D669=1,$H668+1,IF($F669=1,$H668,IF($A669=Config!$A$2,$H668,0)))</f>
        <v>0</v>
      </c>
      <c r="M669" s="123" t="n"/>
    </row>
    <row r="670">
      <c r="A670" s="120" t="str">
        <f>A669+1</f>
        <v>2026-08-13 00:00:00</v>
      </c>
      <c r="B670" s="121">
        <f>SUMIFS('Daily Writing Log'!$H$5:$H$34,'Daily Writing Log'!$A$5:$A$34,$A670)</f>
        <v>0</v>
      </c>
      <c r="C670" s="121">
        <f>SUMIFS('Daily Writing Log'!$I$5:$I$34,'Daily Writing Log'!$A$5:$A$34,$A670)</f>
        <v>0</v>
      </c>
      <c r="D670" s="122">
        <f>IF($C670&gt;=Config!$B$5,1,0)</f>
        <v>0</v>
      </c>
      <c r="E670" s="122">
        <f>IF(MONTH($A670)&lt;&gt;MONTH($A669),0,$G669)</f>
        <v>0</v>
      </c>
      <c r="F670" s="122">
        <f>IF(AND($D670=0,$H669&gt;0,$E670&lt;Config!$B$8,$A670&lt;Config!$A$2),1,0)</f>
        <v>0</v>
      </c>
      <c r="G670" s="122">
        <f>$E670+$F670</f>
        <v>0</v>
      </c>
      <c r="H670" s="122">
        <f>IF($D670=1,$H669+1,IF($F670=1,$H669,IF($A670=Config!$A$2,$H669,0)))</f>
        <v>0</v>
      </c>
      <c r="M670" s="123" t="n"/>
    </row>
    <row r="671">
      <c r="A671" s="120" t="str">
        <f>A670+1</f>
        <v>2026-08-14 00:00:00</v>
      </c>
      <c r="B671" s="121">
        <f>SUMIFS('Daily Writing Log'!$H$5:$H$34,'Daily Writing Log'!$A$5:$A$34,$A671)</f>
        <v>0</v>
      </c>
      <c r="C671" s="121">
        <f>SUMIFS('Daily Writing Log'!$I$5:$I$34,'Daily Writing Log'!$A$5:$A$34,$A671)</f>
        <v>0</v>
      </c>
      <c r="D671" s="122">
        <f>IF($C671&gt;=Config!$B$5,1,0)</f>
        <v>0</v>
      </c>
      <c r="E671" s="122">
        <f>IF(MONTH($A671)&lt;&gt;MONTH($A670),0,$G670)</f>
        <v>0</v>
      </c>
      <c r="F671" s="122">
        <f>IF(AND($D671=0,$H670&gt;0,$E671&lt;Config!$B$8,$A671&lt;Config!$A$2),1,0)</f>
        <v>0</v>
      </c>
      <c r="G671" s="122">
        <f>$E671+$F671</f>
        <v>0</v>
      </c>
      <c r="H671" s="122">
        <f>IF($D671=1,$H670+1,IF($F671=1,$H670,IF($A671=Config!$A$2,$H670,0)))</f>
        <v>0</v>
      </c>
      <c r="M671" s="123" t="n"/>
    </row>
    <row r="672">
      <c r="A672" s="120" t="str">
        <f>A671+1</f>
        <v>2026-08-15 00:00:00</v>
      </c>
      <c r="B672" s="121">
        <f>SUMIFS('Daily Writing Log'!$H$5:$H$34,'Daily Writing Log'!$A$5:$A$34,$A672)</f>
        <v>0</v>
      </c>
      <c r="C672" s="121">
        <f>SUMIFS('Daily Writing Log'!$I$5:$I$34,'Daily Writing Log'!$A$5:$A$34,$A672)</f>
        <v>0</v>
      </c>
      <c r="D672" s="122">
        <f>IF($C672&gt;=Config!$B$5,1,0)</f>
        <v>0</v>
      </c>
      <c r="E672" s="122">
        <f>IF(MONTH($A672)&lt;&gt;MONTH($A671),0,$G671)</f>
        <v>0</v>
      </c>
      <c r="F672" s="122">
        <f>IF(AND($D672=0,$H671&gt;0,$E672&lt;Config!$B$8,$A672&lt;Config!$A$2),1,0)</f>
        <v>0</v>
      </c>
      <c r="G672" s="122">
        <f>$E672+$F672</f>
        <v>0</v>
      </c>
      <c r="H672" s="122">
        <f>IF($D672=1,$H671+1,IF($F672=1,$H671,IF($A672=Config!$A$2,$H671,0)))</f>
        <v>0</v>
      </c>
      <c r="M672" s="123" t="n"/>
    </row>
    <row r="673">
      <c r="A673" s="120" t="str">
        <f>A672+1</f>
        <v>2026-08-16 00:00:00</v>
      </c>
      <c r="B673" s="121">
        <f>SUMIFS('Daily Writing Log'!$H$5:$H$34,'Daily Writing Log'!$A$5:$A$34,$A673)</f>
        <v>0</v>
      </c>
      <c r="C673" s="121">
        <f>SUMIFS('Daily Writing Log'!$I$5:$I$34,'Daily Writing Log'!$A$5:$A$34,$A673)</f>
        <v>0</v>
      </c>
      <c r="D673" s="122">
        <f>IF($C673&gt;=Config!$B$5,1,0)</f>
        <v>0</v>
      </c>
      <c r="E673" s="122">
        <f>IF(MONTH($A673)&lt;&gt;MONTH($A672),0,$G672)</f>
        <v>0</v>
      </c>
      <c r="F673" s="122">
        <f>IF(AND($D673=0,$H672&gt;0,$E673&lt;Config!$B$8,$A673&lt;Config!$A$2),1,0)</f>
        <v>0</v>
      </c>
      <c r="G673" s="122">
        <f>$E673+$F673</f>
        <v>0</v>
      </c>
      <c r="H673" s="122">
        <f>IF($D673=1,$H672+1,IF($F673=1,$H672,IF($A673=Config!$A$2,$H672,0)))</f>
        <v>0</v>
      </c>
      <c r="M673" s="123" t="n"/>
    </row>
    <row r="674">
      <c r="A674" s="120" t="str">
        <f>A673+1</f>
        <v>2026-08-17 00:00:00</v>
      </c>
      <c r="B674" s="121">
        <f>SUMIFS('Daily Writing Log'!$H$5:$H$34,'Daily Writing Log'!$A$5:$A$34,$A674)</f>
        <v>0</v>
      </c>
      <c r="C674" s="121">
        <f>SUMIFS('Daily Writing Log'!$I$5:$I$34,'Daily Writing Log'!$A$5:$A$34,$A674)</f>
        <v>0</v>
      </c>
      <c r="D674" s="122">
        <f>IF($C674&gt;=Config!$B$5,1,0)</f>
        <v>0</v>
      </c>
      <c r="E674" s="122">
        <f>IF(MONTH($A674)&lt;&gt;MONTH($A673),0,$G673)</f>
        <v>0</v>
      </c>
      <c r="F674" s="122">
        <f>IF(AND($D674=0,$H673&gt;0,$E674&lt;Config!$B$8,$A674&lt;Config!$A$2),1,0)</f>
        <v>0</v>
      </c>
      <c r="G674" s="122">
        <f>$E674+$F674</f>
        <v>0</v>
      </c>
      <c r="H674" s="122">
        <f>IF($D674=1,$H673+1,IF($F674=1,$H673,IF($A674=Config!$A$2,$H673,0)))</f>
        <v>0</v>
      </c>
      <c r="M674" s="123" t="n"/>
    </row>
    <row r="675">
      <c r="A675" s="120" t="str">
        <f>A674+1</f>
        <v>2026-08-18 00:00:00</v>
      </c>
      <c r="B675" s="121">
        <f>SUMIFS('Daily Writing Log'!$H$5:$H$34,'Daily Writing Log'!$A$5:$A$34,$A675)</f>
        <v>0</v>
      </c>
      <c r="C675" s="121">
        <f>SUMIFS('Daily Writing Log'!$I$5:$I$34,'Daily Writing Log'!$A$5:$A$34,$A675)</f>
        <v>0</v>
      </c>
      <c r="D675" s="122">
        <f>IF($C675&gt;=Config!$B$5,1,0)</f>
        <v>0</v>
      </c>
      <c r="E675" s="122">
        <f>IF(MONTH($A675)&lt;&gt;MONTH($A674),0,$G674)</f>
        <v>0</v>
      </c>
      <c r="F675" s="122">
        <f>IF(AND($D675=0,$H674&gt;0,$E675&lt;Config!$B$8,$A675&lt;Config!$A$2),1,0)</f>
        <v>0</v>
      </c>
      <c r="G675" s="122">
        <f>$E675+$F675</f>
        <v>0</v>
      </c>
      <c r="H675" s="122">
        <f>IF($D675=1,$H674+1,IF($F675=1,$H674,IF($A675=Config!$A$2,$H674,0)))</f>
        <v>0</v>
      </c>
      <c r="M675" s="123" t="n"/>
    </row>
    <row r="676">
      <c r="A676" s="120" t="str">
        <f>A675+1</f>
        <v>2026-08-19 00:00:00</v>
      </c>
      <c r="B676" s="121">
        <f>SUMIFS('Daily Writing Log'!$H$5:$H$34,'Daily Writing Log'!$A$5:$A$34,$A676)</f>
        <v>0</v>
      </c>
      <c r="C676" s="121">
        <f>SUMIFS('Daily Writing Log'!$I$5:$I$34,'Daily Writing Log'!$A$5:$A$34,$A676)</f>
        <v>0</v>
      </c>
      <c r="D676" s="122">
        <f>IF($C676&gt;=Config!$B$5,1,0)</f>
        <v>0</v>
      </c>
      <c r="E676" s="122">
        <f>IF(MONTH($A676)&lt;&gt;MONTH($A675),0,$G675)</f>
        <v>0</v>
      </c>
      <c r="F676" s="122">
        <f>IF(AND($D676=0,$H675&gt;0,$E676&lt;Config!$B$8,$A676&lt;Config!$A$2),1,0)</f>
        <v>0</v>
      </c>
      <c r="G676" s="122">
        <f>$E676+$F676</f>
        <v>0</v>
      </c>
      <c r="H676" s="122">
        <f>IF($D676=1,$H675+1,IF($F676=1,$H675,IF($A676=Config!$A$2,$H675,0)))</f>
        <v>0</v>
      </c>
      <c r="M676" s="123" t="n"/>
    </row>
    <row r="677">
      <c r="A677" s="120" t="str">
        <f>A676+1</f>
        <v>2026-08-20 00:00:00</v>
      </c>
      <c r="B677" s="121">
        <f>SUMIFS('Daily Writing Log'!$H$5:$H$34,'Daily Writing Log'!$A$5:$A$34,$A677)</f>
        <v>0</v>
      </c>
      <c r="C677" s="121">
        <f>SUMIFS('Daily Writing Log'!$I$5:$I$34,'Daily Writing Log'!$A$5:$A$34,$A677)</f>
        <v>0</v>
      </c>
      <c r="D677" s="122">
        <f>IF($C677&gt;=Config!$B$5,1,0)</f>
        <v>0</v>
      </c>
      <c r="E677" s="122">
        <f>IF(MONTH($A677)&lt;&gt;MONTH($A676),0,$G676)</f>
        <v>0</v>
      </c>
      <c r="F677" s="122">
        <f>IF(AND($D677=0,$H676&gt;0,$E677&lt;Config!$B$8,$A677&lt;Config!$A$2),1,0)</f>
        <v>0</v>
      </c>
      <c r="G677" s="122">
        <f>$E677+$F677</f>
        <v>0</v>
      </c>
      <c r="H677" s="122">
        <f>IF($D677=1,$H676+1,IF($F677=1,$H676,IF($A677=Config!$A$2,$H676,0)))</f>
        <v>0</v>
      </c>
      <c r="M677" s="123" t="n"/>
    </row>
    <row r="678">
      <c r="A678" s="120" t="str">
        <f>A677+1</f>
        <v>2026-08-21 00:00:00</v>
      </c>
      <c r="B678" s="121">
        <f>SUMIFS('Daily Writing Log'!$H$5:$H$34,'Daily Writing Log'!$A$5:$A$34,$A678)</f>
        <v>0</v>
      </c>
      <c r="C678" s="121">
        <f>SUMIFS('Daily Writing Log'!$I$5:$I$34,'Daily Writing Log'!$A$5:$A$34,$A678)</f>
        <v>0</v>
      </c>
      <c r="D678" s="122">
        <f>IF($C678&gt;=Config!$B$5,1,0)</f>
        <v>0</v>
      </c>
      <c r="E678" s="122">
        <f>IF(MONTH($A678)&lt;&gt;MONTH($A677),0,$G677)</f>
        <v>0</v>
      </c>
      <c r="F678" s="122">
        <f>IF(AND($D678=0,$H677&gt;0,$E678&lt;Config!$B$8,$A678&lt;Config!$A$2),1,0)</f>
        <v>0</v>
      </c>
      <c r="G678" s="122">
        <f>$E678+$F678</f>
        <v>0</v>
      </c>
      <c r="H678" s="122">
        <f>IF($D678=1,$H677+1,IF($F678=1,$H677,IF($A678=Config!$A$2,$H677,0)))</f>
        <v>0</v>
      </c>
      <c r="M678" s="123" t="n"/>
    </row>
    <row r="679">
      <c r="A679" s="120" t="str">
        <f>A678+1</f>
        <v>2026-08-22 00:00:00</v>
      </c>
      <c r="B679" s="121">
        <f>SUMIFS('Daily Writing Log'!$H$5:$H$34,'Daily Writing Log'!$A$5:$A$34,$A679)</f>
        <v>0</v>
      </c>
      <c r="C679" s="121">
        <f>SUMIFS('Daily Writing Log'!$I$5:$I$34,'Daily Writing Log'!$A$5:$A$34,$A679)</f>
        <v>0</v>
      </c>
      <c r="D679" s="122">
        <f>IF($C679&gt;=Config!$B$5,1,0)</f>
        <v>0</v>
      </c>
      <c r="E679" s="122">
        <f>IF(MONTH($A679)&lt;&gt;MONTH($A678),0,$G678)</f>
        <v>0</v>
      </c>
      <c r="F679" s="122">
        <f>IF(AND($D679=0,$H678&gt;0,$E679&lt;Config!$B$8,$A679&lt;Config!$A$2),1,0)</f>
        <v>0</v>
      </c>
      <c r="G679" s="122">
        <f>$E679+$F679</f>
        <v>0</v>
      </c>
      <c r="H679" s="122">
        <f>IF($D679=1,$H678+1,IF($F679=1,$H678,IF($A679=Config!$A$2,$H678,0)))</f>
        <v>0</v>
      </c>
      <c r="M679" s="123" t="n"/>
    </row>
    <row r="680">
      <c r="A680" s="120" t="str">
        <f>A679+1</f>
        <v>2026-08-23 00:00:00</v>
      </c>
      <c r="B680" s="121">
        <f>SUMIFS('Daily Writing Log'!$H$5:$H$34,'Daily Writing Log'!$A$5:$A$34,$A680)</f>
        <v>0</v>
      </c>
      <c r="C680" s="121">
        <f>SUMIFS('Daily Writing Log'!$I$5:$I$34,'Daily Writing Log'!$A$5:$A$34,$A680)</f>
        <v>0</v>
      </c>
      <c r="D680" s="122">
        <f>IF($C680&gt;=Config!$B$5,1,0)</f>
        <v>0</v>
      </c>
      <c r="E680" s="122">
        <f>IF(MONTH($A680)&lt;&gt;MONTH($A679),0,$G679)</f>
        <v>0</v>
      </c>
      <c r="F680" s="122">
        <f>IF(AND($D680=0,$H679&gt;0,$E680&lt;Config!$B$8,$A680&lt;Config!$A$2),1,0)</f>
        <v>0</v>
      </c>
      <c r="G680" s="122">
        <f>$E680+$F680</f>
        <v>0</v>
      </c>
      <c r="H680" s="122">
        <f>IF($D680=1,$H679+1,IF($F680=1,$H679,IF($A680=Config!$A$2,$H679,0)))</f>
        <v>0</v>
      </c>
      <c r="M680" s="123" t="n"/>
    </row>
    <row r="681">
      <c r="A681" s="120" t="str">
        <f>A680+1</f>
        <v>2026-08-24 00:00:00</v>
      </c>
      <c r="B681" s="121">
        <f>SUMIFS('Daily Writing Log'!$H$5:$H$34,'Daily Writing Log'!$A$5:$A$34,$A681)</f>
        <v>0</v>
      </c>
      <c r="C681" s="121">
        <f>SUMIFS('Daily Writing Log'!$I$5:$I$34,'Daily Writing Log'!$A$5:$A$34,$A681)</f>
        <v>0</v>
      </c>
      <c r="D681" s="122">
        <f>IF($C681&gt;=Config!$B$5,1,0)</f>
        <v>0</v>
      </c>
      <c r="E681" s="122">
        <f>IF(MONTH($A681)&lt;&gt;MONTH($A680),0,$G680)</f>
        <v>0</v>
      </c>
      <c r="F681" s="122">
        <f>IF(AND($D681=0,$H680&gt;0,$E681&lt;Config!$B$8,$A681&lt;Config!$A$2),1,0)</f>
        <v>0</v>
      </c>
      <c r="G681" s="122">
        <f>$E681+$F681</f>
        <v>0</v>
      </c>
      <c r="H681" s="122">
        <f>IF($D681=1,$H680+1,IF($F681=1,$H680,IF($A681=Config!$A$2,$H680,0)))</f>
        <v>0</v>
      </c>
      <c r="M681" s="123" t="n"/>
    </row>
    <row r="682">
      <c r="A682" s="120" t="str">
        <f>A681+1</f>
        <v>2026-08-25 00:00:00</v>
      </c>
      <c r="B682" s="121">
        <f>SUMIFS('Daily Writing Log'!$H$5:$H$34,'Daily Writing Log'!$A$5:$A$34,$A682)</f>
        <v>0</v>
      </c>
      <c r="C682" s="121">
        <f>SUMIFS('Daily Writing Log'!$I$5:$I$34,'Daily Writing Log'!$A$5:$A$34,$A682)</f>
        <v>0</v>
      </c>
      <c r="D682" s="122">
        <f>IF($C682&gt;=Config!$B$5,1,0)</f>
        <v>0</v>
      </c>
      <c r="E682" s="122">
        <f>IF(MONTH($A682)&lt;&gt;MONTH($A681),0,$G681)</f>
        <v>0</v>
      </c>
      <c r="F682" s="122">
        <f>IF(AND($D682=0,$H681&gt;0,$E682&lt;Config!$B$8,$A682&lt;Config!$A$2),1,0)</f>
        <v>0</v>
      </c>
      <c r="G682" s="122">
        <f>$E682+$F682</f>
        <v>0</v>
      </c>
      <c r="H682" s="122">
        <f>IF($D682=1,$H681+1,IF($F682=1,$H681,IF($A682=Config!$A$2,$H681,0)))</f>
        <v>0</v>
      </c>
      <c r="M682" s="123" t="n"/>
    </row>
    <row r="683">
      <c r="A683" s="120" t="str">
        <f>A682+1</f>
        <v>2026-08-26 00:00:00</v>
      </c>
      <c r="B683" s="121">
        <f>SUMIFS('Daily Writing Log'!$H$5:$H$34,'Daily Writing Log'!$A$5:$A$34,$A683)</f>
        <v>0</v>
      </c>
      <c r="C683" s="121">
        <f>SUMIFS('Daily Writing Log'!$I$5:$I$34,'Daily Writing Log'!$A$5:$A$34,$A683)</f>
        <v>0</v>
      </c>
      <c r="D683" s="122">
        <f>IF($C683&gt;=Config!$B$5,1,0)</f>
        <v>0</v>
      </c>
      <c r="E683" s="122">
        <f>IF(MONTH($A683)&lt;&gt;MONTH($A682),0,$G682)</f>
        <v>0</v>
      </c>
      <c r="F683" s="122">
        <f>IF(AND($D683=0,$H682&gt;0,$E683&lt;Config!$B$8,$A683&lt;Config!$A$2),1,0)</f>
        <v>0</v>
      </c>
      <c r="G683" s="122">
        <f>$E683+$F683</f>
        <v>0</v>
      </c>
      <c r="H683" s="122">
        <f>IF($D683=1,$H682+1,IF($F683=1,$H682,IF($A683=Config!$A$2,$H682,0)))</f>
        <v>0</v>
      </c>
      <c r="M683" s="123" t="n"/>
    </row>
    <row r="684">
      <c r="A684" s="120" t="str">
        <f>A683+1</f>
        <v>2026-08-27 00:00:00</v>
      </c>
      <c r="B684" s="121">
        <f>SUMIFS('Daily Writing Log'!$H$5:$H$34,'Daily Writing Log'!$A$5:$A$34,$A684)</f>
        <v>0</v>
      </c>
      <c r="C684" s="121">
        <f>SUMIFS('Daily Writing Log'!$I$5:$I$34,'Daily Writing Log'!$A$5:$A$34,$A684)</f>
        <v>0</v>
      </c>
      <c r="D684" s="122">
        <f>IF($C684&gt;=Config!$B$5,1,0)</f>
        <v>0</v>
      </c>
      <c r="E684" s="122">
        <f>IF(MONTH($A684)&lt;&gt;MONTH($A683),0,$G683)</f>
        <v>0</v>
      </c>
      <c r="F684" s="122">
        <f>IF(AND($D684=0,$H683&gt;0,$E684&lt;Config!$B$8,$A684&lt;Config!$A$2),1,0)</f>
        <v>0</v>
      </c>
      <c r="G684" s="122">
        <f>$E684+$F684</f>
        <v>0</v>
      </c>
      <c r="H684" s="122">
        <f>IF($D684=1,$H683+1,IF($F684=1,$H683,IF($A684=Config!$A$2,$H683,0)))</f>
        <v>0</v>
      </c>
      <c r="M684" s="123" t="n"/>
    </row>
    <row r="685">
      <c r="A685" s="120" t="str">
        <f>A684+1</f>
        <v>2026-08-28 00:00:00</v>
      </c>
      <c r="B685" s="121">
        <f>SUMIFS('Daily Writing Log'!$H$5:$H$34,'Daily Writing Log'!$A$5:$A$34,$A685)</f>
        <v>0</v>
      </c>
      <c r="C685" s="121">
        <f>SUMIFS('Daily Writing Log'!$I$5:$I$34,'Daily Writing Log'!$A$5:$A$34,$A685)</f>
        <v>0</v>
      </c>
      <c r="D685" s="122">
        <f>IF($C685&gt;=Config!$B$5,1,0)</f>
        <v>0</v>
      </c>
      <c r="E685" s="122">
        <f>IF(MONTH($A685)&lt;&gt;MONTH($A684),0,$G684)</f>
        <v>0</v>
      </c>
      <c r="F685" s="122">
        <f>IF(AND($D685=0,$H684&gt;0,$E685&lt;Config!$B$8,$A685&lt;Config!$A$2),1,0)</f>
        <v>0</v>
      </c>
      <c r="G685" s="122">
        <f>$E685+$F685</f>
        <v>0</v>
      </c>
      <c r="H685" s="122">
        <f>IF($D685=1,$H684+1,IF($F685=1,$H684,IF($A685=Config!$A$2,$H684,0)))</f>
        <v>0</v>
      </c>
      <c r="M685" s="123" t="n"/>
    </row>
    <row r="686">
      <c r="A686" s="120" t="str">
        <f>A685+1</f>
        <v>2026-08-29 00:00:00</v>
      </c>
      <c r="B686" s="121">
        <f>SUMIFS('Daily Writing Log'!$H$5:$H$34,'Daily Writing Log'!$A$5:$A$34,$A686)</f>
        <v>0</v>
      </c>
      <c r="C686" s="121">
        <f>SUMIFS('Daily Writing Log'!$I$5:$I$34,'Daily Writing Log'!$A$5:$A$34,$A686)</f>
        <v>0</v>
      </c>
      <c r="D686" s="122">
        <f>IF($C686&gt;=Config!$B$5,1,0)</f>
        <v>0</v>
      </c>
      <c r="E686" s="122">
        <f>IF(MONTH($A686)&lt;&gt;MONTH($A685),0,$G685)</f>
        <v>0</v>
      </c>
      <c r="F686" s="122">
        <f>IF(AND($D686=0,$H685&gt;0,$E686&lt;Config!$B$8,$A686&lt;Config!$A$2),1,0)</f>
        <v>0</v>
      </c>
      <c r="G686" s="122">
        <f>$E686+$F686</f>
        <v>0</v>
      </c>
      <c r="H686" s="122">
        <f>IF($D686=1,$H685+1,IF($F686=1,$H685,IF($A686=Config!$A$2,$H685,0)))</f>
        <v>0</v>
      </c>
      <c r="M686" s="123" t="n"/>
    </row>
    <row r="687">
      <c r="A687" s="120" t="str">
        <f>A686+1</f>
        <v>2026-08-30 00:00:00</v>
      </c>
      <c r="B687" s="121">
        <f>SUMIFS('Daily Writing Log'!$H$5:$H$34,'Daily Writing Log'!$A$5:$A$34,$A687)</f>
        <v>0</v>
      </c>
      <c r="C687" s="121">
        <f>SUMIFS('Daily Writing Log'!$I$5:$I$34,'Daily Writing Log'!$A$5:$A$34,$A687)</f>
        <v>0</v>
      </c>
      <c r="D687" s="122">
        <f>IF($C687&gt;=Config!$B$5,1,0)</f>
        <v>0</v>
      </c>
      <c r="E687" s="122">
        <f>IF(MONTH($A687)&lt;&gt;MONTH($A686),0,$G686)</f>
        <v>0</v>
      </c>
      <c r="F687" s="122">
        <f>IF(AND($D687=0,$H686&gt;0,$E687&lt;Config!$B$8,$A687&lt;Config!$A$2),1,0)</f>
        <v>0</v>
      </c>
      <c r="G687" s="122">
        <f>$E687+$F687</f>
        <v>0</v>
      </c>
      <c r="H687" s="122">
        <f>IF($D687=1,$H686+1,IF($F687=1,$H686,IF($A687=Config!$A$2,$H686,0)))</f>
        <v>0</v>
      </c>
      <c r="M687" s="123" t="n"/>
    </row>
    <row r="688">
      <c r="A688" s="120" t="str">
        <f>A687+1</f>
        <v>2026-08-31 00:00:00</v>
      </c>
      <c r="B688" s="121">
        <f>SUMIFS('Daily Writing Log'!$H$5:$H$34,'Daily Writing Log'!$A$5:$A$34,$A688)</f>
        <v>0</v>
      </c>
      <c r="C688" s="121">
        <f>SUMIFS('Daily Writing Log'!$I$5:$I$34,'Daily Writing Log'!$A$5:$A$34,$A688)</f>
        <v>0</v>
      </c>
      <c r="D688" s="122">
        <f>IF($C688&gt;=Config!$B$5,1,0)</f>
        <v>0</v>
      </c>
      <c r="E688" s="122">
        <f>IF(MONTH($A688)&lt;&gt;MONTH($A687),0,$G687)</f>
        <v>0</v>
      </c>
      <c r="F688" s="122">
        <f>IF(AND($D688=0,$H687&gt;0,$E688&lt;Config!$B$8,$A688&lt;Config!$A$2),1,0)</f>
        <v>0</v>
      </c>
      <c r="G688" s="122">
        <f>$E688+$F688</f>
        <v>0</v>
      </c>
      <c r="H688" s="122">
        <f>IF($D688=1,$H687+1,IF($F688=1,$H687,IF($A688=Config!$A$2,$H687,0)))</f>
        <v>0</v>
      </c>
      <c r="M688" s="123" t="n"/>
    </row>
    <row r="689">
      <c r="A689" s="120" t="str">
        <f>A688+1</f>
        <v>2026-09-01 00:00:00</v>
      </c>
      <c r="B689" s="121">
        <f>SUMIFS('Daily Writing Log'!$H$5:$H$34,'Daily Writing Log'!$A$5:$A$34,$A689)</f>
        <v>0</v>
      </c>
      <c r="C689" s="121">
        <f>SUMIFS('Daily Writing Log'!$I$5:$I$34,'Daily Writing Log'!$A$5:$A$34,$A689)</f>
        <v>0</v>
      </c>
      <c r="D689" s="122">
        <f>IF($C689&gt;=Config!$B$5,1,0)</f>
        <v>0</v>
      </c>
      <c r="E689" s="122">
        <f>IF(MONTH($A689)&lt;&gt;MONTH($A688),0,$G688)</f>
        <v>0</v>
      </c>
      <c r="F689" s="122">
        <f>IF(AND($D689=0,$H688&gt;0,$E689&lt;Config!$B$8,$A689&lt;Config!$A$2),1,0)</f>
        <v>0</v>
      </c>
      <c r="G689" s="122">
        <f>$E689+$F689</f>
        <v>0</v>
      </c>
      <c r="H689" s="122">
        <f>IF($D689=1,$H688+1,IF($F689=1,$H688,IF($A689=Config!$A$2,$H688,0)))</f>
        <v>0</v>
      </c>
      <c r="M689" s="123" t="n"/>
    </row>
    <row r="690">
      <c r="A690" s="120" t="str">
        <f>A689+1</f>
        <v>2026-09-02 00:00:00</v>
      </c>
      <c r="B690" s="121">
        <f>SUMIFS('Daily Writing Log'!$H$5:$H$34,'Daily Writing Log'!$A$5:$A$34,$A690)</f>
        <v>0</v>
      </c>
      <c r="C690" s="121">
        <f>SUMIFS('Daily Writing Log'!$I$5:$I$34,'Daily Writing Log'!$A$5:$A$34,$A690)</f>
        <v>0</v>
      </c>
      <c r="D690" s="122">
        <f>IF($C690&gt;=Config!$B$5,1,0)</f>
        <v>0</v>
      </c>
      <c r="E690" s="122">
        <f>IF(MONTH($A690)&lt;&gt;MONTH($A689),0,$G689)</f>
        <v>0</v>
      </c>
      <c r="F690" s="122">
        <f>IF(AND($D690=0,$H689&gt;0,$E690&lt;Config!$B$8,$A690&lt;Config!$A$2),1,0)</f>
        <v>0</v>
      </c>
      <c r="G690" s="122">
        <f>$E690+$F690</f>
        <v>0</v>
      </c>
      <c r="H690" s="122">
        <f>IF($D690=1,$H689+1,IF($F690=1,$H689,IF($A690=Config!$A$2,$H689,0)))</f>
        <v>0</v>
      </c>
      <c r="M690" s="123" t="n"/>
    </row>
    <row r="691">
      <c r="A691" s="120" t="str">
        <f>A690+1</f>
        <v>2026-09-03 00:00:00</v>
      </c>
      <c r="B691" s="121">
        <f>SUMIFS('Daily Writing Log'!$H$5:$H$34,'Daily Writing Log'!$A$5:$A$34,$A691)</f>
        <v>0</v>
      </c>
      <c r="C691" s="121">
        <f>SUMIFS('Daily Writing Log'!$I$5:$I$34,'Daily Writing Log'!$A$5:$A$34,$A691)</f>
        <v>0</v>
      </c>
      <c r="D691" s="122">
        <f>IF($C691&gt;=Config!$B$5,1,0)</f>
        <v>0</v>
      </c>
      <c r="E691" s="122">
        <f>IF(MONTH($A691)&lt;&gt;MONTH($A690),0,$G690)</f>
        <v>0</v>
      </c>
      <c r="F691" s="122">
        <f>IF(AND($D691=0,$H690&gt;0,$E691&lt;Config!$B$8,$A691&lt;Config!$A$2),1,0)</f>
        <v>0</v>
      </c>
      <c r="G691" s="122">
        <f>$E691+$F691</f>
        <v>0</v>
      </c>
      <c r="H691" s="122">
        <f>IF($D691=1,$H690+1,IF($F691=1,$H690,IF($A691=Config!$A$2,$H690,0)))</f>
        <v>0</v>
      </c>
      <c r="M691" s="123" t="n"/>
    </row>
    <row r="692">
      <c r="A692" s="120" t="str">
        <f>A691+1</f>
        <v>2026-09-04 00:00:00</v>
      </c>
      <c r="B692" s="121">
        <f>SUMIFS('Daily Writing Log'!$H$5:$H$34,'Daily Writing Log'!$A$5:$A$34,$A692)</f>
        <v>0</v>
      </c>
      <c r="C692" s="121">
        <f>SUMIFS('Daily Writing Log'!$I$5:$I$34,'Daily Writing Log'!$A$5:$A$34,$A692)</f>
        <v>0</v>
      </c>
      <c r="D692" s="122">
        <f>IF($C692&gt;=Config!$B$5,1,0)</f>
        <v>0</v>
      </c>
      <c r="E692" s="122">
        <f>IF(MONTH($A692)&lt;&gt;MONTH($A691),0,$G691)</f>
        <v>0</v>
      </c>
      <c r="F692" s="122">
        <f>IF(AND($D692=0,$H691&gt;0,$E692&lt;Config!$B$8,$A692&lt;Config!$A$2),1,0)</f>
        <v>0</v>
      </c>
      <c r="G692" s="122">
        <f>$E692+$F692</f>
        <v>0</v>
      </c>
      <c r="H692" s="122">
        <f>IF($D692=1,$H691+1,IF($F692=1,$H691,IF($A692=Config!$A$2,$H691,0)))</f>
        <v>0</v>
      </c>
      <c r="M692" s="123" t="n"/>
    </row>
    <row r="693">
      <c r="A693" s="120" t="str">
        <f>A692+1</f>
        <v>2026-09-05 00:00:00</v>
      </c>
      <c r="B693" s="121">
        <f>SUMIFS('Daily Writing Log'!$H$5:$H$34,'Daily Writing Log'!$A$5:$A$34,$A693)</f>
        <v>0</v>
      </c>
      <c r="C693" s="121">
        <f>SUMIFS('Daily Writing Log'!$I$5:$I$34,'Daily Writing Log'!$A$5:$A$34,$A693)</f>
        <v>0</v>
      </c>
      <c r="D693" s="122">
        <f>IF($C693&gt;=Config!$B$5,1,0)</f>
        <v>0</v>
      </c>
      <c r="E693" s="122">
        <f>IF(MONTH($A693)&lt;&gt;MONTH($A692),0,$G692)</f>
        <v>0</v>
      </c>
      <c r="F693" s="122">
        <f>IF(AND($D693=0,$H692&gt;0,$E693&lt;Config!$B$8,$A693&lt;Config!$A$2),1,0)</f>
        <v>0</v>
      </c>
      <c r="G693" s="122">
        <f>$E693+$F693</f>
        <v>0</v>
      </c>
      <c r="H693" s="122">
        <f>IF($D693=1,$H692+1,IF($F693=1,$H692,IF($A693=Config!$A$2,$H692,0)))</f>
        <v>0</v>
      </c>
      <c r="M693" s="123" t="n"/>
    </row>
    <row r="694">
      <c r="A694" s="120" t="str">
        <f>A693+1</f>
        <v>2026-09-06 00:00:00</v>
      </c>
      <c r="B694" s="121">
        <f>SUMIFS('Daily Writing Log'!$H$5:$H$34,'Daily Writing Log'!$A$5:$A$34,$A694)</f>
        <v>0</v>
      </c>
      <c r="C694" s="121">
        <f>SUMIFS('Daily Writing Log'!$I$5:$I$34,'Daily Writing Log'!$A$5:$A$34,$A694)</f>
        <v>0</v>
      </c>
      <c r="D694" s="122">
        <f>IF($C694&gt;=Config!$B$5,1,0)</f>
        <v>0</v>
      </c>
      <c r="E694" s="122">
        <f>IF(MONTH($A694)&lt;&gt;MONTH($A693),0,$G693)</f>
        <v>0</v>
      </c>
      <c r="F694" s="122">
        <f>IF(AND($D694=0,$H693&gt;0,$E694&lt;Config!$B$8,$A694&lt;Config!$A$2),1,0)</f>
        <v>0</v>
      </c>
      <c r="G694" s="122">
        <f>$E694+$F694</f>
        <v>0</v>
      </c>
      <c r="H694" s="122">
        <f>IF($D694=1,$H693+1,IF($F694=1,$H693,IF($A694=Config!$A$2,$H693,0)))</f>
        <v>0</v>
      </c>
      <c r="M694" s="123" t="n"/>
    </row>
    <row r="695">
      <c r="A695" s="120" t="str">
        <f>A694+1</f>
        <v>2026-09-07 00:00:00</v>
      </c>
      <c r="B695" s="121">
        <f>SUMIFS('Daily Writing Log'!$H$5:$H$34,'Daily Writing Log'!$A$5:$A$34,$A695)</f>
        <v>0</v>
      </c>
      <c r="C695" s="121">
        <f>SUMIFS('Daily Writing Log'!$I$5:$I$34,'Daily Writing Log'!$A$5:$A$34,$A695)</f>
        <v>0</v>
      </c>
      <c r="D695" s="122">
        <f>IF($C695&gt;=Config!$B$5,1,0)</f>
        <v>0</v>
      </c>
      <c r="E695" s="122">
        <f>IF(MONTH($A695)&lt;&gt;MONTH($A694),0,$G694)</f>
        <v>0</v>
      </c>
      <c r="F695" s="122">
        <f>IF(AND($D695=0,$H694&gt;0,$E695&lt;Config!$B$8,$A695&lt;Config!$A$2),1,0)</f>
        <v>0</v>
      </c>
      <c r="G695" s="122">
        <f>$E695+$F695</f>
        <v>0</v>
      </c>
      <c r="H695" s="122">
        <f>IF($D695=1,$H694+1,IF($F695=1,$H694,IF($A695=Config!$A$2,$H694,0)))</f>
        <v>0</v>
      </c>
      <c r="M695" s="123" t="n"/>
    </row>
    <row r="696">
      <c r="A696" s="120" t="str">
        <f>A695+1</f>
        <v>2026-09-08 00:00:00</v>
      </c>
      <c r="B696" s="121">
        <f>SUMIFS('Daily Writing Log'!$H$5:$H$34,'Daily Writing Log'!$A$5:$A$34,$A696)</f>
        <v>0</v>
      </c>
      <c r="C696" s="121">
        <f>SUMIFS('Daily Writing Log'!$I$5:$I$34,'Daily Writing Log'!$A$5:$A$34,$A696)</f>
        <v>0</v>
      </c>
      <c r="D696" s="122">
        <f>IF($C696&gt;=Config!$B$5,1,0)</f>
        <v>0</v>
      </c>
      <c r="E696" s="122">
        <f>IF(MONTH($A696)&lt;&gt;MONTH($A695),0,$G695)</f>
        <v>0</v>
      </c>
      <c r="F696" s="122">
        <f>IF(AND($D696=0,$H695&gt;0,$E696&lt;Config!$B$8,$A696&lt;Config!$A$2),1,0)</f>
        <v>0</v>
      </c>
      <c r="G696" s="122">
        <f>$E696+$F696</f>
        <v>0</v>
      </c>
      <c r="H696" s="122">
        <f>IF($D696=1,$H695+1,IF($F696=1,$H695,IF($A696=Config!$A$2,$H695,0)))</f>
        <v>0</v>
      </c>
      <c r="M696" s="123" t="n"/>
    </row>
    <row r="697">
      <c r="A697" s="120" t="str">
        <f>A696+1</f>
        <v>2026-09-09 00:00:00</v>
      </c>
      <c r="B697" s="121">
        <f>SUMIFS('Daily Writing Log'!$H$5:$H$34,'Daily Writing Log'!$A$5:$A$34,$A697)</f>
        <v>0</v>
      </c>
      <c r="C697" s="121">
        <f>SUMIFS('Daily Writing Log'!$I$5:$I$34,'Daily Writing Log'!$A$5:$A$34,$A697)</f>
        <v>0</v>
      </c>
      <c r="D697" s="122">
        <f>IF($C697&gt;=Config!$B$5,1,0)</f>
        <v>0</v>
      </c>
      <c r="E697" s="122">
        <f>IF(MONTH($A697)&lt;&gt;MONTH($A696),0,$G696)</f>
        <v>0</v>
      </c>
      <c r="F697" s="122">
        <f>IF(AND($D697=0,$H696&gt;0,$E697&lt;Config!$B$8,$A697&lt;Config!$A$2),1,0)</f>
        <v>0</v>
      </c>
      <c r="G697" s="122">
        <f>$E697+$F697</f>
        <v>0</v>
      </c>
      <c r="H697" s="122">
        <f>IF($D697=1,$H696+1,IF($F697=1,$H696,IF($A697=Config!$A$2,$H696,0)))</f>
        <v>0</v>
      </c>
      <c r="M697" s="123" t="n"/>
    </row>
    <row r="698">
      <c r="A698" s="120" t="str">
        <f>A697+1</f>
        <v>2026-09-10 00:00:00</v>
      </c>
      <c r="B698" s="121">
        <f>SUMIFS('Daily Writing Log'!$H$5:$H$34,'Daily Writing Log'!$A$5:$A$34,$A698)</f>
        <v>0</v>
      </c>
      <c r="C698" s="121">
        <f>SUMIFS('Daily Writing Log'!$I$5:$I$34,'Daily Writing Log'!$A$5:$A$34,$A698)</f>
        <v>0</v>
      </c>
      <c r="D698" s="122">
        <f>IF($C698&gt;=Config!$B$5,1,0)</f>
        <v>0</v>
      </c>
      <c r="E698" s="122">
        <f>IF(MONTH($A698)&lt;&gt;MONTH($A697),0,$G697)</f>
        <v>0</v>
      </c>
      <c r="F698" s="122">
        <f>IF(AND($D698=0,$H697&gt;0,$E698&lt;Config!$B$8,$A698&lt;Config!$A$2),1,0)</f>
        <v>0</v>
      </c>
      <c r="G698" s="122">
        <f>$E698+$F698</f>
        <v>0</v>
      </c>
      <c r="H698" s="122">
        <f>IF($D698=1,$H697+1,IF($F698=1,$H697,IF($A698=Config!$A$2,$H697,0)))</f>
        <v>0</v>
      </c>
      <c r="M698" s="123" t="n"/>
    </row>
    <row r="699">
      <c r="A699" s="120" t="str">
        <f>A698+1</f>
        <v>2026-09-11 00:00:00</v>
      </c>
      <c r="B699" s="121">
        <f>SUMIFS('Daily Writing Log'!$H$5:$H$34,'Daily Writing Log'!$A$5:$A$34,$A699)</f>
        <v>0</v>
      </c>
      <c r="C699" s="121">
        <f>SUMIFS('Daily Writing Log'!$I$5:$I$34,'Daily Writing Log'!$A$5:$A$34,$A699)</f>
        <v>0</v>
      </c>
      <c r="D699" s="122">
        <f>IF($C699&gt;=Config!$B$5,1,0)</f>
        <v>0</v>
      </c>
      <c r="E699" s="122">
        <f>IF(MONTH($A699)&lt;&gt;MONTH($A698),0,$G698)</f>
        <v>0</v>
      </c>
      <c r="F699" s="122">
        <f>IF(AND($D699=0,$H698&gt;0,$E699&lt;Config!$B$8,$A699&lt;Config!$A$2),1,0)</f>
        <v>0</v>
      </c>
      <c r="G699" s="122">
        <f>$E699+$F699</f>
        <v>0</v>
      </c>
      <c r="H699" s="122">
        <f>IF($D699=1,$H698+1,IF($F699=1,$H698,IF($A699=Config!$A$2,$H698,0)))</f>
        <v>0</v>
      </c>
      <c r="M699" s="123" t="n"/>
    </row>
    <row r="700">
      <c r="A700" s="120" t="str">
        <f>A699+1</f>
        <v>2026-09-12 00:00:00</v>
      </c>
      <c r="B700" s="121">
        <f>SUMIFS('Daily Writing Log'!$H$5:$H$34,'Daily Writing Log'!$A$5:$A$34,$A700)</f>
        <v>0</v>
      </c>
      <c r="C700" s="121">
        <f>SUMIFS('Daily Writing Log'!$I$5:$I$34,'Daily Writing Log'!$A$5:$A$34,$A700)</f>
        <v>0</v>
      </c>
      <c r="D700" s="122">
        <f>IF($C700&gt;=Config!$B$5,1,0)</f>
        <v>0</v>
      </c>
      <c r="E700" s="122">
        <f>IF(MONTH($A700)&lt;&gt;MONTH($A699),0,$G699)</f>
        <v>0</v>
      </c>
      <c r="F700" s="122">
        <f>IF(AND($D700=0,$H699&gt;0,$E700&lt;Config!$B$8,$A700&lt;Config!$A$2),1,0)</f>
        <v>0</v>
      </c>
      <c r="G700" s="122">
        <f>$E700+$F700</f>
        <v>0</v>
      </c>
      <c r="H700" s="122">
        <f>IF($D700=1,$H699+1,IF($F700=1,$H699,IF($A700=Config!$A$2,$H699,0)))</f>
        <v>0</v>
      </c>
      <c r="M700" s="123" t="n"/>
    </row>
    <row r="701">
      <c r="A701" s="120" t="str">
        <f>A700+1</f>
        <v>2026-09-13 00:00:00</v>
      </c>
      <c r="B701" s="121">
        <f>SUMIFS('Daily Writing Log'!$H$5:$H$34,'Daily Writing Log'!$A$5:$A$34,$A701)</f>
        <v>0</v>
      </c>
      <c r="C701" s="121">
        <f>SUMIFS('Daily Writing Log'!$I$5:$I$34,'Daily Writing Log'!$A$5:$A$34,$A701)</f>
        <v>0</v>
      </c>
      <c r="D701" s="122">
        <f>IF($C701&gt;=Config!$B$5,1,0)</f>
        <v>0</v>
      </c>
      <c r="E701" s="122">
        <f>IF(MONTH($A701)&lt;&gt;MONTH($A700),0,$G700)</f>
        <v>0</v>
      </c>
      <c r="F701" s="122">
        <f>IF(AND($D701=0,$H700&gt;0,$E701&lt;Config!$B$8,$A701&lt;Config!$A$2),1,0)</f>
        <v>0</v>
      </c>
      <c r="G701" s="122">
        <f>$E701+$F701</f>
        <v>0</v>
      </c>
      <c r="H701" s="122">
        <f>IF($D701=1,$H700+1,IF($F701=1,$H700,IF($A701=Config!$A$2,$H700,0)))</f>
        <v>0</v>
      </c>
      <c r="M701" s="123" t="n"/>
    </row>
    <row r="702">
      <c r="A702" s="120" t="str">
        <f>A701+1</f>
        <v>2026-09-14 00:00:00</v>
      </c>
      <c r="B702" s="121">
        <f>SUMIFS('Daily Writing Log'!$H$5:$H$34,'Daily Writing Log'!$A$5:$A$34,$A702)</f>
        <v>0</v>
      </c>
      <c r="C702" s="121">
        <f>SUMIFS('Daily Writing Log'!$I$5:$I$34,'Daily Writing Log'!$A$5:$A$34,$A702)</f>
        <v>0</v>
      </c>
      <c r="D702" s="122">
        <f>IF($C702&gt;=Config!$B$5,1,0)</f>
        <v>0</v>
      </c>
      <c r="E702" s="122">
        <f>IF(MONTH($A702)&lt;&gt;MONTH($A701),0,$G701)</f>
        <v>0</v>
      </c>
      <c r="F702" s="122">
        <f>IF(AND($D702=0,$H701&gt;0,$E702&lt;Config!$B$8,$A702&lt;Config!$A$2),1,0)</f>
        <v>0</v>
      </c>
      <c r="G702" s="122">
        <f>$E702+$F702</f>
        <v>0</v>
      </c>
      <c r="H702" s="122">
        <f>IF($D702=1,$H701+1,IF($F702=1,$H701,IF($A702=Config!$A$2,$H701,0)))</f>
        <v>0</v>
      </c>
      <c r="M702" s="123" t="n"/>
    </row>
    <row r="703">
      <c r="A703" s="120" t="str">
        <f>A702+1</f>
        <v>2026-09-15 00:00:00</v>
      </c>
      <c r="B703" s="121">
        <f>SUMIFS('Daily Writing Log'!$H$5:$H$34,'Daily Writing Log'!$A$5:$A$34,$A703)</f>
        <v>0</v>
      </c>
      <c r="C703" s="121">
        <f>SUMIFS('Daily Writing Log'!$I$5:$I$34,'Daily Writing Log'!$A$5:$A$34,$A703)</f>
        <v>0</v>
      </c>
      <c r="D703" s="122">
        <f>IF($C703&gt;=Config!$B$5,1,0)</f>
        <v>0</v>
      </c>
      <c r="E703" s="122">
        <f>IF(MONTH($A703)&lt;&gt;MONTH($A702),0,$G702)</f>
        <v>0</v>
      </c>
      <c r="F703" s="122">
        <f>IF(AND($D703=0,$H702&gt;0,$E703&lt;Config!$B$8,$A703&lt;Config!$A$2),1,0)</f>
        <v>0</v>
      </c>
      <c r="G703" s="122">
        <f>$E703+$F703</f>
        <v>0</v>
      </c>
      <c r="H703" s="122">
        <f>IF($D703=1,$H702+1,IF($F703=1,$H702,IF($A703=Config!$A$2,$H702,0)))</f>
        <v>0</v>
      </c>
      <c r="M703" s="123" t="n"/>
    </row>
    <row r="704">
      <c r="A704" s="120" t="str">
        <f>A703+1</f>
        <v>2026-09-16 00:00:00</v>
      </c>
      <c r="B704" s="121">
        <f>SUMIFS('Daily Writing Log'!$H$5:$H$34,'Daily Writing Log'!$A$5:$A$34,$A704)</f>
        <v>0</v>
      </c>
      <c r="C704" s="121">
        <f>SUMIFS('Daily Writing Log'!$I$5:$I$34,'Daily Writing Log'!$A$5:$A$34,$A704)</f>
        <v>0</v>
      </c>
      <c r="D704" s="122">
        <f>IF($C704&gt;=Config!$B$5,1,0)</f>
        <v>0</v>
      </c>
      <c r="E704" s="122">
        <f>IF(MONTH($A704)&lt;&gt;MONTH($A703),0,$G703)</f>
        <v>0</v>
      </c>
      <c r="F704" s="122">
        <f>IF(AND($D704=0,$H703&gt;0,$E704&lt;Config!$B$8,$A704&lt;Config!$A$2),1,0)</f>
        <v>0</v>
      </c>
      <c r="G704" s="122">
        <f>$E704+$F704</f>
        <v>0</v>
      </c>
      <c r="H704" s="122">
        <f>IF($D704=1,$H703+1,IF($F704=1,$H703,IF($A704=Config!$A$2,$H703,0)))</f>
        <v>0</v>
      </c>
      <c r="M704" s="123" t="n"/>
    </row>
    <row r="705">
      <c r="A705" s="120" t="str">
        <f>A704+1</f>
        <v>2026-09-17 00:00:00</v>
      </c>
      <c r="B705" s="121">
        <f>SUMIFS('Daily Writing Log'!$H$5:$H$34,'Daily Writing Log'!$A$5:$A$34,$A705)</f>
        <v>0</v>
      </c>
      <c r="C705" s="121">
        <f>SUMIFS('Daily Writing Log'!$I$5:$I$34,'Daily Writing Log'!$A$5:$A$34,$A705)</f>
        <v>0</v>
      </c>
      <c r="D705" s="122">
        <f>IF($C705&gt;=Config!$B$5,1,0)</f>
        <v>0</v>
      </c>
      <c r="E705" s="122">
        <f>IF(MONTH($A705)&lt;&gt;MONTH($A704),0,$G704)</f>
        <v>0</v>
      </c>
      <c r="F705" s="122">
        <f>IF(AND($D705=0,$H704&gt;0,$E705&lt;Config!$B$8,$A705&lt;Config!$A$2),1,0)</f>
        <v>0</v>
      </c>
      <c r="G705" s="122">
        <f>$E705+$F705</f>
        <v>0</v>
      </c>
      <c r="H705" s="122">
        <f>IF($D705=1,$H704+1,IF($F705=1,$H704,IF($A705=Config!$A$2,$H704,0)))</f>
        <v>0</v>
      </c>
      <c r="M705" s="123" t="n"/>
    </row>
    <row r="706">
      <c r="A706" s="120" t="str">
        <f>A705+1</f>
        <v>2026-09-18 00:00:00</v>
      </c>
      <c r="B706" s="121">
        <f>SUMIFS('Daily Writing Log'!$H$5:$H$34,'Daily Writing Log'!$A$5:$A$34,$A706)</f>
        <v>0</v>
      </c>
      <c r="C706" s="121">
        <f>SUMIFS('Daily Writing Log'!$I$5:$I$34,'Daily Writing Log'!$A$5:$A$34,$A706)</f>
        <v>0</v>
      </c>
      <c r="D706" s="122">
        <f>IF($C706&gt;=Config!$B$5,1,0)</f>
        <v>0</v>
      </c>
      <c r="E706" s="122">
        <f>IF(MONTH($A706)&lt;&gt;MONTH($A705),0,$G705)</f>
        <v>0</v>
      </c>
      <c r="F706" s="122">
        <f>IF(AND($D706=0,$H705&gt;0,$E706&lt;Config!$B$8,$A706&lt;Config!$A$2),1,0)</f>
        <v>0</v>
      </c>
      <c r="G706" s="122">
        <f>$E706+$F706</f>
        <v>0</v>
      </c>
      <c r="H706" s="122">
        <f>IF($D706=1,$H705+1,IF($F706=1,$H705,IF($A706=Config!$A$2,$H705,0)))</f>
        <v>0</v>
      </c>
      <c r="M706" s="123" t="n"/>
    </row>
    <row r="707">
      <c r="A707" s="120" t="str">
        <f>A706+1</f>
        <v>2026-09-19 00:00:00</v>
      </c>
      <c r="B707" s="121">
        <f>SUMIFS('Daily Writing Log'!$H$5:$H$34,'Daily Writing Log'!$A$5:$A$34,$A707)</f>
        <v>0</v>
      </c>
      <c r="C707" s="121">
        <f>SUMIFS('Daily Writing Log'!$I$5:$I$34,'Daily Writing Log'!$A$5:$A$34,$A707)</f>
        <v>0</v>
      </c>
      <c r="D707" s="122">
        <f>IF($C707&gt;=Config!$B$5,1,0)</f>
        <v>0</v>
      </c>
      <c r="E707" s="122">
        <f>IF(MONTH($A707)&lt;&gt;MONTH($A706),0,$G706)</f>
        <v>0</v>
      </c>
      <c r="F707" s="122">
        <f>IF(AND($D707=0,$H706&gt;0,$E707&lt;Config!$B$8,$A707&lt;Config!$A$2),1,0)</f>
        <v>0</v>
      </c>
      <c r="G707" s="122">
        <f>$E707+$F707</f>
        <v>0</v>
      </c>
      <c r="H707" s="122">
        <f>IF($D707=1,$H706+1,IF($F707=1,$H706,IF($A707=Config!$A$2,$H706,0)))</f>
        <v>0</v>
      </c>
      <c r="M707" s="123" t="n"/>
    </row>
    <row r="708">
      <c r="A708" s="120" t="str">
        <f>A707+1</f>
        <v>2026-09-20 00:00:00</v>
      </c>
      <c r="B708" s="121">
        <f>SUMIFS('Daily Writing Log'!$H$5:$H$34,'Daily Writing Log'!$A$5:$A$34,$A708)</f>
        <v>0</v>
      </c>
      <c r="C708" s="121">
        <f>SUMIFS('Daily Writing Log'!$I$5:$I$34,'Daily Writing Log'!$A$5:$A$34,$A708)</f>
        <v>0</v>
      </c>
      <c r="D708" s="122">
        <f>IF($C708&gt;=Config!$B$5,1,0)</f>
        <v>0</v>
      </c>
      <c r="E708" s="122">
        <f>IF(MONTH($A708)&lt;&gt;MONTH($A707),0,$G707)</f>
        <v>0</v>
      </c>
      <c r="F708" s="122">
        <f>IF(AND($D708=0,$H707&gt;0,$E708&lt;Config!$B$8,$A708&lt;Config!$A$2),1,0)</f>
        <v>0</v>
      </c>
      <c r="G708" s="122">
        <f>$E708+$F708</f>
        <v>0</v>
      </c>
      <c r="H708" s="122">
        <f>IF($D708=1,$H707+1,IF($F708=1,$H707,IF($A708=Config!$A$2,$H707,0)))</f>
        <v>0</v>
      </c>
      <c r="M708" s="123" t="n"/>
    </row>
    <row r="709">
      <c r="A709" s="120" t="str">
        <f>A708+1</f>
        <v>2026-09-21 00:00:00</v>
      </c>
      <c r="B709" s="121">
        <f>SUMIFS('Daily Writing Log'!$H$5:$H$34,'Daily Writing Log'!$A$5:$A$34,$A709)</f>
        <v>0</v>
      </c>
      <c r="C709" s="121">
        <f>SUMIFS('Daily Writing Log'!$I$5:$I$34,'Daily Writing Log'!$A$5:$A$34,$A709)</f>
        <v>0</v>
      </c>
      <c r="D709" s="122">
        <f>IF($C709&gt;=Config!$B$5,1,0)</f>
        <v>0</v>
      </c>
      <c r="E709" s="122">
        <f>IF(MONTH($A709)&lt;&gt;MONTH($A708),0,$G708)</f>
        <v>0</v>
      </c>
      <c r="F709" s="122">
        <f>IF(AND($D709=0,$H708&gt;0,$E709&lt;Config!$B$8,$A709&lt;Config!$A$2),1,0)</f>
        <v>0</v>
      </c>
      <c r="G709" s="122">
        <f>$E709+$F709</f>
        <v>0</v>
      </c>
      <c r="H709" s="122">
        <f>IF($D709=1,$H708+1,IF($F709=1,$H708,IF($A709=Config!$A$2,$H708,0)))</f>
        <v>0</v>
      </c>
      <c r="M709" s="123" t="n"/>
    </row>
    <row r="710">
      <c r="A710" s="120" t="str">
        <f>A709+1</f>
        <v>2026-09-22 00:00:00</v>
      </c>
      <c r="B710" s="121">
        <f>SUMIFS('Daily Writing Log'!$H$5:$H$34,'Daily Writing Log'!$A$5:$A$34,$A710)</f>
        <v>0</v>
      </c>
      <c r="C710" s="121">
        <f>SUMIFS('Daily Writing Log'!$I$5:$I$34,'Daily Writing Log'!$A$5:$A$34,$A710)</f>
        <v>0</v>
      </c>
      <c r="D710" s="122">
        <f>IF($C710&gt;=Config!$B$5,1,0)</f>
        <v>0</v>
      </c>
      <c r="E710" s="122">
        <f>IF(MONTH($A710)&lt;&gt;MONTH($A709),0,$G709)</f>
        <v>0</v>
      </c>
      <c r="F710" s="122">
        <f>IF(AND($D710=0,$H709&gt;0,$E710&lt;Config!$B$8,$A710&lt;Config!$A$2),1,0)</f>
        <v>0</v>
      </c>
      <c r="G710" s="122">
        <f>$E710+$F710</f>
        <v>0</v>
      </c>
      <c r="H710" s="122">
        <f>IF($D710=1,$H709+1,IF($F710=1,$H709,IF($A710=Config!$A$2,$H709,0)))</f>
        <v>0</v>
      </c>
      <c r="M710" s="123" t="n"/>
    </row>
    <row r="711">
      <c r="A711" s="120" t="str">
        <f>A710+1</f>
        <v>2026-09-23 00:00:00</v>
      </c>
      <c r="B711" s="121">
        <f>SUMIFS('Daily Writing Log'!$H$5:$H$34,'Daily Writing Log'!$A$5:$A$34,$A711)</f>
        <v>0</v>
      </c>
      <c r="C711" s="121">
        <f>SUMIFS('Daily Writing Log'!$I$5:$I$34,'Daily Writing Log'!$A$5:$A$34,$A711)</f>
        <v>0</v>
      </c>
      <c r="D711" s="122">
        <f>IF($C711&gt;=Config!$B$5,1,0)</f>
        <v>0</v>
      </c>
      <c r="E711" s="122">
        <f>IF(MONTH($A711)&lt;&gt;MONTH($A710),0,$G710)</f>
        <v>0</v>
      </c>
      <c r="F711" s="122">
        <f>IF(AND($D711=0,$H710&gt;0,$E711&lt;Config!$B$8,$A711&lt;Config!$A$2),1,0)</f>
        <v>0</v>
      </c>
      <c r="G711" s="122">
        <f>$E711+$F711</f>
        <v>0</v>
      </c>
      <c r="H711" s="122">
        <f>IF($D711=1,$H710+1,IF($F711=1,$H710,IF($A711=Config!$A$2,$H710,0)))</f>
        <v>0</v>
      </c>
      <c r="M711" s="123" t="n"/>
    </row>
    <row r="712">
      <c r="A712" s="120" t="str">
        <f>A711+1</f>
        <v>2026-09-24 00:00:00</v>
      </c>
      <c r="B712" s="121">
        <f>SUMIFS('Daily Writing Log'!$H$5:$H$34,'Daily Writing Log'!$A$5:$A$34,$A712)</f>
        <v>0</v>
      </c>
      <c r="C712" s="121">
        <f>SUMIFS('Daily Writing Log'!$I$5:$I$34,'Daily Writing Log'!$A$5:$A$34,$A712)</f>
        <v>0</v>
      </c>
      <c r="D712" s="122">
        <f>IF($C712&gt;=Config!$B$5,1,0)</f>
        <v>0</v>
      </c>
      <c r="E712" s="122">
        <f>IF(MONTH($A712)&lt;&gt;MONTH($A711),0,$G711)</f>
        <v>0</v>
      </c>
      <c r="F712" s="122">
        <f>IF(AND($D712=0,$H711&gt;0,$E712&lt;Config!$B$8,$A712&lt;Config!$A$2),1,0)</f>
        <v>0</v>
      </c>
      <c r="G712" s="122">
        <f>$E712+$F712</f>
        <v>0</v>
      </c>
      <c r="H712" s="122">
        <f>IF($D712=1,$H711+1,IF($F712=1,$H711,IF($A712=Config!$A$2,$H711,0)))</f>
        <v>0</v>
      </c>
      <c r="M712" s="123" t="n"/>
    </row>
    <row r="713">
      <c r="A713" s="120" t="str">
        <f>A712+1</f>
        <v>2026-09-25 00:00:00</v>
      </c>
      <c r="B713" s="121">
        <f>SUMIFS('Daily Writing Log'!$H$5:$H$34,'Daily Writing Log'!$A$5:$A$34,$A713)</f>
        <v>0</v>
      </c>
      <c r="C713" s="121">
        <f>SUMIFS('Daily Writing Log'!$I$5:$I$34,'Daily Writing Log'!$A$5:$A$34,$A713)</f>
        <v>0</v>
      </c>
      <c r="D713" s="122">
        <f>IF($C713&gt;=Config!$B$5,1,0)</f>
        <v>0</v>
      </c>
      <c r="E713" s="122">
        <f>IF(MONTH($A713)&lt;&gt;MONTH($A712),0,$G712)</f>
        <v>0</v>
      </c>
      <c r="F713" s="122">
        <f>IF(AND($D713=0,$H712&gt;0,$E713&lt;Config!$B$8,$A713&lt;Config!$A$2),1,0)</f>
        <v>0</v>
      </c>
      <c r="G713" s="122">
        <f>$E713+$F713</f>
        <v>0</v>
      </c>
      <c r="H713" s="122">
        <f>IF($D713=1,$H712+1,IF($F713=1,$H712,IF($A713=Config!$A$2,$H712,0)))</f>
        <v>0</v>
      </c>
      <c r="M713" s="123" t="n"/>
    </row>
    <row r="714">
      <c r="A714" s="120" t="str">
        <f>A713+1</f>
        <v>2026-09-26 00:00:00</v>
      </c>
      <c r="B714" s="121">
        <f>SUMIFS('Daily Writing Log'!$H$5:$H$34,'Daily Writing Log'!$A$5:$A$34,$A714)</f>
        <v>0</v>
      </c>
      <c r="C714" s="121">
        <f>SUMIFS('Daily Writing Log'!$I$5:$I$34,'Daily Writing Log'!$A$5:$A$34,$A714)</f>
        <v>0</v>
      </c>
      <c r="D714" s="122">
        <f>IF($C714&gt;=Config!$B$5,1,0)</f>
        <v>0</v>
      </c>
      <c r="E714" s="122">
        <f>IF(MONTH($A714)&lt;&gt;MONTH($A713),0,$G713)</f>
        <v>0</v>
      </c>
      <c r="F714" s="122">
        <f>IF(AND($D714=0,$H713&gt;0,$E714&lt;Config!$B$8,$A714&lt;Config!$A$2),1,0)</f>
        <v>0</v>
      </c>
      <c r="G714" s="122">
        <f>$E714+$F714</f>
        <v>0</v>
      </c>
      <c r="H714" s="122">
        <f>IF($D714=1,$H713+1,IF($F714=1,$H713,IF($A714=Config!$A$2,$H713,0)))</f>
        <v>0</v>
      </c>
      <c r="M714" s="123" t="n"/>
    </row>
    <row r="715">
      <c r="A715" s="120" t="str">
        <f>A714+1</f>
        <v>2026-09-27 00:00:00</v>
      </c>
      <c r="B715" s="121">
        <f>SUMIFS('Daily Writing Log'!$H$5:$H$34,'Daily Writing Log'!$A$5:$A$34,$A715)</f>
        <v>0</v>
      </c>
      <c r="C715" s="121">
        <f>SUMIFS('Daily Writing Log'!$I$5:$I$34,'Daily Writing Log'!$A$5:$A$34,$A715)</f>
        <v>0</v>
      </c>
      <c r="D715" s="122">
        <f>IF($C715&gt;=Config!$B$5,1,0)</f>
        <v>0</v>
      </c>
      <c r="E715" s="122">
        <f>IF(MONTH($A715)&lt;&gt;MONTH($A714),0,$G714)</f>
        <v>0</v>
      </c>
      <c r="F715" s="122">
        <f>IF(AND($D715=0,$H714&gt;0,$E715&lt;Config!$B$8,$A715&lt;Config!$A$2),1,0)</f>
        <v>0</v>
      </c>
      <c r="G715" s="122">
        <f>$E715+$F715</f>
        <v>0</v>
      </c>
      <c r="H715" s="122">
        <f>IF($D715=1,$H714+1,IF($F715=1,$H714,IF($A715=Config!$A$2,$H714,0)))</f>
        <v>0</v>
      </c>
      <c r="M715" s="123" t="n"/>
    </row>
    <row r="716">
      <c r="A716" s="120" t="str">
        <f>A715+1</f>
        <v>2026-09-28 00:00:00</v>
      </c>
      <c r="B716" s="121">
        <f>SUMIFS('Daily Writing Log'!$H$5:$H$34,'Daily Writing Log'!$A$5:$A$34,$A716)</f>
        <v>0</v>
      </c>
      <c r="C716" s="121">
        <f>SUMIFS('Daily Writing Log'!$I$5:$I$34,'Daily Writing Log'!$A$5:$A$34,$A716)</f>
        <v>0</v>
      </c>
      <c r="D716" s="122">
        <f>IF($C716&gt;=Config!$B$5,1,0)</f>
        <v>0</v>
      </c>
      <c r="E716" s="122">
        <f>IF(MONTH($A716)&lt;&gt;MONTH($A715),0,$G715)</f>
        <v>0</v>
      </c>
      <c r="F716" s="122">
        <f>IF(AND($D716=0,$H715&gt;0,$E716&lt;Config!$B$8,$A716&lt;Config!$A$2),1,0)</f>
        <v>0</v>
      </c>
      <c r="G716" s="122">
        <f>$E716+$F716</f>
        <v>0</v>
      </c>
      <c r="H716" s="122">
        <f>IF($D716=1,$H715+1,IF($F716=1,$H715,IF($A716=Config!$A$2,$H715,0)))</f>
        <v>0</v>
      </c>
      <c r="M716" s="123" t="n"/>
    </row>
    <row r="717">
      <c r="A717" s="120" t="str">
        <f>A716+1</f>
        <v>2026-09-29 00:00:00</v>
      </c>
      <c r="B717" s="121">
        <f>SUMIFS('Daily Writing Log'!$H$5:$H$34,'Daily Writing Log'!$A$5:$A$34,$A717)</f>
        <v>0</v>
      </c>
      <c r="C717" s="121">
        <f>SUMIFS('Daily Writing Log'!$I$5:$I$34,'Daily Writing Log'!$A$5:$A$34,$A717)</f>
        <v>0</v>
      </c>
      <c r="D717" s="122">
        <f>IF($C717&gt;=Config!$B$5,1,0)</f>
        <v>0</v>
      </c>
      <c r="E717" s="122">
        <f>IF(MONTH($A717)&lt;&gt;MONTH($A716),0,$G716)</f>
        <v>0</v>
      </c>
      <c r="F717" s="122">
        <f>IF(AND($D717=0,$H716&gt;0,$E717&lt;Config!$B$8,$A717&lt;Config!$A$2),1,0)</f>
        <v>0</v>
      </c>
      <c r="G717" s="122">
        <f>$E717+$F717</f>
        <v>0</v>
      </c>
      <c r="H717" s="122">
        <f>IF($D717=1,$H716+1,IF($F717=1,$H716,IF($A717=Config!$A$2,$H716,0)))</f>
        <v>0</v>
      </c>
      <c r="M717" s="123" t="n"/>
    </row>
    <row r="718">
      <c r="A718" s="120" t="str">
        <f>A717+1</f>
        <v>2026-09-30 00:00:00</v>
      </c>
      <c r="B718" s="121">
        <f>SUMIFS('Daily Writing Log'!$H$5:$H$34,'Daily Writing Log'!$A$5:$A$34,$A718)</f>
        <v>0</v>
      </c>
      <c r="C718" s="121">
        <f>SUMIFS('Daily Writing Log'!$I$5:$I$34,'Daily Writing Log'!$A$5:$A$34,$A718)</f>
        <v>0</v>
      </c>
      <c r="D718" s="122">
        <f>IF($C718&gt;=Config!$B$5,1,0)</f>
        <v>0</v>
      </c>
      <c r="E718" s="122">
        <f>IF(MONTH($A718)&lt;&gt;MONTH($A717),0,$G717)</f>
        <v>0</v>
      </c>
      <c r="F718" s="122">
        <f>IF(AND($D718=0,$H717&gt;0,$E718&lt;Config!$B$8,$A718&lt;Config!$A$2),1,0)</f>
        <v>0</v>
      </c>
      <c r="G718" s="122">
        <f>$E718+$F718</f>
        <v>0</v>
      </c>
      <c r="H718" s="122">
        <f>IF($D718=1,$H717+1,IF($F718=1,$H717,IF($A718=Config!$A$2,$H717,0)))</f>
        <v>0</v>
      </c>
      <c r="M718" s="123" t="n"/>
    </row>
    <row r="719">
      <c r="A719" s="120" t="str">
        <f>A718+1</f>
        <v>2026-10-01 00:00:00</v>
      </c>
      <c r="B719" s="121">
        <f>SUMIFS('Daily Writing Log'!$H$5:$H$34,'Daily Writing Log'!$A$5:$A$34,$A719)</f>
        <v>0</v>
      </c>
      <c r="C719" s="121">
        <f>SUMIFS('Daily Writing Log'!$I$5:$I$34,'Daily Writing Log'!$A$5:$A$34,$A719)</f>
        <v>0</v>
      </c>
      <c r="D719" s="122">
        <f>IF($C719&gt;=Config!$B$5,1,0)</f>
        <v>0</v>
      </c>
      <c r="E719" s="122">
        <f>IF(MONTH($A719)&lt;&gt;MONTH($A718),0,$G718)</f>
        <v>0</v>
      </c>
      <c r="F719" s="122">
        <f>IF(AND($D719=0,$H718&gt;0,$E719&lt;Config!$B$8,$A719&lt;Config!$A$2),1,0)</f>
        <v>0</v>
      </c>
      <c r="G719" s="122">
        <f>$E719+$F719</f>
        <v>0</v>
      </c>
      <c r="H719" s="122">
        <f>IF($D719=1,$H718+1,IF($F719=1,$H718,IF($A719=Config!$A$2,$H718,0)))</f>
        <v>0</v>
      </c>
      <c r="M719" s="123" t="n"/>
    </row>
    <row r="720">
      <c r="A720" s="120" t="str">
        <f>A719+1</f>
        <v>2026-10-02 00:00:00</v>
      </c>
      <c r="B720" s="121">
        <f>SUMIFS('Daily Writing Log'!$H$5:$H$34,'Daily Writing Log'!$A$5:$A$34,$A720)</f>
        <v>0</v>
      </c>
      <c r="C720" s="121">
        <f>SUMIFS('Daily Writing Log'!$I$5:$I$34,'Daily Writing Log'!$A$5:$A$34,$A720)</f>
        <v>0</v>
      </c>
      <c r="D720" s="122">
        <f>IF($C720&gt;=Config!$B$5,1,0)</f>
        <v>0</v>
      </c>
      <c r="E720" s="122">
        <f>IF(MONTH($A720)&lt;&gt;MONTH($A719),0,$G719)</f>
        <v>0</v>
      </c>
      <c r="F720" s="122">
        <f>IF(AND($D720=0,$H719&gt;0,$E720&lt;Config!$B$8,$A720&lt;Config!$A$2),1,0)</f>
        <v>0</v>
      </c>
      <c r="G720" s="122">
        <f>$E720+$F720</f>
        <v>0</v>
      </c>
      <c r="H720" s="122">
        <f>IF($D720=1,$H719+1,IF($F720=1,$H719,IF($A720=Config!$A$2,$H719,0)))</f>
        <v>0</v>
      </c>
      <c r="M720" s="123" t="n"/>
    </row>
    <row r="721">
      <c r="A721" s="120" t="str">
        <f>A720+1</f>
        <v>2026-10-03 00:00:00</v>
      </c>
      <c r="B721" s="121">
        <f>SUMIFS('Daily Writing Log'!$H$5:$H$34,'Daily Writing Log'!$A$5:$A$34,$A721)</f>
        <v>0</v>
      </c>
      <c r="C721" s="121">
        <f>SUMIFS('Daily Writing Log'!$I$5:$I$34,'Daily Writing Log'!$A$5:$A$34,$A721)</f>
        <v>0</v>
      </c>
      <c r="D721" s="122">
        <f>IF($C721&gt;=Config!$B$5,1,0)</f>
        <v>0</v>
      </c>
      <c r="E721" s="122">
        <f>IF(MONTH($A721)&lt;&gt;MONTH($A720),0,$G720)</f>
        <v>0</v>
      </c>
      <c r="F721" s="122">
        <f>IF(AND($D721=0,$H720&gt;0,$E721&lt;Config!$B$8,$A721&lt;Config!$A$2),1,0)</f>
        <v>0</v>
      </c>
      <c r="G721" s="122">
        <f>$E721+$F721</f>
        <v>0</v>
      </c>
      <c r="H721" s="122">
        <f>IF($D721=1,$H720+1,IF($F721=1,$H720,IF($A721=Config!$A$2,$H720,0)))</f>
        <v>0</v>
      </c>
      <c r="M721" s="123" t="n"/>
    </row>
    <row r="722">
      <c r="A722" s="120" t="str">
        <f>A721+1</f>
        <v>2026-10-04 00:00:00</v>
      </c>
      <c r="B722" s="121">
        <f>SUMIFS('Daily Writing Log'!$H$5:$H$34,'Daily Writing Log'!$A$5:$A$34,$A722)</f>
        <v>0</v>
      </c>
      <c r="C722" s="121">
        <f>SUMIFS('Daily Writing Log'!$I$5:$I$34,'Daily Writing Log'!$A$5:$A$34,$A722)</f>
        <v>0</v>
      </c>
      <c r="D722" s="122">
        <f>IF($C722&gt;=Config!$B$5,1,0)</f>
        <v>0</v>
      </c>
      <c r="E722" s="122">
        <f>IF(MONTH($A722)&lt;&gt;MONTH($A721),0,$G721)</f>
        <v>0</v>
      </c>
      <c r="F722" s="122">
        <f>IF(AND($D722=0,$H721&gt;0,$E722&lt;Config!$B$8,$A722&lt;Config!$A$2),1,0)</f>
        <v>0</v>
      </c>
      <c r="G722" s="122">
        <f>$E722+$F722</f>
        <v>0</v>
      </c>
      <c r="H722" s="122">
        <f>IF($D722=1,$H721+1,IF($F722=1,$H721,IF($A722=Config!$A$2,$H721,0)))</f>
        <v>0</v>
      </c>
      <c r="M722" s="123" t="n"/>
    </row>
    <row r="723">
      <c r="A723" s="120" t="str">
        <f>A722+1</f>
        <v>2026-10-05 00:00:00</v>
      </c>
      <c r="B723" s="121">
        <f>SUMIFS('Daily Writing Log'!$H$5:$H$34,'Daily Writing Log'!$A$5:$A$34,$A723)</f>
        <v>0</v>
      </c>
      <c r="C723" s="121">
        <f>SUMIFS('Daily Writing Log'!$I$5:$I$34,'Daily Writing Log'!$A$5:$A$34,$A723)</f>
        <v>0</v>
      </c>
      <c r="D723" s="122">
        <f>IF($C723&gt;=Config!$B$5,1,0)</f>
        <v>0</v>
      </c>
      <c r="E723" s="122">
        <f>IF(MONTH($A723)&lt;&gt;MONTH($A722),0,$G722)</f>
        <v>0</v>
      </c>
      <c r="F723" s="122">
        <f>IF(AND($D723=0,$H722&gt;0,$E723&lt;Config!$B$8,$A723&lt;Config!$A$2),1,0)</f>
        <v>0</v>
      </c>
      <c r="G723" s="122">
        <f>$E723+$F723</f>
        <v>0</v>
      </c>
      <c r="H723" s="122">
        <f>IF($D723=1,$H722+1,IF($F723=1,$H722,IF($A723=Config!$A$2,$H722,0)))</f>
        <v>0</v>
      </c>
      <c r="M723" s="123" t="n"/>
    </row>
    <row r="724">
      <c r="A724" s="120" t="str">
        <f>A723+1</f>
        <v>2026-10-06 00:00:00</v>
      </c>
      <c r="B724" s="121">
        <f>SUMIFS('Daily Writing Log'!$H$5:$H$34,'Daily Writing Log'!$A$5:$A$34,$A724)</f>
        <v>0</v>
      </c>
      <c r="C724" s="121">
        <f>SUMIFS('Daily Writing Log'!$I$5:$I$34,'Daily Writing Log'!$A$5:$A$34,$A724)</f>
        <v>0</v>
      </c>
      <c r="D724" s="122">
        <f>IF($C724&gt;=Config!$B$5,1,0)</f>
        <v>0</v>
      </c>
      <c r="E724" s="122">
        <f>IF(MONTH($A724)&lt;&gt;MONTH($A723),0,$G723)</f>
        <v>0</v>
      </c>
      <c r="F724" s="122">
        <f>IF(AND($D724=0,$H723&gt;0,$E724&lt;Config!$B$8,$A724&lt;Config!$A$2),1,0)</f>
        <v>0</v>
      </c>
      <c r="G724" s="122">
        <f>$E724+$F724</f>
        <v>0</v>
      </c>
      <c r="H724" s="122">
        <f>IF($D724=1,$H723+1,IF($F724=1,$H723,IF($A724=Config!$A$2,$H723,0)))</f>
        <v>0</v>
      </c>
      <c r="M724" s="123" t="n"/>
    </row>
    <row r="725">
      <c r="A725" s="120" t="str">
        <f>A724+1</f>
        <v>2026-10-07 00:00:00</v>
      </c>
      <c r="B725" s="121">
        <f>SUMIFS('Daily Writing Log'!$H$5:$H$34,'Daily Writing Log'!$A$5:$A$34,$A725)</f>
        <v>0</v>
      </c>
      <c r="C725" s="121">
        <f>SUMIFS('Daily Writing Log'!$I$5:$I$34,'Daily Writing Log'!$A$5:$A$34,$A725)</f>
        <v>0</v>
      </c>
      <c r="D725" s="122">
        <f>IF($C725&gt;=Config!$B$5,1,0)</f>
        <v>0</v>
      </c>
      <c r="E725" s="122">
        <f>IF(MONTH($A725)&lt;&gt;MONTH($A724),0,$G724)</f>
        <v>0</v>
      </c>
      <c r="F725" s="122">
        <f>IF(AND($D725=0,$H724&gt;0,$E725&lt;Config!$B$8,$A725&lt;Config!$A$2),1,0)</f>
        <v>0</v>
      </c>
      <c r="G725" s="122">
        <f>$E725+$F725</f>
        <v>0</v>
      </c>
      <c r="H725" s="122">
        <f>IF($D725=1,$H724+1,IF($F725=1,$H724,IF($A725=Config!$A$2,$H724,0)))</f>
        <v>0</v>
      </c>
      <c r="M725" s="123" t="n"/>
    </row>
    <row r="726">
      <c r="A726" s="120" t="str">
        <f>A725+1</f>
        <v>2026-10-08 00:00:00</v>
      </c>
      <c r="B726" s="121">
        <f>SUMIFS('Daily Writing Log'!$H$5:$H$34,'Daily Writing Log'!$A$5:$A$34,$A726)</f>
        <v>0</v>
      </c>
      <c r="C726" s="121">
        <f>SUMIFS('Daily Writing Log'!$I$5:$I$34,'Daily Writing Log'!$A$5:$A$34,$A726)</f>
        <v>0</v>
      </c>
      <c r="D726" s="122">
        <f>IF($C726&gt;=Config!$B$5,1,0)</f>
        <v>0</v>
      </c>
      <c r="E726" s="122">
        <f>IF(MONTH($A726)&lt;&gt;MONTH($A725),0,$G725)</f>
        <v>0</v>
      </c>
      <c r="F726" s="122">
        <f>IF(AND($D726=0,$H725&gt;0,$E726&lt;Config!$B$8,$A726&lt;Config!$A$2),1,0)</f>
        <v>0</v>
      </c>
      <c r="G726" s="122">
        <f>$E726+$F726</f>
        <v>0</v>
      </c>
      <c r="H726" s="122">
        <f>IF($D726=1,$H725+1,IF($F726=1,$H725,IF($A726=Config!$A$2,$H725,0)))</f>
        <v>0</v>
      </c>
      <c r="M726" s="123" t="n"/>
    </row>
    <row r="727">
      <c r="A727" s="120" t="str">
        <f>A726+1</f>
        <v>2026-10-09 00:00:00</v>
      </c>
      <c r="B727" s="121">
        <f>SUMIFS('Daily Writing Log'!$H$5:$H$34,'Daily Writing Log'!$A$5:$A$34,$A727)</f>
        <v>0</v>
      </c>
      <c r="C727" s="121">
        <f>SUMIFS('Daily Writing Log'!$I$5:$I$34,'Daily Writing Log'!$A$5:$A$34,$A727)</f>
        <v>0</v>
      </c>
      <c r="D727" s="122">
        <f>IF($C727&gt;=Config!$B$5,1,0)</f>
        <v>0</v>
      </c>
      <c r="E727" s="122">
        <f>IF(MONTH($A727)&lt;&gt;MONTH($A726),0,$G726)</f>
        <v>0</v>
      </c>
      <c r="F727" s="122">
        <f>IF(AND($D727=0,$H726&gt;0,$E727&lt;Config!$B$8,$A727&lt;Config!$A$2),1,0)</f>
        <v>0</v>
      </c>
      <c r="G727" s="122">
        <f>$E727+$F727</f>
        <v>0</v>
      </c>
      <c r="H727" s="122">
        <f>IF($D727=1,$H726+1,IF($F727=1,$H726,IF($A727=Config!$A$2,$H726,0)))</f>
        <v>0</v>
      </c>
      <c r="M727" s="123" t="n"/>
    </row>
    <row r="728">
      <c r="A728" s="120" t="str">
        <f>A727+1</f>
        <v>2026-10-10 00:00:00</v>
      </c>
      <c r="B728" s="121">
        <f>SUMIFS('Daily Writing Log'!$H$5:$H$34,'Daily Writing Log'!$A$5:$A$34,$A728)</f>
        <v>0</v>
      </c>
      <c r="C728" s="121">
        <f>SUMIFS('Daily Writing Log'!$I$5:$I$34,'Daily Writing Log'!$A$5:$A$34,$A728)</f>
        <v>0</v>
      </c>
      <c r="D728" s="122">
        <f>IF($C728&gt;=Config!$B$5,1,0)</f>
        <v>0</v>
      </c>
      <c r="E728" s="122">
        <f>IF(MONTH($A728)&lt;&gt;MONTH($A727),0,$G727)</f>
        <v>0</v>
      </c>
      <c r="F728" s="122">
        <f>IF(AND($D728=0,$H727&gt;0,$E728&lt;Config!$B$8,$A728&lt;Config!$A$2),1,0)</f>
        <v>0</v>
      </c>
      <c r="G728" s="122">
        <f>$E728+$F728</f>
        <v>0</v>
      </c>
      <c r="H728" s="122">
        <f>IF($D728=1,$H727+1,IF($F728=1,$H727,IF($A728=Config!$A$2,$H727,0)))</f>
        <v>0</v>
      </c>
      <c r="M728" s="123" t="n"/>
    </row>
    <row r="729">
      <c r="A729" s="120" t="str">
        <f>A728+1</f>
        <v>2026-10-11 00:00:00</v>
      </c>
      <c r="B729" s="121">
        <f>SUMIFS('Daily Writing Log'!$H$5:$H$34,'Daily Writing Log'!$A$5:$A$34,$A729)</f>
        <v>0</v>
      </c>
      <c r="C729" s="121">
        <f>SUMIFS('Daily Writing Log'!$I$5:$I$34,'Daily Writing Log'!$A$5:$A$34,$A729)</f>
        <v>0</v>
      </c>
      <c r="D729" s="122">
        <f>IF($C729&gt;=Config!$B$5,1,0)</f>
        <v>0</v>
      </c>
      <c r="E729" s="122">
        <f>IF(MONTH($A729)&lt;&gt;MONTH($A728),0,$G728)</f>
        <v>0</v>
      </c>
      <c r="F729" s="122">
        <f>IF(AND($D729=0,$H728&gt;0,$E729&lt;Config!$B$8,$A729&lt;Config!$A$2),1,0)</f>
        <v>0</v>
      </c>
      <c r="G729" s="122">
        <f>$E729+$F729</f>
        <v>0</v>
      </c>
      <c r="H729" s="122">
        <f>IF($D729=1,$H728+1,IF($F729=1,$H728,IF($A729=Config!$A$2,$H728,0)))</f>
        <v>0</v>
      </c>
      <c r="M729" s="123" t="n"/>
    </row>
    <row r="730">
      <c r="A730" s="120" t="str">
        <f>A729+1</f>
        <v>2026-10-12 00:00:00</v>
      </c>
      <c r="B730" s="121">
        <f>SUMIFS('Daily Writing Log'!$H$5:$H$34,'Daily Writing Log'!$A$5:$A$34,$A730)</f>
        <v>0</v>
      </c>
      <c r="C730" s="121">
        <f>SUMIFS('Daily Writing Log'!$I$5:$I$34,'Daily Writing Log'!$A$5:$A$34,$A730)</f>
        <v>0</v>
      </c>
      <c r="D730" s="122">
        <f>IF($C730&gt;=Config!$B$5,1,0)</f>
        <v>0</v>
      </c>
      <c r="E730" s="122">
        <f>IF(MONTH($A730)&lt;&gt;MONTH($A729),0,$G729)</f>
        <v>0</v>
      </c>
      <c r="F730" s="122">
        <f>IF(AND($D730=0,$H729&gt;0,$E730&lt;Config!$B$8,$A730&lt;Config!$A$2),1,0)</f>
        <v>0</v>
      </c>
      <c r="G730" s="122">
        <f>$E730+$F730</f>
        <v>0</v>
      </c>
      <c r="H730" s="122">
        <f>IF($D730=1,$H729+1,IF($F730=1,$H729,IF($A730=Config!$A$2,$H729,0)))</f>
        <v>0</v>
      </c>
      <c r="M730" s="123" t="n"/>
    </row>
    <row r="731">
      <c r="A731" s="120" t="str">
        <f>A730+1</f>
        <v>2026-10-13 00:00:00</v>
      </c>
      <c r="B731" s="121">
        <f>SUMIFS('Daily Writing Log'!$H$5:$H$34,'Daily Writing Log'!$A$5:$A$34,$A731)</f>
        <v>0</v>
      </c>
      <c r="C731" s="121">
        <f>SUMIFS('Daily Writing Log'!$I$5:$I$34,'Daily Writing Log'!$A$5:$A$34,$A731)</f>
        <v>0</v>
      </c>
      <c r="D731" s="122">
        <f>IF($C731&gt;=Config!$B$5,1,0)</f>
        <v>0</v>
      </c>
      <c r="E731" s="122">
        <f>IF(MONTH($A731)&lt;&gt;MONTH($A730),0,$G730)</f>
        <v>0</v>
      </c>
      <c r="F731" s="122">
        <f>IF(AND($D731=0,$H730&gt;0,$E731&lt;Config!$B$8,$A731&lt;Config!$A$2),1,0)</f>
        <v>0</v>
      </c>
      <c r="G731" s="122">
        <f>$E731+$F731</f>
        <v>0</v>
      </c>
      <c r="H731" s="122">
        <f>IF($D731=1,$H730+1,IF($F731=1,$H730,IF($A731=Config!$A$2,$H730,0)))</f>
        <v>0</v>
      </c>
      <c r="M731" s="123" t="n"/>
    </row>
    <row r="732">
      <c r="A732" s="120" t="str">
        <f>A731+1</f>
        <v>2026-10-14 00:00:00</v>
      </c>
      <c r="B732" s="121">
        <f>SUMIFS('Daily Writing Log'!$H$5:$H$34,'Daily Writing Log'!$A$5:$A$34,$A732)</f>
        <v>0</v>
      </c>
      <c r="C732" s="121">
        <f>SUMIFS('Daily Writing Log'!$I$5:$I$34,'Daily Writing Log'!$A$5:$A$34,$A732)</f>
        <v>0</v>
      </c>
      <c r="D732" s="122">
        <f>IF($C732&gt;=Config!$B$5,1,0)</f>
        <v>0</v>
      </c>
      <c r="E732" s="122">
        <f>IF(MONTH($A732)&lt;&gt;MONTH($A731),0,$G731)</f>
        <v>0</v>
      </c>
      <c r="F732" s="122">
        <f>IF(AND($D732=0,$H731&gt;0,$E732&lt;Config!$B$8,$A732&lt;Config!$A$2),1,0)</f>
        <v>0</v>
      </c>
      <c r="G732" s="122">
        <f>$E732+$F732</f>
        <v>0</v>
      </c>
      <c r="H732" s="122">
        <f>IF($D732=1,$H731+1,IF($F732=1,$H731,IF($A732=Config!$A$2,$H731,0)))</f>
        <v>0</v>
      </c>
      <c r="M732" s="123" t="n"/>
    </row>
    <row r="733">
      <c r="A733" s="120" t="str">
        <f>A732+1</f>
        <v>2026-10-15 00:00:00</v>
      </c>
      <c r="B733" s="121">
        <f>SUMIFS('Daily Writing Log'!$H$5:$H$34,'Daily Writing Log'!$A$5:$A$34,$A733)</f>
        <v>0</v>
      </c>
      <c r="C733" s="121">
        <f>SUMIFS('Daily Writing Log'!$I$5:$I$34,'Daily Writing Log'!$A$5:$A$34,$A733)</f>
        <v>0</v>
      </c>
      <c r="D733" s="122">
        <f>IF($C733&gt;=Config!$B$5,1,0)</f>
        <v>0</v>
      </c>
      <c r="E733" s="122">
        <f>IF(MONTH($A733)&lt;&gt;MONTH($A732),0,$G732)</f>
        <v>0</v>
      </c>
      <c r="F733" s="122">
        <f>IF(AND($D733=0,$H732&gt;0,$E733&lt;Config!$B$8,$A733&lt;Config!$A$2),1,0)</f>
        <v>0</v>
      </c>
      <c r="G733" s="122">
        <f>$E733+$F733</f>
        <v>0</v>
      </c>
      <c r="H733" s="122">
        <f>IF($D733=1,$H732+1,IF($F733=1,$H732,IF($A733=Config!$A$2,$H732,0)))</f>
        <v>0</v>
      </c>
      <c r="M733" s="123" t="n"/>
    </row>
    <row r="734">
      <c r="A734" s="120" t="str">
        <f>A733+1</f>
        <v>2026-10-16 00:00:00</v>
      </c>
      <c r="B734" s="121">
        <f>SUMIFS('Daily Writing Log'!$H$5:$H$34,'Daily Writing Log'!$A$5:$A$34,$A734)</f>
        <v>0</v>
      </c>
      <c r="C734" s="121">
        <f>SUMIFS('Daily Writing Log'!$I$5:$I$34,'Daily Writing Log'!$A$5:$A$34,$A734)</f>
        <v>0</v>
      </c>
      <c r="D734" s="122">
        <f>IF($C734&gt;=Config!$B$5,1,0)</f>
        <v>0</v>
      </c>
      <c r="E734" s="122">
        <f>IF(MONTH($A734)&lt;&gt;MONTH($A733),0,$G733)</f>
        <v>0</v>
      </c>
      <c r="F734" s="122">
        <f>IF(AND($D734=0,$H733&gt;0,$E734&lt;Config!$B$8,$A734&lt;Config!$A$2),1,0)</f>
        <v>0</v>
      </c>
      <c r="G734" s="122">
        <f>$E734+$F734</f>
        <v>0</v>
      </c>
      <c r="H734" s="122">
        <f>IF($D734=1,$H733+1,IF($F734=1,$H733,IF($A734=Config!$A$2,$H733,0)))</f>
        <v>0</v>
      </c>
      <c r="M734" s="123" t="n"/>
    </row>
  </sheetData>
  <mergeCells count="2">
    <mergeCell ref="A2:S2"/>
    <mergeCell ref="A1:S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4" customWidth="1" min="11" max="11"/>
    <col width="14" customWidth="1" min="12" max="12"/>
    <col width="24" customWidth="1" min="13" max="13"/>
  </cols>
  <sheetData>
    <row r="1" ht="28" customHeight="1">
      <c r="A1" s="144" t="inlineStr">
        <is>
          <t>🛡️ ARS ARCANUM • DETERMINISTIC CONTINUITY &amp; COMPILER TELEMETRY</t>
        </is>
      </c>
      <c r="B1" s="144" t="n"/>
      <c r="C1" s="144" t="n"/>
      <c r="D1" s="144" t="n"/>
      <c r="E1" s="144" t="n"/>
      <c r="F1" s="144" t="n"/>
      <c r="G1" s="144" t="n"/>
      <c r="H1" s="144" t="n"/>
      <c r="I1" s="144" t="n"/>
      <c r="J1" s="144" t="n"/>
      <c r="K1" s="144" t="n"/>
      <c r="L1" s="144" t="n"/>
      <c r="M1" s="144" t="n"/>
    </row>
    <row r="2" ht="20" customHeight="1">
      <c r="A2" s="145" t="inlineStr">
        <is>
          <t>Auto-linked to 'My Books' &amp; synchronized by `arcanum workbook sync` (`scripts/lib/workbook_sync.py`). Tracks EPI-*, TIME-*, CON-*, LED-*, BRD-*, and REV-* across all manuscripts.</t>
        </is>
      </c>
      <c r="B2" s="145" t="n"/>
      <c r="C2" s="145" t="n"/>
      <c r="D2" s="145" t="n"/>
      <c r="E2" s="145" t="n"/>
      <c r="F2" s="145" t="n"/>
      <c r="G2" s="145" t="n"/>
      <c r="H2" s="145" t="n"/>
      <c r="I2" s="145" t="n"/>
      <c r="J2" s="145" t="n"/>
      <c r="K2" s="145" t="n"/>
      <c r="L2" s="145" t="n"/>
      <c r="M2" s="145" t="n"/>
    </row>
    <row r="4" ht="20" customHeight="1">
      <c r="A4" s="146" t="inlineStr">
        <is>
          <t>CONTINUITY COMPILER GATE</t>
        </is>
      </c>
      <c r="B4" s="146" t="n"/>
      <c r="C4" s="146" t="n"/>
      <c r="D4" s="146" t="inlineStr">
        <is>
          <t>INDEXED VAULT DOCUMENTS</t>
        </is>
      </c>
      <c r="E4" s="146" t="n"/>
      <c r="F4" s="146" t="n"/>
      <c r="G4" s="146" t="inlineStr">
        <is>
          <t>ACTIVE COMPILER FINDINGS</t>
        </is>
      </c>
      <c r="H4" s="146" t="n"/>
      <c r="I4" s="146" t="n"/>
      <c r="J4" s="146" t="inlineStr">
        <is>
          <t>EXCISED REVISION SCRAPS</t>
        </is>
      </c>
      <c r="K4" s="146" t="n"/>
      <c r="L4" s="146" t="n"/>
      <c r="M4" s="146" t="n"/>
    </row>
    <row r="5" ht="26" customHeight="1">
      <c r="A5" s="147" t="str">
        <f>IF(G5=0,"PASS (CLEAN)","NEEDS ATTENTION")</f>
        <v>PASS (CLEAN)</v>
      </c>
      <c r="B5" s="147" t="n"/>
      <c r="C5" s="147" t="n"/>
      <c r="D5" s="148">
        <f>SUM(D10:D29)</f>
        <v>28</v>
      </c>
      <c r="E5" s="148" t="n"/>
      <c r="F5" s="148" t="n"/>
      <c r="G5" s="148">
        <f>SUM(J10:J29)</f>
        <v>0</v>
      </c>
      <c r="H5" s="148" t="n"/>
      <c r="I5" s="148" t="n"/>
      <c r="J5" s="148">
        <f>SUM(L10:L29)</f>
        <v>1</v>
      </c>
      <c r="K5" s="148" t="n"/>
      <c r="L5" s="148" t="n"/>
      <c r="M5" s="148" t="n"/>
    </row>
    <row r="6" ht="18" customHeight="1">
      <c r="A6" s="149" t="inlineStr">
        <is>
          <t>All 5 Deterministic Compilers</t>
        </is>
      </c>
      <c r="B6" s="149" t="n"/>
      <c r="C6" s="149" t="n"/>
      <c r="D6" s="149" t="str">
        <f>"(" &amp; COUNTIF(D10:D29,"&gt;0") &amp; " Vaults Indexed)"</f>
        <v>(6 Vaults Indexed)</v>
      </c>
      <c r="E6" s="149" t="n"/>
      <c r="F6" s="149" t="n"/>
      <c r="G6" s="149" t="inlineStr">
        <is>
          <t>EPI · TIME · CON · LED · BRD</t>
        </is>
      </c>
      <c r="H6" s="149" t="n"/>
      <c r="I6" s="149" t="n"/>
      <c r="J6" s="149" t="str">
        <f>"Avg Churn: " &amp; TEXT(IF(COUNT(K10:K29)&gt;0,AVERAGE(K10:K29),0),"0.0%")</f>
        <v>Avg Churn: 3.1%</v>
      </c>
      <c r="K6" s="149" t="n"/>
      <c r="L6" s="149" t="n"/>
      <c r="M6" s="149" t="n"/>
    </row>
    <row r="7" ht="20" customHeight="1">
      <c r="A7" s="150" t="inlineStr">
        <is>
          <t>⚡ Synced via VaultContinuityRunner</t>
        </is>
      </c>
      <c r="B7" s="150" t="n"/>
      <c r="C7" s="150" t="n"/>
      <c r="D7" s="150" t="inlineStr">
        <is>
          <t>📦 Cache: .arcanum_cache.json (v3)</t>
        </is>
      </c>
      <c r="E7" s="150" t="n"/>
      <c r="F7" s="150" t="n"/>
      <c r="G7" s="150" t="str">
        <f>IF(G5=0,"✅ 0 Spoiler / Physics Leaks","⚠️ Review Actionable Findings")</f>
        <v>✅ 0 Spoiler / Physics Leaks</v>
      </c>
      <c r="H7" s="150" t="n"/>
      <c r="I7" s="150" t="n"/>
      <c r="J7" s="150" t="inlineStr">
        <is>
          <t>✂️ Cuts &gt;= 50 wds -&gt; Scraps/</t>
        </is>
      </c>
      <c r="K7" s="150" t="n"/>
      <c r="L7" s="150" t="n"/>
      <c r="M7" s="150" t="n"/>
    </row>
    <row r="8" ht="22" customHeight="1">
      <c r="A8" s="151" t="inlineStr">
        <is>
          <t>📌 BOOK &amp; VAULT CONTINUITY COMPILER MATRIX (AUTO-POPULATES FROM 'MY BOOKS' &amp; CLI RUNNER)</t>
        </is>
      </c>
      <c r="B8" s="151" t="n"/>
      <c r="C8" s="151" t="n"/>
      <c r="D8" s="151" t="n"/>
      <c r="E8" s="151" t="n"/>
      <c r="F8" s="151" t="n"/>
      <c r="G8" s="151" t="n"/>
      <c r="H8" s="151" t="n"/>
      <c r="I8" s="151" t="n"/>
      <c r="J8" s="151" t="n"/>
      <c r="K8" s="151" t="n"/>
      <c r="L8" s="151" t="n"/>
      <c r="M8" s="151" t="n"/>
    </row>
    <row r="9" ht="24" customHeight="1">
      <c r="A9" s="152" t="inlineStr">
        <is>
          <t>Book Title [Auto]</t>
        </is>
      </c>
      <c r="B9" s="152" t="inlineStr">
        <is>
          <t>Universe [Auto]</t>
        </is>
      </c>
      <c r="C9" s="153" t="inlineStr">
        <is>
          <t>Stage [Auto]</t>
        </is>
      </c>
      <c r="D9" s="153" t="inlineStr">
        <is>
          <t>Indexed Docs</t>
        </is>
      </c>
      <c r="E9" s="153" t="inlineStr">
        <is>
          <t>EPI-* (POV Leaks)</t>
        </is>
      </c>
      <c r="F9" s="153" t="inlineStr">
        <is>
          <t>TIME-* (Routes)</t>
        </is>
      </c>
      <c r="G9" s="153" t="inlineStr">
        <is>
          <t>CON-* (Conlang)</t>
        </is>
      </c>
      <c r="H9" s="153" t="inlineStr">
        <is>
          <t>LED-* (Resources)</t>
        </is>
      </c>
      <c r="I9" s="153" t="inlineStr">
        <is>
          <t>BRD-* (Droughts)</t>
        </is>
      </c>
      <c r="J9" s="153" t="inlineStr">
        <is>
          <t>Total Findings [Auto]</t>
        </is>
      </c>
      <c r="K9" s="153" t="inlineStr">
        <is>
          <t>Draft Churn %</t>
        </is>
      </c>
      <c r="L9" s="153" t="inlineStr">
        <is>
          <t>Scraps Saved</t>
        </is>
      </c>
      <c r="M9" s="153" t="inlineStr">
        <is>
          <t>Compiler Gate Status [Auto]</t>
        </is>
      </c>
    </row>
    <row r="10" ht="20" customHeight="1">
      <c r="A10" s="154" t="str">
        <f>IF('My Books'!$B5="","",'My Books'!$B5)</f>
        <v>Prisoner of Sand Sea</v>
      </c>
      <c r="B10" s="155" t="str">
        <f>IF($A10="","",'My Books'!$D5)</f>
        <v>Reliquary</v>
      </c>
      <c r="C10" s="156" t="str">
        <f>IF($A10="","",'My Books'!$F5)</f>
        <v>Concept</v>
      </c>
      <c r="D10" s="157">
        <v>3</v>
      </c>
      <c r="E10" s="157">
        <v>0</v>
      </c>
      <c r="F10" s="157">
        <v>0</v>
      </c>
      <c r="G10" s="157">
        <v>0</v>
      </c>
      <c r="H10" s="157">
        <v>0</v>
      </c>
      <c r="I10" s="157">
        <v>0</v>
      </c>
      <c r="J10" s="158">
        <f>IF($A10="","",SUM(E10:I10))</f>
        <v>0</v>
      </c>
      <c r="K10" s="159">
        <v>0.0</v>
      </c>
      <c r="L10" s="157">
        <v>0</v>
      </c>
      <c r="M10" s="156" t="str">
        <f>IF($A10="","",IF(N(D10)=0,"⚪ Pending Vault Scan",IF(N(J10)=0,"✅ PASS (0 Findings)","⚠️ "&amp;J10&amp;" Finding(s)")))</f>
        <v>✅ PASS (0 Findings)</v>
      </c>
    </row>
    <row r="11" ht="20" customHeight="1">
      <c r="A11" s="160" t="str">
        <f>IF('My Books'!$B6="","",'My Books'!$B6)</f>
        <v>Gothic Fantasy 1</v>
      </c>
      <c r="B11" s="161" t="str">
        <f>IF($A11="","",'My Books'!$D6)</f>
        <v>Reliquary</v>
      </c>
      <c r="C11" s="162" t="str">
        <f>IF($A11="","",'My Books'!$F6)</f>
        <v>Concept</v>
      </c>
      <c r="D11" s="163">
        <v>2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4">
        <f>IF($A11="","",SUM(E11:I11))</f>
        <v>0</v>
      </c>
      <c r="K11" s="165">
        <v>0.0</v>
      </c>
      <c r="L11" s="163">
        <v>0</v>
      </c>
      <c r="M11" s="162" t="str">
        <f>IF($A11="","",IF(N(D11)=0,"⚪ Pending Vault Scan",IF(N(J11)=0,"✅ PASS (0 Findings)","⚠️ "&amp;J11&amp;" Finding(s)")))</f>
        <v>✅ PASS (0 Findings)</v>
      </c>
    </row>
    <row r="12" ht="20" customHeight="1">
      <c r="A12" s="154" t="str">
        <f>IF('My Books'!$B7="","",'My Books'!$B7)</f>
        <v>Quest Fantasy 1</v>
      </c>
      <c r="B12" s="155" t="str">
        <f>IF($A12="","",'My Books'!$D7)</f>
        <v>Reliquary</v>
      </c>
      <c r="C12" s="156" t="str">
        <f>IF($A12="","",'My Books'!$F7)</f>
        <v>Concept</v>
      </c>
      <c r="D12" s="157">
        <v>1</v>
      </c>
      <c r="E12" s="157">
        <v>0</v>
      </c>
      <c r="F12" s="157">
        <v>0</v>
      </c>
      <c r="G12" s="157">
        <v>0</v>
      </c>
      <c r="H12" s="157">
        <v>0</v>
      </c>
      <c r="I12" s="157">
        <v>0</v>
      </c>
      <c r="J12" s="158">
        <f>IF($A12="","",SUM(E12:I12))</f>
        <v>0</v>
      </c>
      <c r="K12" s="159">
        <v>0.0</v>
      </c>
      <c r="L12" s="157">
        <v>0</v>
      </c>
      <c r="M12" s="156" t="str">
        <f>IF($A12="","",IF(N(D12)=0,"⚪ Pending Vault Scan",IF(N(J12)=0,"✅ PASS (0 Findings)","⚠️ "&amp;J12&amp;" Finding(s)")))</f>
        <v>✅ PASS (0 Findings)</v>
      </c>
    </row>
    <row r="13" ht="20" customHeight="1">
      <c r="A13" s="160" t="str">
        <f>IF('My Books'!$B8="","",'My Books'!$B8)</f>
        <v>Ruler of Sand Sea</v>
      </c>
      <c r="B13" s="161" t="str">
        <f>IF($A13="","",'My Books'!$D8)</f>
        <v>Reliquary</v>
      </c>
      <c r="C13" s="162" t="str">
        <f>IF($A13="","",'My Books'!$F8)</f>
        <v>Concept</v>
      </c>
      <c r="D13" s="163">
        <v>1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4">
        <f>IF($A13="","",SUM(E13:I13))</f>
        <v>0</v>
      </c>
      <c r="K13" s="165">
        <v>0.0</v>
      </c>
      <c r="L13" s="163">
        <v>0</v>
      </c>
      <c r="M13" s="162" t="str">
        <f>IF($A13="","",IF(N(D13)=0,"⚪ Pending Vault Scan",IF(N(J13)=0,"✅ PASS (0 Findings)","⚠️ "&amp;J13&amp;" Finding(s)")))</f>
        <v>✅ PASS (0 Findings)</v>
      </c>
    </row>
    <row r="14" ht="20" customHeight="1">
      <c r="A14" s="154" t="str">
        <f>IF('My Books'!$B9="","",'My Books'!$B9)</f>
        <v>Company of the Storm</v>
      </c>
      <c r="B14" s="155" t="str">
        <f>IF($A14="","",'My Books'!$D9)</f>
        <v>Reliquary</v>
      </c>
      <c r="C14" s="156" t="str">
        <f>IF($A14="","",'My Books'!$F9)</f>
        <v>Concept</v>
      </c>
      <c r="D14" s="157">
        <v>1</v>
      </c>
      <c r="E14" s="157">
        <v>0</v>
      </c>
      <c r="F14" s="157">
        <v>0</v>
      </c>
      <c r="G14" s="157">
        <v>0</v>
      </c>
      <c r="H14" s="157">
        <v>0</v>
      </c>
      <c r="I14" s="157">
        <v>0</v>
      </c>
      <c r="J14" s="158">
        <f>IF($A14="","",SUM(E14:I14))</f>
        <v>0</v>
      </c>
      <c r="K14" s="159">
        <v>0.0</v>
      </c>
      <c r="L14" s="157">
        <v>0</v>
      </c>
      <c r="M14" s="156" t="str">
        <f>IF($A14="","",IF(N(D14)=0,"⚪ Pending Vault Scan",IF(N(J14)=0,"✅ PASS (0 Findings)","⚠️ "&amp;J14&amp;" Finding(s)")))</f>
        <v>✅ PASS (0 Findings)</v>
      </c>
    </row>
    <row r="15" ht="20" customHeight="1">
      <c r="A15" s="160" t="str">
        <f>IF('My Books'!$B10="","",'My Books'!$B10)</f>
        <v>The Silver Chronicles</v>
      </c>
      <c r="B15" s="161" t="str">
        <f>IF($A15="","",'My Books'!$D10)</f>
        <v>Eldoria-Cosmos</v>
      </c>
      <c r="C15" s="162" t="str">
        <f>IF($A15="","",'My Books'!$F10)</f>
        <v>Drafting</v>
      </c>
      <c r="D15" s="163">
        <v>20</v>
      </c>
      <c r="E15" s="163">
        <v>0</v>
      </c>
      <c r="F15" s="163">
        <v>0</v>
      </c>
      <c r="G15" s="163">
        <v>0</v>
      </c>
      <c r="H15" s="163">
        <v>0</v>
      </c>
      <c r="I15" s="163">
        <v>0</v>
      </c>
      <c r="J15" s="164">
        <f>IF($A15="","",SUM(E15:I15))</f>
        <v>0</v>
      </c>
      <c r="K15" s="165">
        <v>0.184</v>
      </c>
      <c r="L15" s="163">
        <v>1</v>
      </c>
      <c r="M15" s="162" t="str">
        <f>IF($A15="","",IF(N(D15)=0,"⚪ Pending Vault Scan",IF(N(J15)=0,"✅ PASS (0 Findings)","⚠️ "&amp;J15&amp;" Finding(s)")))</f>
        <v>✅ PASS (0 Findings)</v>
      </c>
    </row>
    <row r="16" ht="20" customHeight="1">
      <c r="A16" s="154">
        <f>IF('My Books'!$B11="","",'My Books'!$B11)</f>
        <v/>
      </c>
      <c r="B16" s="155">
        <f>IF($A16="","",'My Books'!$D11)</f>
        <v/>
      </c>
      <c r="C16" s="156">
        <f>IF($A16="","",'My Books'!$F11)</f>
        <v/>
      </c>
      <c r="D16" s="157" t="n"/>
      <c r="E16" s="157" t="n"/>
      <c r="F16" s="157" t="n"/>
      <c r="G16" s="157" t="n"/>
      <c r="H16" s="157" t="n"/>
      <c r="I16" s="157" t="n"/>
      <c r="J16" s="158">
        <f>IF($A16="","",SUM(E16:I16))</f>
        <v/>
      </c>
      <c r="K16" s="159" t="n"/>
      <c r="L16" s="157" t="n"/>
      <c r="M16" s="156">
        <f>IF($A16="","",IF(N(D16)=0,"⚪ Pending Vault Scan",IF(N(J16)=0,"✅ PASS (0 Findings)","⚠️ "&amp;J16&amp;" Finding(s)")))</f>
        <v/>
      </c>
    </row>
    <row r="17" ht="20" customHeight="1">
      <c r="A17" s="160">
        <f>IF('My Books'!$B12="","",'My Books'!$B12)</f>
        <v/>
      </c>
      <c r="B17" s="161">
        <f>IF($A17="","",'My Books'!$D12)</f>
        <v/>
      </c>
      <c r="C17" s="162">
        <f>IF($A17="","",'My Books'!$F12)</f>
        <v/>
      </c>
      <c r="D17" s="163" t="n"/>
      <c r="E17" s="163" t="n"/>
      <c r="F17" s="163" t="n"/>
      <c r="G17" s="163" t="n"/>
      <c r="H17" s="163" t="n"/>
      <c r="I17" s="163" t="n"/>
      <c r="J17" s="164">
        <f>IF($A17="","",SUM(E17:I17))</f>
        <v/>
      </c>
      <c r="K17" s="165" t="n"/>
      <c r="L17" s="163" t="n"/>
      <c r="M17" s="162">
        <f>IF($A17="","",IF(N(D17)=0,"⚪ Pending Vault Scan",IF(N(J17)=0,"✅ PASS (0 Findings)","⚠️ "&amp;J17&amp;" Finding(s)")))</f>
        <v/>
      </c>
    </row>
    <row r="18" ht="20" customHeight="1">
      <c r="A18" s="154">
        <f>IF('My Books'!$B13="","",'My Books'!$B13)</f>
        <v/>
      </c>
      <c r="B18" s="155">
        <f>IF($A18="","",'My Books'!$D13)</f>
        <v/>
      </c>
      <c r="C18" s="156">
        <f>IF($A18="","",'My Books'!$F13)</f>
        <v/>
      </c>
      <c r="D18" s="157" t="n"/>
      <c r="E18" s="157" t="n"/>
      <c r="F18" s="157" t="n"/>
      <c r="G18" s="157" t="n"/>
      <c r="H18" s="157" t="n"/>
      <c r="I18" s="157" t="n"/>
      <c r="J18" s="158">
        <f>IF($A18="","",SUM(E18:I18))</f>
        <v/>
      </c>
      <c r="K18" s="159" t="n"/>
      <c r="L18" s="157" t="n"/>
      <c r="M18" s="156">
        <f>IF($A18="","",IF(N(D18)=0,"⚪ Pending Vault Scan",IF(N(J18)=0,"✅ PASS (0 Findings)","⚠️ "&amp;J18&amp;" Finding(s)")))</f>
        <v/>
      </c>
    </row>
    <row r="19" ht="20" customHeight="1">
      <c r="A19" s="160">
        <f>IF('My Books'!$B14="","",'My Books'!$B14)</f>
        <v/>
      </c>
      <c r="B19" s="161">
        <f>IF($A19="","",'My Books'!$D14)</f>
        <v/>
      </c>
      <c r="C19" s="162">
        <f>IF($A19="","",'My Books'!$F14)</f>
        <v/>
      </c>
      <c r="D19" s="163" t="n"/>
      <c r="E19" s="163" t="n"/>
      <c r="F19" s="163" t="n"/>
      <c r="G19" s="163" t="n"/>
      <c r="H19" s="163" t="n"/>
      <c r="I19" s="163" t="n"/>
      <c r="J19" s="164">
        <f>IF($A19="","",SUM(E19:I19))</f>
        <v/>
      </c>
      <c r="K19" s="165" t="n"/>
      <c r="L19" s="163" t="n"/>
      <c r="M19" s="162">
        <f>IF($A19="","",IF(N(D19)=0,"⚪ Pending Vault Scan",IF(N(J19)=0,"✅ PASS (0 Findings)","⚠️ "&amp;J19&amp;" Finding(s)")))</f>
        <v/>
      </c>
    </row>
    <row r="20" ht="20" customHeight="1">
      <c r="A20" s="154">
        <f>IF('My Books'!$B15="","",'My Books'!$B15)</f>
        <v/>
      </c>
      <c r="B20" s="155">
        <f>IF($A20="","",'My Books'!$D15)</f>
        <v/>
      </c>
      <c r="C20" s="156">
        <f>IF($A20="","",'My Books'!$F15)</f>
        <v/>
      </c>
      <c r="D20" s="157" t="n"/>
      <c r="E20" s="157" t="n"/>
      <c r="F20" s="157" t="n"/>
      <c r="G20" s="157" t="n"/>
      <c r="H20" s="157" t="n"/>
      <c r="I20" s="157" t="n"/>
      <c r="J20" s="158">
        <f>IF($A20="","",SUM(E20:I20))</f>
        <v/>
      </c>
      <c r="K20" s="159" t="n"/>
      <c r="L20" s="157" t="n"/>
      <c r="M20" s="156">
        <f>IF($A20="","",IF(N(D20)=0,"⚪ Pending Vault Scan",IF(N(J20)=0,"✅ PASS (0 Findings)","⚠️ "&amp;J20&amp;" Finding(s)")))</f>
        <v/>
      </c>
    </row>
    <row r="21" ht="20" customHeight="1">
      <c r="A21" s="160">
        <f>IF('My Books'!$B16="","",'My Books'!$B16)</f>
        <v/>
      </c>
      <c r="B21" s="161">
        <f>IF($A21="","",'My Books'!$D16)</f>
        <v/>
      </c>
      <c r="C21" s="162">
        <f>IF($A21="","",'My Books'!$F16)</f>
        <v/>
      </c>
      <c r="D21" s="163" t="n"/>
      <c r="E21" s="163" t="n"/>
      <c r="F21" s="163" t="n"/>
      <c r="G21" s="163" t="n"/>
      <c r="H21" s="163" t="n"/>
      <c r="I21" s="163" t="n"/>
      <c r="J21" s="164">
        <f>IF($A21="","",SUM(E21:I21))</f>
        <v/>
      </c>
      <c r="K21" s="165" t="n"/>
      <c r="L21" s="163" t="n"/>
      <c r="M21" s="162">
        <f>IF($A21="","",IF(N(D21)=0,"⚪ Pending Vault Scan",IF(N(J21)=0,"✅ PASS (0 Findings)","⚠️ "&amp;J21&amp;" Finding(s)")))</f>
        <v/>
      </c>
    </row>
    <row r="22" ht="20" customHeight="1">
      <c r="A22" s="154">
        <f>IF('My Books'!$B17="","",'My Books'!$B17)</f>
        <v/>
      </c>
      <c r="B22" s="155">
        <f>IF($A22="","",'My Books'!$D17)</f>
        <v/>
      </c>
      <c r="C22" s="156">
        <f>IF($A22="","",'My Books'!$F17)</f>
        <v/>
      </c>
      <c r="D22" s="157" t="n"/>
      <c r="E22" s="157" t="n"/>
      <c r="F22" s="157" t="n"/>
      <c r="G22" s="157" t="n"/>
      <c r="H22" s="157" t="n"/>
      <c r="I22" s="157" t="n"/>
      <c r="J22" s="158">
        <f>IF($A22="","",SUM(E22:I22))</f>
        <v/>
      </c>
      <c r="K22" s="159" t="n"/>
      <c r="L22" s="157" t="n"/>
      <c r="M22" s="156">
        <f>IF($A22="","",IF(N(D22)=0,"⚪ Pending Vault Scan",IF(N(J22)=0,"✅ PASS (0 Findings)","⚠️ "&amp;J22&amp;" Finding(s)")))</f>
        <v/>
      </c>
    </row>
    <row r="23" ht="20" customHeight="1">
      <c r="A23" s="160">
        <f>IF('My Books'!$B18="","",'My Books'!$B18)</f>
        <v/>
      </c>
      <c r="B23" s="161">
        <f>IF($A23="","",'My Books'!$D18)</f>
        <v/>
      </c>
      <c r="C23" s="162">
        <f>IF($A23="","",'My Books'!$F18)</f>
        <v/>
      </c>
      <c r="D23" s="163" t="n"/>
      <c r="E23" s="163" t="n"/>
      <c r="F23" s="163" t="n"/>
      <c r="G23" s="163" t="n"/>
      <c r="H23" s="163" t="n"/>
      <c r="I23" s="163" t="n"/>
      <c r="J23" s="164">
        <f>IF($A23="","",SUM(E23:I23))</f>
        <v/>
      </c>
      <c r="K23" s="165" t="n"/>
      <c r="L23" s="163" t="n"/>
      <c r="M23" s="162">
        <f>IF($A23="","",IF(N(D23)=0,"⚪ Pending Vault Scan",IF(N(J23)=0,"✅ PASS (0 Findings)","⚠️ "&amp;J23&amp;" Finding(s)")))</f>
        <v/>
      </c>
    </row>
    <row r="24" ht="20" customHeight="1">
      <c r="A24" s="154">
        <f>IF('My Books'!$B19="","",'My Books'!$B19)</f>
        <v/>
      </c>
      <c r="B24" s="155">
        <f>IF($A24="","",'My Books'!$D19)</f>
        <v/>
      </c>
      <c r="C24" s="156">
        <f>IF($A24="","",'My Books'!$F19)</f>
        <v/>
      </c>
      <c r="D24" s="157" t="n"/>
      <c r="E24" s="157" t="n"/>
      <c r="F24" s="157" t="n"/>
      <c r="G24" s="157" t="n"/>
      <c r="H24" s="157" t="n"/>
      <c r="I24" s="157" t="n"/>
      <c r="J24" s="158">
        <f>IF($A24="","",SUM(E24:I24))</f>
        <v/>
      </c>
      <c r="K24" s="159" t="n"/>
      <c r="L24" s="157" t="n"/>
      <c r="M24" s="156">
        <f>IF($A24="","",IF(N(D24)=0,"⚪ Pending Vault Scan",IF(N(J24)=0,"✅ PASS (0 Findings)","⚠️ "&amp;J24&amp;" Finding(s)")))</f>
        <v/>
      </c>
    </row>
    <row r="25" ht="20" customHeight="1">
      <c r="A25" s="160">
        <f>IF('My Books'!$B20="","",'My Books'!$B20)</f>
        <v/>
      </c>
      <c r="B25" s="161">
        <f>IF($A25="","",'My Books'!$D20)</f>
        <v/>
      </c>
      <c r="C25" s="162">
        <f>IF($A25="","",'My Books'!$F20)</f>
        <v/>
      </c>
      <c r="D25" s="163" t="n"/>
      <c r="E25" s="163" t="n"/>
      <c r="F25" s="163" t="n"/>
      <c r="G25" s="163" t="n"/>
      <c r="H25" s="163" t="n"/>
      <c r="I25" s="163" t="n"/>
      <c r="J25" s="164">
        <f>IF($A25="","",SUM(E25:I25))</f>
        <v/>
      </c>
      <c r="K25" s="165" t="n"/>
      <c r="L25" s="163" t="n"/>
      <c r="M25" s="162">
        <f>IF($A25="","",IF(N(D25)=0,"⚪ Pending Vault Scan",IF(N(J25)=0,"✅ PASS (0 Findings)","⚠️ "&amp;J25&amp;" Finding(s)")))</f>
        <v/>
      </c>
    </row>
    <row r="26" ht="20" customHeight="1">
      <c r="A26" s="154">
        <f>IF('My Books'!$B21="","",'My Books'!$B21)</f>
        <v/>
      </c>
      <c r="B26" s="155">
        <f>IF($A26="","",'My Books'!$D21)</f>
        <v/>
      </c>
      <c r="C26" s="156">
        <f>IF($A26="","",'My Books'!$F21)</f>
        <v/>
      </c>
      <c r="D26" s="157" t="n"/>
      <c r="E26" s="157" t="n"/>
      <c r="F26" s="157" t="n"/>
      <c r="G26" s="157" t="n"/>
      <c r="H26" s="157" t="n"/>
      <c r="I26" s="157" t="n"/>
      <c r="J26" s="158">
        <f>IF($A26="","",SUM(E26:I26))</f>
        <v/>
      </c>
      <c r="K26" s="159" t="n"/>
      <c r="L26" s="157" t="n"/>
      <c r="M26" s="156">
        <f>IF($A26="","",IF(N(D26)=0,"⚪ Pending Vault Scan",IF(N(J26)=0,"✅ PASS (0 Findings)","⚠️ "&amp;J26&amp;" Finding(s)")))</f>
        <v/>
      </c>
    </row>
    <row r="27" ht="20" customHeight="1">
      <c r="A27" s="160">
        <f>IF('My Books'!$B22="","",'My Books'!$B22)</f>
        <v/>
      </c>
      <c r="B27" s="161">
        <f>IF($A27="","",'My Books'!$D22)</f>
        <v/>
      </c>
      <c r="C27" s="162">
        <f>IF($A27="","",'My Books'!$F22)</f>
        <v/>
      </c>
      <c r="D27" s="163" t="n"/>
      <c r="E27" s="163" t="n"/>
      <c r="F27" s="163" t="n"/>
      <c r="G27" s="163" t="n"/>
      <c r="H27" s="163" t="n"/>
      <c r="I27" s="163" t="n"/>
      <c r="J27" s="164">
        <f>IF($A27="","",SUM(E27:I27))</f>
        <v/>
      </c>
      <c r="K27" s="165" t="n"/>
      <c r="L27" s="163" t="n"/>
      <c r="M27" s="162">
        <f>IF($A27="","",IF(N(D27)=0,"⚪ Pending Vault Scan",IF(N(J27)=0,"✅ PASS (0 Findings)","⚠️ "&amp;J27&amp;" Finding(s)")))</f>
        <v/>
      </c>
    </row>
    <row r="28" ht="20" customHeight="1">
      <c r="A28" s="154">
        <f>IF('My Books'!$B23="","",'My Books'!$B23)</f>
        <v/>
      </c>
      <c r="B28" s="155">
        <f>IF($A28="","",'My Books'!$D23)</f>
        <v/>
      </c>
      <c r="C28" s="156">
        <f>IF($A28="","",'My Books'!$F23)</f>
        <v/>
      </c>
      <c r="D28" s="157" t="n"/>
      <c r="E28" s="157" t="n"/>
      <c r="F28" s="157" t="n"/>
      <c r="G28" s="157" t="n"/>
      <c r="H28" s="157" t="n"/>
      <c r="I28" s="157" t="n"/>
      <c r="J28" s="158">
        <f>IF($A28="","",SUM(E28:I28))</f>
        <v/>
      </c>
      <c r="K28" s="159" t="n"/>
      <c r="L28" s="157" t="n"/>
      <c r="M28" s="156">
        <f>IF($A28="","",IF(N(D28)=0,"⚪ Pending Vault Scan",IF(N(J28)=0,"✅ PASS (0 Findings)","⚠️ "&amp;J28&amp;" Finding(s)")))</f>
        <v/>
      </c>
    </row>
    <row r="29" ht="20" customHeight="1">
      <c r="A29" s="160">
        <f>IF('My Books'!$B24="","",'My Books'!$B24)</f>
        <v/>
      </c>
      <c r="B29" s="161">
        <f>IF($A29="","",'My Books'!$D24)</f>
        <v/>
      </c>
      <c r="C29" s="162">
        <f>IF($A29="","",'My Books'!$F24)</f>
        <v/>
      </c>
      <c r="D29" s="163" t="n"/>
      <c r="E29" s="163" t="n"/>
      <c r="F29" s="163" t="n"/>
      <c r="G29" s="163" t="n"/>
      <c r="H29" s="163" t="n"/>
      <c r="I29" s="163" t="n"/>
      <c r="J29" s="164">
        <f>IF($A29="","",SUM(E29:I29))</f>
        <v/>
      </c>
      <c r="K29" s="165" t="n"/>
      <c r="L29" s="163" t="n"/>
      <c r="M29" s="162">
        <f>IF($A29="","",IF(N(D29)=0,"⚪ Pending Vault Scan",IF(N(J29)=0,"✅ PASS (0 Findings)","⚠️ "&amp;J29&amp;" Finding(s)")))</f>
        <v/>
      </c>
    </row>
    <row r="30" ht="22" customHeight="1">
      <c r="A30" s="166" t="inlineStr">
        <is>
          <t>Total Continuity Portfolio</t>
        </is>
      </c>
      <c r="B30" s="166" t="n"/>
      <c r="C30" s="166" t="n"/>
      <c r="D30" s="167">
        <f>SUM(D10:D29)</f>
        <v>28</v>
      </c>
      <c r="E30" s="167">
        <f>SUM(E10:E29)</f>
        <v>0</v>
      </c>
      <c r="F30" s="167">
        <f>SUM(F10:F29)</f>
        <v>0</v>
      </c>
      <c r="G30" s="167">
        <f>SUM(G10:G29)</f>
        <v>0</v>
      </c>
      <c r="H30" s="167">
        <f>SUM(H10:H29)</f>
        <v>0</v>
      </c>
      <c r="I30" s="167">
        <f>SUM(I10:I29)</f>
        <v>0</v>
      </c>
      <c r="J30" s="167">
        <f>SUM(J10:J29)</f>
        <v>0</v>
      </c>
      <c r="K30" s="168">
        <f>IF(COUNT(K10:K29)&gt;0,AVERAGE(K10:K29),0)</f>
        <v>0.0307</v>
      </c>
      <c r="L30" s="167">
        <f>SUM(L10:L29)</f>
        <v>1</v>
      </c>
      <c r="M30" s="169" t="str">
        <f>IF(J30=0,"✅ All Audited Vaults Clean","⚠️ "&amp;J30&amp;" Total Findings")</f>
        <v>✅ All Audited Vaults Clean</v>
      </c>
    </row>
    <row r="32" ht="22" customHeight="1">
      <c r="A32" s="151" t="inlineStr">
        <is>
          <t>📊 CONTINUITY COMPILER ANALYTICS • FINDINGS BY PILLAR &amp; INDEXED VAULT COVERAGE</t>
        </is>
      </c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</row>
  </sheetData>
  <mergeCells count="20">
    <mergeCell ref="G6:I6"/>
    <mergeCell ref="A32:M32"/>
    <mergeCell ref="A8:M8"/>
    <mergeCell ref="D7:F7"/>
    <mergeCell ref="A5:C5"/>
    <mergeCell ref="G5:I5"/>
    <mergeCell ref="D4:F4"/>
    <mergeCell ref="G4:I4"/>
    <mergeCell ref="A4:C4"/>
    <mergeCell ref="J5:M5"/>
    <mergeCell ref="A1:M1"/>
    <mergeCell ref="D5:F5"/>
    <mergeCell ref="J6:M6"/>
    <mergeCell ref="J7:M7"/>
    <mergeCell ref="A6:C6"/>
    <mergeCell ref="J4:M4"/>
    <mergeCell ref="D6:F6"/>
    <mergeCell ref="A7:C7"/>
    <mergeCell ref="G7:I7"/>
    <mergeCell ref="A2:M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32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6" customWidth="1" min="4" max="4"/>
    <col width="14" customWidth="1" min="5" max="5"/>
    <col width="15" customWidth="1" min="6" max="6"/>
    <col width="16" customWidth="1" min="7" max="7"/>
    <col width="16" customWidth="1" min="8" max="8"/>
    <col width="16" customWidth="1" min="9" max="9"/>
    <col width="15" customWidth="1" min="10" max="10"/>
    <col width="28" customWidth="1" min="11" max="11"/>
    <col width="24" customWidth="1" min="12" max="12"/>
  </cols>
  <sheetData>
    <row r="1" ht="28" customHeight="1">
      <c r="A1" s="170" t="inlineStr">
        <is>
          <t>🏛️ ARS ARCANUM • WORLD BIBLE, CONLANG &amp; CANON ENTITY REGISTRY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</row>
    <row r="2" ht="20" customHeight="1">
      <c r="A2" s="145" t="inlineStr">
        <is>
          <t>Auto-linked to 'Universes &amp; Series' &amp; populated by `arcanum workbook sync`. Tracks Characters, Locations, Magic/Tech, PolyGlot Conlangs, Factions, Artifacts, History, and Wikilinks.</t>
        </is>
      </c>
      <c r="B2" s="145" t="n"/>
      <c r="C2" s="145" t="n"/>
      <c r="D2" s="145" t="n"/>
      <c r="E2" s="145" t="n"/>
      <c r="F2" s="145" t="n"/>
      <c r="G2" s="145" t="n"/>
      <c r="H2" s="145" t="n"/>
      <c r="I2" s="145" t="n"/>
      <c r="J2" s="145" t="n"/>
      <c r="K2" s="145" t="n"/>
      <c r="L2" s="145" t="n"/>
    </row>
    <row r="4" ht="20" customHeight="1">
      <c r="A4" s="171" t="inlineStr">
        <is>
          <t>TOTAL WORLD BIBLE ENTITIES</t>
        </is>
      </c>
      <c r="B4" s="171" t="n"/>
      <c r="C4" s="171" t="n"/>
      <c r="D4" s="171" t="inlineStr">
        <is>
          <t>POLYGLOT CONLANG LEXEMES</t>
        </is>
      </c>
      <c r="E4" s="171" t="n"/>
      <c r="F4" s="171" t="n"/>
      <c r="G4" s="171" t="inlineStr">
        <is>
          <t>WIKILINK GRAPH EDGES</t>
        </is>
      </c>
      <c r="H4" s="171" t="n"/>
      <c r="I4" s="171" t="n"/>
      <c r="J4" s="171" t="inlineStr">
        <is>
          <t>ACTIVE LORE VAULTS</t>
        </is>
      </c>
      <c r="K4" s="171" t="n"/>
      <c r="L4" s="171" t="n"/>
    </row>
    <row r="5" ht="26" customHeight="1">
      <c r="A5" s="172">
        <f>SUM(C10:I29)</f>
        <v>106</v>
      </c>
      <c r="B5" s="172" t="n"/>
      <c r="C5" s="172" t="n"/>
      <c r="D5" s="172">
        <f>SUM(F10:F29)</f>
        <v>15</v>
      </c>
      <c r="E5" s="172" t="n"/>
      <c r="F5" s="172" t="n"/>
      <c r="G5" s="172">
        <f>SUM(J10:J29)</f>
        <v>163</v>
      </c>
      <c r="H5" s="172" t="n"/>
      <c r="I5" s="172" t="n"/>
      <c r="J5" s="172">
        <f>COUNTIF(A10:A29,"?*")</f>
        <v>6</v>
      </c>
      <c r="K5" s="172" t="n"/>
      <c r="L5" s="172" t="n"/>
    </row>
    <row r="6" ht="18" customHeight="1">
      <c r="A6" s="173" t="inlineStr">
        <is>
          <t>Across All 10 World Bible Domains</t>
        </is>
      </c>
      <c r="B6" s="173" t="n"/>
      <c r="C6" s="173" t="n"/>
      <c r="D6" s="173" t="inlineStr">
        <is>
          <t>Validated via CON-401 / CON-402</t>
        </is>
      </c>
      <c r="E6" s="173" t="n"/>
      <c r="F6" s="173" t="n"/>
      <c r="G6" s="173" t="inlineStr">
        <is>
          <t>Cross-Referenced [[Entity]] Links</t>
        </is>
      </c>
      <c r="H6" s="173" t="n"/>
      <c r="I6" s="173" t="n"/>
      <c r="J6" s="173" t="inlineStr">
        <is>
          <t>Linked to Universes &amp; Series</t>
        </is>
      </c>
      <c r="K6" s="173" t="n"/>
      <c r="L6" s="173" t="n"/>
    </row>
    <row r="7" ht="20" customHeight="1">
      <c r="A7" s="174" t="inlineStr">
        <is>
          <t>📚 Codex Ready (`arcanum codex`)</t>
        </is>
      </c>
      <c r="B7" s="174" t="n"/>
      <c r="C7" s="174" t="n"/>
      <c r="D7" s="174" t="inlineStr">
        <is>
          <t>🗣️ PolyGlot (.pgd / .xml) Synced</t>
        </is>
      </c>
      <c r="E7" s="174" t="n"/>
      <c r="F7" s="174" t="n"/>
      <c r="G7" s="174" t="inlineStr">
        <is>
          <t>🕸️ Code-Fence-Safe Extraction</t>
        </is>
      </c>
      <c r="H7" s="174" t="n"/>
      <c r="I7" s="174" t="n"/>
      <c r="J7" s="174" t="inlineStr">
        <is>
          <t>🪐 Custom Planetary Calendars</t>
        </is>
      </c>
      <c r="K7" s="174" t="n"/>
      <c r="L7" s="174" t="n"/>
    </row>
    <row r="8" ht="22" customHeight="1">
      <c r="A8" s="175" t="inlineStr">
        <is>
          <t>📌 WORLD BIBLE &amp; CONLANG ENTITY BREAKDOWN (AUTO-POPULATES FROM 'UNIVERSES &amp; SERIES' &amp; VAULT INDEX)</t>
        </is>
      </c>
      <c r="B8" s="175" t="n"/>
      <c r="C8" s="175" t="n"/>
      <c r="D8" s="175" t="n"/>
      <c r="E8" s="175" t="n"/>
      <c r="F8" s="175" t="n"/>
      <c r="G8" s="175" t="n"/>
      <c r="H8" s="175" t="n"/>
      <c r="I8" s="175" t="n"/>
      <c r="J8" s="175" t="n"/>
      <c r="K8" s="175" t="n"/>
      <c r="L8" s="175" t="n"/>
    </row>
    <row r="9" ht="24" customHeight="1">
      <c r="A9" s="176" t="inlineStr">
        <is>
          <t>Series / World Vault [Auto]</t>
        </is>
      </c>
      <c r="B9" s="176" t="inlineStr">
        <is>
          <t>Universe [Auto]</t>
        </is>
      </c>
      <c r="C9" s="177" t="inlineStr">
        <is>
          <t>Characters</t>
        </is>
      </c>
      <c r="D9" s="177" t="inlineStr">
        <is>
          <t>Locations &amp; Routes</t>
        </is>
      </c>
      <c r="E9" s="177" t="inlineStr">
        <is>
          <t>Magic &amp; Tech</t>
        </is>
      </c>
      <c r="F9" s="177" t="inlineStr">
        <is>
          <t>Conlang Lexemes</t>
        </is>
      </c>
      <c r="G9" s="177" t="inlineStr">
        <is>
          <t>Factions &amp; Lineages</t>
        </is>
      </c>
      <c r="H9" s="177" t="inlineStr">
        <is>
          <t>Artifacts &amp; Bestiary</t>
        </is>
      </c>
      <c r="I9" s="177" t="inlineStr">
        <is>
          <t>History &amp; Cosmology</t>
        </is>
      </c>
      <c r="J9" s="177" t="inlineStr">
        <is>
          <t>Wikilinks ([[...]])</t>
        </is>
      </c>
      <c r="K9" s="176" t="inlineStr">
        <is>
          <t>Planetary Calendar Spec</t>
        </is>
      </c>
      <c r="L9" s="177" t="inlineStr">
        <is>
          <t>World Bible Health [Auto]</t>
        </is>
      </c>
    </row>
    <row r="10" ht="20" customHeight="1">
      <c r="A10" s="178" t="str">
        <f>IF('Universes &amp; Series'!$A5="","",'Universes &amp; Series'!$A5)</f>
        <v>Sand Sea Saga</v>
      </c>
      <c r="B10" s="179" t="str">
        <f>IF($A10="","",'Universes &amp; Series'!$B5)</f>
        <v>Reliquary</v>
      </c>
      <c r="C10" s="180">
        <v>4</v>
      </c>
      <c r="D10" s="180">
        <v>5</v>
      </c>
      <c r="E10" s="180">
        <v>3</v>
      </c>
      <c r="F10" s="180">
        <v>12</v>
      </c>
      <c r="G10" s="180">
        <v>3</v>
      </c>
      <c r="H10" s="180">
        <v>4</v>
      </c>
      <c r="I10" s="180">
        <v>3</v>
      </c>
      <c r="J10" s="180">
        <v>28</v>
      </c>
      <c r="K10" s="179" t="str">
        <v>Reliquary Solar (10m × 36d = 360d)</v>
      </c>
      <c r="L10" s="181" t="str">
        <f>IF($A10="","",IF(SUM(C10:I10)=0,"⚪ Empty Lore Vault",IF(J10&gt;=SUM(C10:I10),"🟢 Richly Linked ("&amp;SUM(C10:I10)&amp;" entities)","🟡 Growing Lore ("&amp;SUM(C10:I10)&amp;" entities)")))</f>
        <v>🟡 Growing Lore (34 entities)</v>
      </c>
    </row>
    <row r="11" ht="20" customHeight="1">
      <c r="A11" s="160" t="str">
        <f>IF('Universes &amp; Series'!$A6="","",'Universes &amp; Series'!$A6)</f>
        <v>Gothic Fantasy Series</v>
      </c>
      <c r="B11" s="161" t="str">
        <f>IF($A11="","",'Universes &amp; Series'!$B6)</f>
        <v>Reliquary</v>
      </c>
      <c r="C11" s="163">
        <v>3</v>
      </c>
      <c r="D11" s="163">
        <v>3</v>
      </c>
      <c r="E11" s="163">
        <v>2</v>
      </c>
      <c r="F11" s="163">
        <v>0</v>
      </c>
      <c r="G11" s="163">
        <v>2</v>
      </c>
      <c r="H11" s="163">
        <v>3</v>
      </c>
      <c r="I11" s="163">
        <v>2</v>
      </c>
      <c r="J11" s="163">
        <v>16</v>
      </c>
      <c r="K11" s="161" t="str">
        <v>Reliquary Lunar Reckoning (354d)</v>
      </c>
      <c r="L11" s="162" t="str">
        <f>IF($A11="","",IF(SUM(C11:I11)=0,"⚪ Empty Lore Vault",IF(J11&gt;=SUM(C11:I11),"🟢 Richly Linked ("&amp;SUM(C11:I11)&amp;" entities)","🟡 Growing Lore ("&amp;SUM(C11:I11)&amp;" entities)")))</f>
        <v>🟢 Richly Linked (15 entities)</v>
      </c>
    </row>
    <row r="12" ht="20" customHeight="1">
      <c r="A12" s="178" t="str">
        <f>IF('Universes &amp; Series'!$A7="","",'Universes &amp; Series'!$A7)</f>
        <v>Classic Quest Fantasy</v>
      </c>
      <c r="B12" s="179" t="str">
        <f>IF($A12="","",'Universes &amp; Series'!$B7)</f>
        <v>Reliquary</v>
      </c>
      <c r="C12" s="180">
        <v>3</v>
      </c>
      <c r="D12" s="180">
        <v>4</v>
      </c>
      <c r="E12" s="180">
        <v>2</v>
      </c>
      <c r="F12" s="180">
        <v>0</v>
      </c>
      <c r="G12" s="180">
        <v>2</v>
      </c>
      <c r="H12" s="180">
        <v>2</v>
      </c>
      <c r="I12" s="180">
        <v>2</v>
      </c>
      <c r="J12" s="180">
        <v>15</v>
      </c>
      <c r="K12" s="179" t="str">
        <v>Reliquary Standard Reckoning (360d)</v>
      </c>
      <c r="L12" s="181" t="str">
        <f>IF($A12="","",IF(SUM(C12:I12)=0,"⚪ Empty Lore Vault",IF(J12&gt;=SUM(C12:I12),"🟢 Richly Linked ("&amp;SUM(C12:I12)&amp;" entities)","🟡 Growing Lore ("&amp;SUM(C12:I12)&amp;" entities)")))</f>
        <v>🟢 Richly Linked (15 entities)</v>
      </c>
    </row>
    <row r="13" ht="20" customHeight="1">
      <c r="A13" s="160" t="str">
        <f>IF('Universes &amp; Series'!$A8="","",'Universes &amp; Series'!$A8)</f>
        <v>Stormbreaker Chronicles</v>
      </c>
      <c r="B13" s="161" t="str">
        <f>IF($A13="","",'Universes &amp; Series'!$B8)</f>
        <v>Reliquary</v>
      </c>
      <c r="C13" s="163">
        <v>5</v>
      </c>
      <c r="D13" s="163">
        <v>4</v>
      </c>
      <c r="E13" s="163">
        <v>1</v>
      </c>
      <c r="F13" s="163">
        <v>0</v>
      </c>
      <c r="G13" s="163">
        <v>4</v>
      </c>
      <c r="H13" s="163">
        <v>2</v>
      </c>
      <c r="I13" s="163">
        <v>2</v>
      </c>
      <c r="J13" s="163">
        <v>19</v>
      </c>
      <c r="K13" s="161" t="str">
        <v>Mercenary Campaign Reckoning (360d)</v>
      </c>
      <c r="L13" s="162" t="str">
        <f>IF($A13="","",IF(SUM(C13:I13)=0,"⚪ Empty Lore Vault",IF(J13&gt;=SUM(C13:I13),"🟢 Richly Linked ("&amp;SUM(C13:I13)&amp;" entities)","🟡 Growing Lore ("&amp;SUM(C13:I13)&amp;" entities)")))</f>
        <v>🟢 Richly Linked (18 entities)</v>
      </c>
    </row>
    <row r="14" ht="20" customHeight="1">
      <c r="A14" s="178" t="str">
        <f>IF('Universes &amp; Series'!$A9="","",'Universes &amp; Series'!$A9)</f>
        <v>The Silver Chronicles</v>
      </c>
      <c r="B14" s="179" t="str">
        <f>IF($A14="","",'Universes &amp; Series'!$B9)</f>
        <v>Eldoria-Cosmos</v>
      </c>
      <c r="C14" s="180">
        <v>3</v>
      </c>
      <c r="D14" s="180">
        <v>3</v>
      </c>
      <c r="E14" s="180">
        <v>1</v>
      </c>
      <c r="F14" s="180">
        <v>3</v>
      </c>
      <c r="G14" s="180">
        <v>1</v>
      </c>
      <c r="H14" s="180">
        <v>2</v>
      </c>
      <c r="I14" s="180">
        <v>3</v>
      </c>
      <c r="J14" s="180">
        <v>75</v>
      </c>
      <c r="K14" s="179" t="str">
        <v>Eldorian Celestial (10m × 36d = 360d)</v>
      </c>
      <c r="L14" s="181" t="str">
        <f>IF($A14="","",IF(SUM(C14:I14)=0,"⚪ Empty Lore Vault",IF(J14&gt;=SUM(C14:I14),"🟢 Richly Linked ("&amp;SUM(C14:I14)&amp;" entities)","🟡 Growing Lore ("&amp;SUM(C14:I14)&amp;" entities)")))</f>
        <v>🟢 Richly Linked (16 entities)</v>
      </c>
    </row>
    <row r="15" ht="20" customHeight="1">
      <c r="A15" s="160" t="str">
        <f>IF('Universes &amp; Series'!$A10="","",'Universes &amp; Series'!$A10)</f>
        <v>Silver Chronicles</v>
      </c>
      <c r="B15" s="161" t="str">
        <f>IF($A15="","",'Universes &amp; Series'!$B10)</f>
        <v>Eldoria-Cosmos</v>
      </c>
      <c r="C15" s="163">
        <v>2</v>
      </c>
      <c r="D15" s="163">
        <v>2</v>
      </c>
      <c r="E15" s="163">
        <v>1</v>
      </c>
      <c r="F15" s="163">
        <v>0</v>
      </c>
      <c r="G15" s="163">
        <v>1</v>
      </c>
      <c r="H15" s="163">
        <v>1</v>
      </c>
      <c r="I15" s="163">
        <v>1</v>
      </c>
      <c r="J15" s="163">
        <v>10</v>
      </c>
      <c r="K15" s="161" t="str">
        <v>Standard Reckoning (360d)</v>
      </c>
      <c r="L15" s="162" t="str">
        <f>IF($A15="","",IF(SUM(C15:I15)=0,"⚪ Empty Lore Vault",IF(J15&gt;=SUM(C15:I15),"🟢 Richly Linked ("&amp;SUM(C15:I15)&amp;" entities)","🟡 Growing Lore ("&amp;SUM(C15:I15)&amp;" entities)")))</f>
        <v>🟢 Richly Linked (8 entities)</v>
      </c>
    </row>
    <row r="16" ht="20" customHeight="1">
      <c r="A16" s="178">
        <f>IF('Universes &amp; Series'!$A11="","",'Universes &amp; Series'!$A11)</f>
        <v/>
      </c>
      <c r="B16" s="179">
        <f>IF($A16="","",'Universes &amp; Series'!$B11)</f>
        <v/>
      </c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79" t="n"/>
      <c r="L16" s="181">
        <f>IF($A16="","",IF(SUM(C16:I16)=0,"⚪ Empty Lore Vault",IF(J16&gt;=SUM(C16:I16),"🟢 Richly Linked ("&amp;SUM(C16:I16)&amp;" entities)","🟡 Growing Lore ("&amp;SUM(C16:I16)&amp;" entities)")))</f>
        <v/>
      </c>
    </row>
    <row r="17" ht="20" customHeight="1">
      <c r="A17" s="160">
        <f>IF('Universes &amp; Series'!$A12="","",'Universes &amp; Series'!$A12)</f>
        <v/>
      </c>
      <c r="B17" s="161">
        <f>IF($A17="","",'Universes &amp; Series'!$B12)</f>
        <v/>
      </c>
      <c r="C17" s="163" t="n"/>
      <c r="D17" s="163" t="n"/>
      <c r="E17" s="163" t="n"/>
      <c r="F17" s="163" t="n"/>
      <c r="G17" s="163" t="n"/>
      <c r="H17" s="163" t="n"/>
      <c r="I17" s="163" t="n"/>
      <c r="J17" s="163" t="n"/>
      <c r="K17" s="161" t="n"/>
      <c r="L17" s="162">
        <f>IF($A17="","",IF(SUM(C17:I17)=0,"⚪ Empty Lore Vault",IF(J17&gt;=SUM(C17:I17),"🟢 Richly Linked ("&amp;SUM(C17:I17)&amp;" entities)","🟡 Growing Lore ("&amp;SUM(C17:I17)&amp;" entities)")))</f>
        <v/>
      </c>
    </row>
    <row r="18" ht="20" customHeight="1">
      <c r="A18" s="178">
        <f>IF('Universes &amp; Series'!$A13="","",'Universes &amp; Series'!$A13)</f>
        <v/>
      </c>
      <c r="B18" s="179">
        <f>IF($A18="","",'Universes &amp; Series'!$B13)</f>
        <v/>
      </c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79" t="n"/>
      <c r="L18" s="181">
        <f>IF($A18="","",IF(SUM(C18:I18)=0,"⚪ Empty Lore Vault",IF(J18&gt;=SUM(C18:I18),"🟢 Richly Linked ("&amp;SUM(C18:I18)&amp;" entities)","🟡 Growing Lore ("&amp;SUM(C18:I18)&amp;" entities)")))</f>
        <v/>
      </c>
    </row>
    <row r="19" ht="20" customHeight="1">
      <c r="A19" s="160">
        <f>IF('Universes &amp; Series'!$A14="","",'Universes &amp; Series'!$A14)</f>
        <v/>
      </c>
      <c r="B19" s="161">
        <f>IF($A19="","",'Universes &amp; Series'!$B14)</f>
        <v/>
      </c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1" t="n"/>
      <c r="L19" s="162">
        <f>IF($A19="","",IF(SUM(C19:I19)=0,"⚪ Empty Lore Vault",IF(J19&gt;=SUM(C19:I19),"🟢 Richly Linked ("&amp;SUM(C19:I19)&amp;" entities)","🟡 Growing Lore ("&amp;SUM(C19:I19)&amp;" entities)")))</f>
        <v/>
      </c>
    </row>
    <row r="20" ht="20" customHeight="1">
      <c r="A20" s="178">
        <f>IF('Universes &amp; Series'!$A15="","",'Universes &amp; Series'!$A15)</f>
        <v/>
      </c>
      <c r="B20" s="179">
        <f>IF($A20="","",'Universes &amp; Series'!$B15)</f>
        <v/>
      </c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79" t="n"/>
      <c r="L20" s="181">
        <f>IF($A20="","",IF(SUM(C20:I20)=0,"⚪ Empty Lore Vault",IF(J20&gt;=SUM(C20:I20),"🟢 Richly Linked ("&amp;SUM(C20:I20)&amp;" entities)","🟡 Growing Lore ("&amp;SUM(C20:I20)&amp;" entities)")))</f>
        <v/>
      </c>
    </row>
    <row r="21" ht="20" customHeight="1">
      <c r="A21" s="160">
        <f>IF('Universes &amp; Series'!$A16="","",'Universes &amp; Series'!$A16)</f>
        <v/>
      </c>
      <c r="B21" s="161">
        <f>IF($A21="","",'Universes &amp; Series'!$B16)</f>
        <v/>
      </c>
      <c r="C21" s="163" t="n"/>
      <c r="D21" s="163" t="n"/>
      <c r="E21" s="163" t="n"/>
      <c r="F21" s="163" t="n"/>
      <c r="G21" s="163" t="n"/>
      <c r="H21" s="163" t="n"/>
      <c r="I21" s="163" t="n"/>
      <c r="J21" s="163" t="n"/>
      <c r="K21" s="161" t="n"/>
      <c r="L21" s="162">
        <f>IF($A21="","",IF(SUM(C21:I21)=0,"⚪ Empty Lore Vault",IF(J21&gt;=SUM(C21:I21),"🟢 Richly Linked ("&amp;SUM(C21:I21)&amp;" entities)","🟡 Growing Lore ("&amp;SUM(C21:I21)&amp;" entities)")))</f>
        <v/>
      </c>
    </row>
    <row r="22" ht="20" customHeight="1">
      <c r="A22" s="178">
        <f>IF('Universes &amp; Series'!$A17="","",'Universes &amp; Series'!$A17)</f>
        <v/>
      </c>
      <c r="B22" s="179">
        <f>IF($A22="","",'Universes &amp; Series'!$B17)</f>
        <v/>
      </c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79" t="n"/>
      <c r="L22" s="181">
        <f>IF($A22="","",IF(SUM(C22:I22)=0,"⚪ Empty Lore Vault",IF(J22&gt;=SUM(C22:I22),"🟢 Richly Linked ("&amp;SUM(C22:I22)&amp;" entities)","🟡 Growing Lore ("&amp;SUM(C22:I22)&amp;" entities)")))</f>
        <v/>
      </c>
    </row>
    <row r="23" ht="20" customHeight="1">
      <c r="A23" s="160">
        <f>IF('Universes &amp; Series'!$A18="","",'Universes &amp; Series'!$A18)</f>
        <v/>
      </c>
      <c r="B23" s="161">
        <f>IF($A23="","",'Universes &amp; Series'!$B18)</f>
        <v/>
      </c>
      <c r="C23" s="163" t="n"/>
      <c r="D23" s="163" t="n"/>
      <c r="E23" s="163" t="n"/>
      <c r="F23" s="163" t="n"/>
      <c r="G23" s="163" t="n"/>
      <c r="H23" s="163" t="n"/>
      <c r="I23" s="163" t="n"/>
      <c r="J23" s="163" t="n"/>
      <c r="K23" s="161" t="n"/>
      <c r="L23" s="162">
        <f>IF($A23="","",IF(SUM(C23:I23)=0,"⚪ Empty Lore Vault",IF(J23&gt;=SUM(C23:I23),"🟢 Richly Linked ("&amp;SUM(C23:I23)&amp;" entities)","🟡 Growing Lore ("&amp;SUM(C23:I23)&amp;" entities)")))</f>
        <v/>
      </c>
    </row>
    <row r="24" ht="20" customHeight="1">
      <c r="A24" s="178">
        <f>IF('Universes &amp; Series'!$A19="","",'Universes &amp; Series'!$A19)</f>
        <v/>
      </c>
      <c r="B24" s="179">
        <f>IF($A24="","",'Universes &amp; Series'!$B19)</f>
        <v/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79" t="n"/>
      <c r="L24" s="181">
        <f>IF($A24="","",IF(SUM(C24:I24)=0,"⚪ Empty Lore Vault",IF(J24&gt;=SUM(C24:I24),"🟢 Richly Linked ("&amp;SUM(C24:I24)&amp;" entities)","🟡 Growing Lore ("&amp;SUM(C24:I24)&amp;" entities)")))</f>
        <v/>
      </c>
    </row>
    <row r="25" ht="20" customHeight="1">
      <c r="A25" s="160">
        <f>IF('Universes &amp; Series'!$A20="","",'Universes &amp; Series'!$A20)</f>
        <v/>
      </c>
      <c r="B25" s="161">
        <f>IF($A25="","",'Universes &amp; Series'!$B20)</f>
        <v/>
      </c>
      <c r="C25" s="163" t="n"/>
      <c r="D25" s="163" t="n"/>
      <c r="E25" s="163" t="n"/>
      <c r="F25" s="163" t="n"/>
      <c r="G25" s="163" t="n"/>
      <c r="H25" s="163" t="n"/>
      <c r="I25" s="163" t="n"/>
      <c r="J25" s="163" t="n"/>
      <c r="K25" s="161" t="n"/>
      <c r="L25" s="162">
        <f>IF($A25="","",IF(SUM(C25:I25)=0,"⚪ Empty Lore Vault",IF(J25&gt;=SUM(C25:I25),"🟢 Richly Linked ("&amp;SUM(C25:I25)&amp;" entities)","🟡 Growing Lore ("&amp;SUM(C25:I25)&amp;" entities)")))</f>
        <v/>
      </c>
    </row>
    <row r="26" ht="20" customHeight="1">
      <c r="A26" s="178">
        <f>IF('Universes &amp; Series'!$A21="","",'Universes &amp; Series'!$A21)</f>
        <v/>
      </c>
      <c r="B26" s="179">
        <f>IF($A26="","",'Universes &amp; Series'!$B21)</f>
        <v/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79" t="n"/>
      <c r="L26" s="181">
        <f>IF($A26="","",IF(SUM(C26:I26)=0,"⚪ Empty Lore Vault",IF(J26&gt;=SUM(C26:I26),"🟢 Richly Linked ("&amp;SUM(C26:I26)&amp;" entities)","🟡 Growing Lore ("&amp;SUM(C26:I26)&amp;" entities)")))</f>
        <v/>
      </c>
    </row>
    <row r="27" ht="20" customHeight="1">
      <c r="A27" s="160">
        <f>IF('Universes &amp; Series'!$A22="","",'Universes &amp; Series'!$A22)</f>
        <v/>
      </c>
      <c r="B27" s="161">
        <f>IF($A27="","",'Universes &amp; Series'!$B22)</f>
        <v/>
      </c>
      <c r="C27" s="163" t="n"/>
      <c r="D27" s="163" t="n"/>
      <c r="E27" s="163" t="n"/>
      <c r="F27" s="163" t="n"/>
      <c r="G27" s="163" t="n"/>
      <c r="H27" s="163" t="n"/>
      <c r="I27" s="163" t="n"/>
      <c r="J27" s="163" t="n"/>
      <c r="K27" s="161" t="n"/>
      <c r="L27" s="162">
        <f>IF($A27="","",IF(SUM(C27:I27)=0,"⚪ Empty Lore Vault",IF(J27&gt;=SUM(C27:I27),"🟢 Richly Linked ("&amp;SUM(C27:I27)&amp;" entities)","🟡 Growing Lore ("&amp;SUM(C27:I27)&amp;" entities)")))</f>
        <v/>
      </c>
    </row>
    <row r="28" ht="20" customHeight="1">
      <c r="A28" s="178">
        <f>IF('Universes &amp; Series'!$A23="","",'Universes &amp; Series'!$A23)</f>
        <v/>
      </c>
      <c r="B28" s="179">
        <f>IF($A28="","",'Universes &amp; Series'!$B23)</f>
        <v/>
      </c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79" t="n"/>
      <c r="L28" s="181">
        <f>IF($A28="","",IF(SUM(C28:I28)=0,"⚪ Empty Lore Vault",IF(J28&gt;=SUM(C28:I28),"🟢 Richly Linked ("&amp;SUM(C28:I28)&amp;" entities)","🟡 Growing Lore ("&amp;SUM(C28:I28)&amp;" entities)")))</f>
        <v/>
      </c>
    </row>
    <row r="29" ht="20" customHeight="1">
      <c r="A29" s="160">
        <f>IF('Universes &amp; Series'!$A24="","",'Universes &amp; Series'!$A24)</f>
        <v/>
      </c>
      <c r="B29" s="161">
        <f>IF($A29="","",'Universes &amp; Series'!$B24)</f>
        <v/>
      </c>
      <c r="C29" s="163" t="n"/>
      <c r="D29" s="163" t="n"/>
      <c r="E29" s="163" t="n"/>
      <c r="F29" s="163" t="n"/>
      <c r="G29" s="163" t="n"/>
      <c r="H29" s="163" t="n"/>
      <c r="I29" s="163" t="n"/>
      <c r="J29" s="163" t="n"/>
      <c r="K29" s="161" t="n"/>
      <c r="L29" s="162">
        <f>IF($A29="","",IF(SUM(C29:I29)=0,"⚪ Empty Lore Vault",IF(J29&gt;=SUM(C29:I29),"🟢 Richly Linked ("&amp;SUM(C29:I29)&amp;" entities)","🟡 Growing Lore ("&amp;SUM(C29:I29)&amp;" entities)")))</f>
        <v/>
      </c>
    </row>
    <row r="30" ht="22" customHeight="1">
      <c r="A30" s="182" t="inlineStr">
        <is>
          <t>Total World Bible Portfolio</t>
        </is>
      </c>
      <c r="B30" s="182" t="n"/>
      <c r="C30" s="183">
        <f>SUM(C10:C29)</f>
        <v>20</v>
      </c>
      <c r="D30" s="183">
        <f>SUM(D10:D29)</f>
        <v>21</v>
      </c>
      <c r="E30" s="183">
        <f>SUM(E10:E29)</f>
        <v>10</v>
      </c>
      <c r="F30" s="183">
        <f>SUM(F10:F29)</f>
        <v>15</v>
      </c>
      <c r="G30" s="183">
        <f>SUM(G10:G29)</f>
        <v>13</v>
      </c>
      <c r="H30" s="183">
        <f>SUM(H10:H29)</f>
        <v>14</v>
      </c>
      <c r="I30" s="183">
        <f>SUM(I10:I29)</f>
        <v>13</v>
      </c>
      <c r="J30" s="183">
        <f>SUM(J10:J29)</f>
        <v>163</v>
      </c>
      <c r="K30" s="182" t="str">
        <f>COUNTA(K10:K29)&amp;" Custom Calendars"</f>
        <v>6 Custom Calendars</v>
      </c>
      <c r="L30" s="184" t="str">
        <f>SUM(C30:I30)&amp;" Total Canon Entities"</f>
        <v>106 Total Canon Entities</v>
      </c>
    </row>
    <row r="32" ht="22" customHeight="1">
      <c r="A32" s="175" t="inlineStr">
        <is>
          <t>📊 WORLD BIBLE ANALYTICS • LORE DOMAIN COMPOSITION &amp; WIKILINK GRAPH DENSITY</t>
        </is>
      </c>
      <c r="B32" s="175" t="n"/>
      <c r="C32" s="175" t="n"/>
      <c r="D32" s="175" t="n"/>
      <c r="E32" s="175" t="n"/>
      <c r="F32" s="175" t="n"/>
      <c r="G32" s="175" t="n"/>
      <c r="H32" s="175" t="n"/>
      <c r="I32" s="175" t="n"/>
      <c r="J32" s="175" t="n"/>
      <c r="K32" s="175" t="n"/>
      <c r="L32" s="175" t="n"/>
    </row>
  </sheetData>
  <mergeCells count="20">
    <mergeCell ref="J6:L6"/>
    <mergeCell ref="G6:I6"/>
    <mergeCell ref="J4:L4"/>
    <mergeCell ref="D7:F7"/>
    <mergeCell ref="J7:L7"/>
    <mergeCell ref="A2:L2"/>
    <mergeCell ref="A5:C5"/>
    <mergeCell ref="G5:I5"/>
    <mergeCell ref="D4:F4"/>
    <mergeCell ref="A32:L32"/>
    <mergeCell ref="A8:L8"/>
    <mergeCell ref="G4:I4"/>
    <mergeCell ref="A4:C4"/>
    <mergeCell ref="D5:F5"/>
    <mergeCell ref="J5:L5"/>
    <mergeCell ref="A1:L1"/>
    <mergeCell ref="A6:C6"/>
    <mergeCell ref="D6:F6"/>
    <mergeCell ref="A7:C7"/>
    <mergeCell ref="G7:I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2026-10-16T16:11:31Z</dcterms:created>
  <dcterms:modified xmlns:dcterms="http://purl.org/dc/terms/" xmlns:xsi="http://www.w3.org/2001/XMLSchema-instance" xsi:type="dcterms:W3CDTF">2026-10-16T16:11:31Z</dcterms:modified>
  <cp:lastModifiedBy>Aryan Nagar</cp:lastModifiedBy>
</cp:coreProperties>
</file>