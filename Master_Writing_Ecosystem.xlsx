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0452a1bf700448/Desktop/Coding Projects/7-Scriptorium/"/>
    </mc:Choice>
  </mc:AlternateContent>
  <xr:revisionPtr revIDLastSave="0" documentId="11_4C7996C5603C990DE62BFD00AE0131F96B50CBEB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Dashboard" sheetId="1" r:id="rId1"/>
    <sheet name="Config" sheetId="2" r:id="rId2"/>
    <sheet name="Universes &amp; Series" sheetId="3" r:id="rId3"/>
    <sheet name="My Books" sheetId="4" r:id="rId4"/>
    <sheet name="Daily Writing Log" sheetId="5" r:id="rId5"/>
    <sheet name="Calc" sheetId="6" r:id="rId6"/>
    <sheet name="Continuity &amp; Compilers" sheetId="7" r:id="rId7"/>
    <sheet name="World Bible &amp; Lore" sheetId="8" r:id="rId8"/>
  </sheets>
  <definedNames>
    <definedName name="lst_Books">'My Books'!$B$5:$B$24</definedName>
    <definedName name="lst_BookTypes">Config!$E$5:$E$15</definedName>
    <definedName name="lst_Series">'Universes &amp; Series'!$A$5:$A$24</definedName>
    <definedName name="lst_Stages">Config!$F$5:$F$14</definedName>
    <definedName name="lst_Universes">Config!$G$5:$G$15</definedName>
    <definedName name="_xlnm.Print_Area" localSheetId="5">Calc!$A$1:$S$36</definedName>
    <definedName name="_xlnm.Print_Area" localSheetId="1">Config!$A$1:$O$33</definedName>
    <definedName name="_xlnm.Print_Area" localSheetId="6">'Continuity &amp; Compilers'!$A$1:$M$49</definedName>
    <definedName name="_xlnm.Print_Area" localSheetId="4">'Daily Writing Log'!$A$1:$N$54</definedName>
    <definedName name="_xlnm.Print_Area" localSheetId="0">Dashboard!$A$1:$I$60</definedName>
    <definedName name="_xlnm.Print_Area" localSheetId="3">'My Books'!$A$1:$R$44</definedName>
    <definedName name="_xlnm.Print_Area" localSheetId="2">'Universes &amp; Series'!$A$1:$I$44</definedName>
    <definedName name="_xlnm.Print_Area" localSheetId="7">'World Bible &amp; Lore'!$A$1:$L$49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8" l="1"/>
  <c r="J30" i="8"/>
  <c r="I30" i="8"/>
  <c r="H30" i="8"/>
  <c r="G30" i="8"/>
  <c r="F30" i="8"/>
  <c r="E30" i="8"/>
  <c r="L30" i="8" s="1"/>
  <c r="D30" i="8"/>
  <c r="C30" i="8"/>
  <c r="A29" i="8"/>
  <c r="L29" i="8" s="1"/>
  <c r="A28" i="8"/>
  <c r="L28" i="8" s="1"/>
  <c r="A27" i="8"/>
  <c r="L27" i="8" s="1"/>
  <c r="A26" i="8"/>
  <c r="L26" i="8" s="1"/>
  <c r="A25" i="8"/>
  <c r="L25" i="8" s="1"/>
  <c r="A24" i="8"/>
  <c r="L24" i="8" s="1"/>
  <c r="A23" i="8"/>
  <c r="L23" i="8" s="1"/>
  <c r="A22" i="8"/>
  <c r="L22" i="8" s="1"/>
  <c r="A21" i="8"/>
  <c r="L21" i="8" s="1"/>
  <c r="A20" i="8"/>
  <c r="L20" i="8" s="1"/>
  <c r="A19" i="8"/>
  <c r="L19" i="8" s="1"/>
  <c r="A18" i="8"/>
  <c r="L18" i="8" s="1"/>
  <c r="A17" i="8"/>
  <c r="L17" i="8" s="1"/>
  <c r="A16" i="8"/>
  <c r="L16" i="8" s="1"/>
  <c r="A15" i="8"/>
  <c r="L15" i="8" s="1"/>
  <c r="A14" i="8"/>
  <c r="L14" i="8" s="1"/>
  <c r="A13" i="8"/>
  <c r="L13" i="8" s="1"/>
  <c r="A12" i="8"/>
  <c r="L12" i="8" s="1"/>
  <c r="A11" i="8"/>
  <c r="A10" i="8"/>
  <c r="G5" i="8"/>
  <c r="D5" i="8"/>
  <c r="A5" i="8"/>
  <c r="L30" i="7"/>
  <c r="K30" i="7"/>
  <c r="I30" i="7"/>
  <c r="H30" i="7"/>
  <c r="G30" i="7"/>
  <c r="F30" i="7"/>
  <c r="E30" i="7"/>
  <c r="D30" i="7"/>
  <c r="M29" i="7"/>
  <c r="B29" i="7"/>
  <c r="A29" i="7"/>
  <c r="J29" i="7" s="1"/>
  <c r="A28" i="7"/>
  <c r="M27" i="7"/>
  <c r="C27" i="7"/>
  <c r="A27" i="7"/>
  <c r="B27" i="7" s="1"/>
  <c r="M26" i="7"/>
  <c r="J26" i="7"/>
  <c r="B26" i="7"/>
  <c r="A26" i="7"/>
  <c r="C26" i="7" s="1"/>
  <c r="J25" i="7"/>
  <c r="A25" i="7"/>
  <c r="C24" i="7"/>
  <c r="B24" i="7"/>
  <c r="A24" i="7"/>
  <c r="M24" i="7" s="1"/>
  <c r="B23" i="7"/>
  <c r="A23" i="7"/>
  <c r="J22" i="7"/>
  <c r="A22" i="7"/>
  <c r="M21" i="7"/>
  <c r="J21" i="7"/>
  <c r="C21" i="7"/>
  <c r="B21" i="7"/>
  <c r="A21" i="7"/>
  <c r="M20" i="7"/>
  <c r="J20" i="7"/>
  <c r="B20" i="7"/>
  <c r="A20" i="7"/>
  <c r="C20" i="7" s="1"/>
  <c r="C19" i="7"/>
  <c r="A19" i="7"/>
  <c r="M18" i="7"/>
  <c r="C18" i="7"/>
  <c r="B18" i="7"/>
  <c r="A18" i="7"/>
  <c r="J18" i="7" s="1"/>
  <c r="M17" i="7"/>
  <c r="A17" i="7"/>
  <c r="M16" i="7"/>
  <c r="J16" i="7"/>
  <c r="C16" i="7"/>
  <c r="A16" i="7"/>
  <c r="B16" i="7" s="1"/>
  <c r="C15" i="7"/>
  <c r="A15" i="7"/>
  <c r="A14" i="7"/>
  <c r="J13" i="7"/>
  <c r="A13" i="7"/>
  <c r="J12" i="7"/>
  <c r="C12" i="7"/>
  <c r="A12" i="7"/>
  <c r="M12" i="7" s="1"/>
  <c r="A11" i="7"/>
  <c r="C11" i="7" s="1"/>
  <c r="J10" i="7"/>
  <c r="A10" i="7"/>
  <c r="J6" i="7"/>
  <c r="D6" i="7"/>
  <c r="J5" i="7"/>
  <c r="D5" i="7"/>
  <c r="BC36" i="6"/>
  <c r="BB36" i="6"/>
  <c r="BA36" i="6"/>
  <c r="BC35" i="6"/>
  <c r="BB35" i="6"/>
  <c r="BA35" i="6"/>
  <c r="BC34" i="6"/>
  <c r="BB34" i="6"/>
  <c r="BA34" i="6"/>
  <c r="AZ34" i="6"/>
  <c r="BC33" i="6"/>
  <c r="BB33" i="6"/>
  <c r="BA33" i="6"/>
  <c r="AZ33" i="6"/>
  <c r="BC32" i="6"/>
  <c r="BB32" i="6"/>
  <c r="BA32" i="6"/>
  <c r="AZ32" i="6"/>
  <c r="AZ31" i="6"/>
  <c r="AZ30" i="6"/>
  <c r="AZ29" i="6"/>
  <c r="AW29" i="6"/>
  <c r="BB28" i="6"/>
  <c r="AZ28" i="6"/>
  <c r="AX28" i="6"/>
  <c r="AW28" i="6"/>
  <c r="BB27" i="6"/>
  <c r="AZ27" i="6"/>
  <c r="AW27" i="6"/>
  <c r="BB26" i="6"/>
  <c r="AZ26" i="6"/>
  <c r="AX26" i="6"/>
  <c r="AW26" i="6"/>
  <c r="BB25" i="6"/>
  <c r="AZ25" i="6"/>
  <c r="BB24" i="6"/>
  <c r="AZ24" i="6"/>
  <c r="AL24" i="6"/>
  <c r="AB24" i="6"/>
  <c r="M24" i="6"/>
  <c r="BB23" i="6"/>
  <c r="AZ23" i="6"/>
  <c r="AL23" i="6"/>
  <c r="AB23" i="6"/>
  <c r="M23" i="6"/>
  <c r="BB22" i="6"/>
  <c r="AZ22" i="6"/>
  <c r="AV22" i="6"/>
  <c r="AL22" i="6"/>
  <c r="AB22" i="6"/>
  <c r="M22" i="6"/>
  <c r="AZ21" i="6"/>
  <c r="AV21" i="6"/>
  <c r="AL21" i="6"/>
  <c r="AB21" i="6"/>
  <c r="M21" i="6"/>
  <c r="AZ20" i="6"/>
  <c r="AV20" i="6"/>
  <c r="AL20" i="6"/>
  <c r="AB20" i="6"/>
  <c r="M20" i="6"/>
  <c r="AZ19" i="6"/>
  <c r="AV19" i="6"/>
  <c r="AL19" i="6"/>
  <c r="AB19" i="6"/>
  <c r="M19" i="6"/>
  <c r="BC18" i="6"/>
  <c r="BB18" i="6"/>
  <c r="BA18" i="6"/>
  <c r="AZ18" i="6"/>
  <c r="AV18" i="6"/>
  <c r="AW18" i="6" s="1"/>
  <c r="AL18" i="6"/>
  <c r="AB18" i="6"/>
  <c r="M18" i="6"/>
  <c r="BC17" i="6"/>
  <c r="BB17" i="6"/>
  <c r="BA17" i="6"/>
  <c r="AZ17" i="6"/>
  <c r="AV17" i="6"/>
  <c r="AL17" i="6"/>
  <c r="AB17" i="6"/>
  <c r="M17" i="6"/>
  <c r="BC16" i="6"/>
  <c r="BB16" i="6"/>
  <c r="BA16" i="6"/>
  <c r="AZ16" i="6"/>
  <c r="AV16" i="6"/>
  <c r="AW16" i="6" s="1"/>
  <c r="AL16" i="6"/>
  <c r="AB16" i="6"/>
  <c r="M16" i="6"/>
  <c r="BC15" i="6"/>
  <c r="BB15" i="6"/>
  <c r="BA15" i="6"/>
  <c r="AZ15" i="6"/>
  <c r="AV15" i="6"/>
  <c r="AX15" i="6" s="1"/>
  <c r="AL15" i="6"/>
  <c r="AB15" i="6"/>
  <c r="AD11" i="6" s="1"/>
  <c r="M15" i="6"/>
  <c r="BC14" i="6"/>
  <c r="BB14" i="6"/>
  <c r="BA14" i="6"/>
  <c r="AZ14" i="6"/>
  <c r="AV14" i="6"/>
  <c r="AX14" i="6" s="1"/>
  <c r="AL14" i="6"/>
  <c r="AB14" i="6"/>
  <c r="M14" i="6"/>
  <c r="BC13" i="6"/>
  <c r="BB13" i="6"/>
  <c r="BA13" i="6"/>
  <c r="AZ13" i="6"/>
  <c r="AV13" i="6"/>
  <c r="AX13" i="6" s="1"/>
  <c r="AL13" i="6"/>
  <c r="AB13" i="6"/>
  <c r="M13" i="6"/>
  <c r="AZ12" i="6"/>
  <c r="AL12" i="6"/>
  <c r="AB12" i="6"/>
  <c r="M12" i="6"/>
  <c r="AZ11" i="6"/>
  <c r="AL11" i="6"/>
  <c r="AB11" i="6"/>
  <c r="M11" i="6"/>
  <c r="AZ10" i="6"/>
  <c r="AL10" i="6"/>
  <c r="AB10" i="6"/>
  <c r="BC9" i="6"/>
  <c r="BB9" i="6"/>
  <c r="AZ9" i="6"/>
  <c r="AY9" i="6"/>
  <c r="AL9" i="6"/>
  <c r="AB9" i="6"/>
  <c r="M9" i="6"/>
  <c r="BC8" i="6"/>
  <c r="BB8" i="6"/>
  <c r="AZ8" i="6"/>
  <c r="AY8" i="6"/>
  <c r="AL8" i="6"/>
  <c r="AB8" i="6"/>
  <c r="BC7" i="6"/>
  <c r="BB7" i="6"/>
  <c r="AZ7" i="6"/>
  <c r="AY7" i="6"/>
  <c r="AL7" i="6"/>
  <c r="AB7" i="6"/>
  <c r="BC6" i="6"/>
  <c r="BB6" i="6"/>
  <c r="AZ6" i="6"/>
  <c r="AY6" i="6"/>
  <c r="AL6" i="6"/>
  <c r="AB6" i="6"/>
  <c r="BC5" i="6"/>
  <c r="BB5" i="6"/>
  <c r="AZ5" i="6"/>
  <c r="AX35" i="6" s="1"/>
  <c r="AY5" i="6"/>
  <c r="AL5" i="6"/>
  <c r="AN9" i="6" s="1"/>
  <c r="AB5" i="6"/>
  <c r="AD9" i="6" s="1"/>
  <c r="L35" i="5"/>
  <c r="H35" i="5"/>
  <c r="M35" i="5" s="1"/>
  <c r="G35" i="5"/>
  <c r="F35" i="5"/>
  <c r="E35" i="5"/>
  <c r="D35" i="5"/>
  <c r="K34" i="5"/>
  <c r="J34" i="5"/>
  <c r="I34" i="5"/>
  <c r="H34" i="5"/>
  <c r="M34" i="5" s="1"/>
  <c r="C34" i="5"/>
  <c r="M33" i="5"/>
  <c r="K33" i="5"/>
  <c r="J33" i="5"/>
  <c r="I33" i="5"/>
  <c r="H33" i="5"/>
  <c r="C33" i="5"/>
  <c r="K32" i="5"/>
  <c r="J32" i="5"/>
  <c r="I32" i="5"/>
  <c r="H32" i="5"/>
  <c r="M32" i="5" s="1"/>
  <c r="C32" i="5"/>
  <c r="M31" i="5"/>
  <c r="K31" i="5"/>
  <c r="J31" i="5"/>
  <c r="I31" i="5"/>
  <c r="H31" i="5"/>
  <c r="C31" i="5"/>
  <c r="K30" i="5"/>
  <c r="J30" i="5"/>
  <c r="I30" i="5"/>
  <c r="H30" i="5"/>
  <c r="M30" i="5" s="1"/>
  <c r="C30" i="5"/>
  <c r="M29" i="5"/>
  <c r="K29" i="5"/>
  <c r="J29" i="5"/>
  <c r="I29" i="5"/>
  <c r="H29" i="5"/>
  <c r="C29" i="5"/>
  <c r="K28" i="5"/>
  <c r="J28" i="5"/>
  <c r="I28" i="5"/>
  <c r="H28" i="5"/>
  <c r="M28" i="5" s="1"/>
  <c r="C28" i="5"/>
  <c r="M27" i="5"/>
  <c r="K27" i="5"/>
  <c r="J27" i="5"/>
  <c r="I27" i="5"/>
  <c r="H27" i="5"/>
  <c r="C27" i="5"/>
  <c r="K26" i="5"/>
  <c r="J26" i="5"/>
  <c r="I26" i="5"/>
  <c r="H26" i="5"/>
  <c r="M26" i="5" s="1"/>
  <c r="C26" i="5"/>
  <c r="M25" i="5"/>
  <c r="K25" i="5"/>
  <c r="J25" i="5"/>
  <c r="I25" i="5"/>
  <c r="H25" i="5"/>
  <c r="C25" i="5"/>
  <c r="K24" i="5"/>
  <c r="J24" i="5"/>
  <c r="I24" i="5"/>
  <c r="H24" i="5"/>
  <c r="M24" i="5" s="1"/>
  <c r="C24" i="5"/>
  <c r="M23" i="5"/>
  <c r="K23" i="5"/>
  <c r="J23" i="5"/>
  <c r="I23" i="5"/>
  <c r="H23" i="5"/>
  <c r="C23" i="5"/>
  <c r="K22" i="5"/>
  <c r="J22" i="5"/>
  <c r="I22" i="5"/>
  <c r="H22" i="5"/>
  <c r="M22" i="5" s="1"/>
  <c r="C22" i="5"/>
  <c r="M21" i="5"/>
  <c r="K21" i="5"/>
  <c r="J21" i="5"/>
  <c r="I21" i="5"/>
  <c r="H21" i="5"/>
  <c r="C21" i="5"/>
  <c r="K20" i="5"/>
  <c r="J20" i="5"/>
  <c r="I20" i="5"/>
  <c r="H20" i="5"/>
  <c r="M20" i="5" s="1"/>
  <c r="C20" i="5"/>
  <c r="M19" i="5"/>
  <c r="K19" i="5"/>
  <c r="J19" i="5"/>
  <c r="I19" i="5"/>
  <c r="H19" i="5"/>
  <c r="C19" i="5"/>
  <c r="K18" i="5"/>
  <c r="J18" i="5"/>
  <c r="I18" i="5"/>
  <c r="H18" i="5"/>
  <c r="M18" i="5" s="1"/>
  <c r="C18" i="5"/>
  <c r="M17" i="5"/>
  <c r="K17" i="5"/>
  <c r="J17" i="5"/>
  <c r="I17" i="5"/>
  <c r="H17" i="5"/>
  <c r="C17" i="5"/>
  <c r="K16" i="5"/>
  <c r="J16" i="5"/>
  <c r="I16" i="5"/>
  <c r="H16" i="5"/>
  <c r="M16" i="5" s="1"/>
  <c r="C16" i="5"/>
  <c r="M15" i="5"/>
  <c r="K15" i="5"/>
  <c r="J15" i="5"/>
  <c r="I15" i="5"/>
  <c r="H15" i="5"/>
  <c r="C15" i="5"/>
  <c r="K14" i="5"/>
  <c r="J14" i="5"/>
  <c r="I14" i="5"/>
  <c r="H14" i="5"/>
  <c r="M14" i="5" s="1"/>
  <c r="C14" i="5"/>
  <c r="M13" i="5"/>
  <c r="K13" i="5"/>
  <c r="J13" i="5"/>
  <c r="I13" i="5"/>
  <c r="H13" i="5"/>
  <c r="C13" i="5"/>
  <c r="K12" i="5"/>
  <c r="J12" i="5"/>
  <c r="I12" i="5"/>
  <c r="H12" i="5"/>
  <c r="M12" i="5" s="1"/>
  <c r="C12" i="5"/>
  <c r="M11" i="5"/>
  <c r="K11" i="5"/>
  <c r="J11" i="5"/>
  <c r="I11" i="5"/>
  <c r="H11" i="5"/>
  <c r="C11" i="5"/>
  <c r="K10" i="5"/>
  <c r="J10" i="5"/>
  <c r="I10" i="5"/>
  <c r="H10" i="5"/>
  <c r="M10" i="5" s="1"/>
  <c r="C10" i="5"/>
  <c r="M9" i="5"/>
  <c r="K9" i="5"/>
  <c r="J9" i="5"/>
  <c r="I9" i="5"/>
  <c r="H9" i="5"/>
  <c r="C9" i="5"/>
  <c r="K8" i="5"/>
  <c r="J8" i="5"/>
  <c r="I8" i="5"/>
  <c r="H8" i="5"/>
  <c r="M8" i="5" s="1"/>
  <c r="C8" i="5"/>
  <c r="M7" i="5"/>
  <c r="K7" i="5"/>
  <c r="J7" i="5"/>
  <c r="I7" i="5"/>
  <c r="H7" i="5"/>
  <c r="J6" i="5"/>
  <c r="H6" i="5"/>
  <c r="M6" i="5" s="1"/>
  <c r="C6" i="5"/>
  <c r="I6" i="5" s="1"/>
  <c r="K6" i="5" s="1"/>
  <c r="M5" i="5"/>
  <c r="J5" i="5"/>
  <c r="H5" i="5"/>
  <c r="S14" i="6" s="1"/>
  <c r="C5" i="5"/>
  <c r="AX29" i="6" s="1"/>
  <c r="R25" i="4"/>
  <c r="G25" i="4"/>
  <c r="I25" i="4" s="1"/>
  <c r="R24" i="4"/>
  <c r="Q24" i="4"/>
  <c r="P24" i="4"/>
  <c r="O24" i="4"/>
  <c r="N24" i="4"/>
  <c r="M24" i="4"/>
  <c r="J24" i="4"/>
  <c r="I24" i="4"/>
  <c r="H24" i="4"/>
  <c r="F24" i="4"/>
  <c r="D24" i="4"/>
  <c r="C24" i="4"/>
  <c r="A24" i="4"/>
  <c r="R23" i="4"/>
  <c r="Q23" i="4"/>
  <c r="P23" i="4"/>
  <c r="O23" i="4"/>
  <c r="N23" i="4"/>
  <c r="M23" i="4"/>
  <c r="J23" i="4"/>
  <c r="I23" i="4"/>
  <c r="H23" i="4"/>
  <c r="F23" i="4"/>
  <c r="D23" i="4"/>
  <c r="C23" i="4"/>
  <c r="A23" i="4"/>
  <c r="R22" i="4"/>
  <c r="Q22" i="4"/>
  <c r="P22" i="4"/>
  <c r="O22" i="4"/>
  <c r="N22" i="4"/>
  <c r="M22" i="4"/>
  <c r="J22" i="4"/>
  <c r="I22" i="4"/>
  <c r="H22" i="4"/>
  <c r="F22" i="4"/>
  <c r="D22" i="4"/>
  <c r="C22" i="4"/>
  <c r="A22" i="4"/>
  <c r="R21" i="4"/>
  <c r="Q21" i="4"/>
  <c r="P21" i="4"/>
  <c r="O21" i="4"/>
  <c r="N21" i="4"/>
  <c r="M21" i="4"/>
  <c r="J21" i="4"/>
  <c r="I21" i="4"/>
  <c r="H21" i="4"/>
  <c r="F21" i="4"/>
  <c r="D21" i="4"/>
  <c r="C21" i="4"/>
  <c r="A21" i="4"/>
  <c r="R20" i="4"/>
  <c r="Q20" i="4"/>
  <c r="P20" i="4"/>
  <c r="O20" i="4"/>
  <c r="N20" i="4"/>
  <c r="M20" i="4"/>
  <c r="J20" i="4"/>
  <c r="I20" i="4"/>
  <c r="H20" i="4"/>
  <c r="F20" i="4"/>
  <c r="D20" i="4"/>
  <c r="C20" i="4"/>
  <c r="A20" i="4"/>
  <c r="R19" i="4"/>
  <c r="Q19" i="4"/>
  <c r="P19" i="4"/>
  <c r="O19" i="4"/>
  <c r="N19" i="4"/>
  <c r="M19" i="4"/>
  <c r="J19" i="4"/>
  <c r="I19" i="4"/>
  <c r="H19" i="4"/>
  <c r="F19" i="4"/>
  <c r="D19" i="4"/>
  <c r="C19" i="4"/>
  <c r="A19" i="4"/>
  <c r="R18" i="4"/>
  <c r="Q18" i="4"/>
  <c r="P18" i="4"/>
  <c r="O18" i="4"/>
  <c r="N18" i="4"/>
  <c r="M18" i="4"/>
  <c r="J18" i="4"/>
  <c r="I18" i="4"/>
  <c r="H18" i="4"/>
  <c r="F18" i="4"/>
  <c r="D18" i="4"/>
  <c r="C18" i="4"/>
  <c r="A18" i="4"/>
  <c r="R17" i="4"/>
  <c r="Q17" i="4"/>
  <c r="P17" i="4"/>
  <c r="O17" i="4"/>
  <c r="N17" i="4"/>
  <c r="M17" i="4"/>
  <c r="J17" i="4"/>
  <c r="I17" i="4"/>
  <c r="H17" i="4"/>
  <c r="F17" i="4"/>
  <c r="D17" i="4"/>
  <c r="C17" i="4"/>
  <c r="A17" i="4"/>
  <c r="R16" i="4"/>
  <c r="Q16" i="4"/>
  <c r="P16" i="4"/>
  <c r="O16" i="4"/>
  <c r="N16" i="4"/>
  <c r="M16" i="4"/>
  <c r="J16" i="4"/>
  <c r="I16" i="4"/>
  <c r="H16" i="4"/>
  <c r="F16" i="4"/>
  <c r="D16" i="4"/>
  <c r="C16" i="4"/>
  <c r="A16" i="4"/>
  <c r="R15" i="4"/>
  <c r="Q15" i="4"/>
  <c r="P15" i="4"/>
  <c r="O15" i="4"/>
  <c r="N15" i="4"/>
  <c r="M15" i="4"/>
  <c r="J15" i="4"/>
  <c r="I15" i="4"/>
  <c r="H15" i="4"/>
  <c r="F15" i="4"/>
  <c r="D15" i="4"/>
  <c r="C15" i="4"/>
  <c r="A15" i="4"/>
  <c r="R14" i="4"/>
  <c r="Q14" i="4"/>
  <c r="P14" i="4"/>
  <c r="O14" i="4"/>
  <c r="N14" i="4"/>
  <c r="M14" i="4"/>
  <c r="J14" i="4"/>
  <c r="I14" i="4"/>
  <c r="H14" i="4"/>
  <c r="F14" i="4"/>
  <c r="D14" i="4"/>
  <c r="C14" i="4"/>
  <c r="A14" i="4"/>
  <c r="R13" i="4"/>
  <c r="Q13" i="4"/>
  <c r="P13" i="4"/>
  <c r="O13" i="4"/>
  <c r="N13" i="4"/>
  <c r="M13" i="4"/>
  <c r="J13" i="4"/>
  <c r="I13" i="4"/>
  <c r="H13" i="4"/>
  <c r="F13" i="4"/>
  <c r="D13" i="4"/>
  <c r="C13" i="4"/>
  <c r="A13" i="4"/>
  <c r="R12" i="4"/>
  <c r="Q12" i="4"/>
  <c r="P12" i="4"/>
  <c r="O12" i="4"/>
  <c r="N12" i="4"/>
  <c r="M12" i="4"/>
  <c r="J12" i="4"/>
  <c r="I12" i="4"/>
  <c r="H12" i="4"/>
  <c r="F12" i="4"/>
  <c r="D12" i="4"/>
  <c r="E5" i="1" s="1"/>
  <c r="C12" i="4"/>
  <c r="A12" i="4"/>
  <c r="R11" i="4"/>
  <c r="Q11" i="4"/>
  <c r="P11" i="4"/>
  <c r="O11" i="4"/>
  <c r="N11" i="4"/>
  <c r="M11" i="4"/>
  <c r="J11" i="4"/>
  <c r="I11" i="4"/>
  <c r="H11" i="4"/>
  <c r="F11" i="4"/>
  <c r="AX17" i="6" s="1"/>
  <c r="D11" i="4"/>
  <c r="C11" i="4"/>
  <c r="A11" i="4"/>
  <c r="Q10" i="4"/>
  <c r="M10" i="6" s="1"/>
  <c r="N10" i="4"/>
  <c r="H10" i="4"/>
  <c r="F9" i="3" s="1"/>
  <c r="D10" i="4"/>
  <c r="Q9" i="4"/>
  <c r="N9" i="4"/>
  <c r="M9" i="4"/>
  <c r="I9" i="4"/>
  <c r="R9" i="4" s="1"/>
  <c r="H9" i="4"/>
  <c r="D9" i="4"/>
  <c r="Q8" i="4"/>
  <c r="H8" i="4"/>
  <c r="D8" i="4"/>
  <c r="Q7" i="4"/>
  <c r="O7" i="4"/>
  <c r="P7" i="4" s="1"/>
  <c r="H7" i="4"/>
  <c r="F7" i="3" s="1"/>
  <c r="D7" i="4"/>
  <c r="B12" i="7" s="1"/>
  <c r="Q6" i="4"/>
  <c r="M6" i="6" s="1"/>
  <c r="O6" i="4"/>
  <c r="H6" i="4"/>
  <c r="F6" i="3" s="1"/>
  <c r="D6" i="4"/>
  <c r="B11" i="7" s="1"/>
  <c r="Q5" i="4"/>
  <c r="Q25" i="4" s="1"/>
  <c r="M5" i="4"/>
  <c r="J5" i="4"/>
  <c r="I5" i="4"/>
  <c r="R5" i="4" s="1"/>
  <c r="H5" i="4"/>
  <c r="D5" i="4"/>
  <c r="C5" i="1" s="1"/>
  <c r="C25" i="3"/>
  <c r="I24" i="3"/>
  <c r="H24" i="3"/>
  <c r="F24" i="3"/>
  <c r="E24" i="3"/>
  <c r="D24" i="3"/>
  <c r="B24" i="3"/>
  <c r="I23" i="3"/>
  <c r="H23" i="3"/>
  <c r="F23" i="3"/>
  <c r="E23" i="3"/>
  <c r="D23" i="3"/>
  <c r="B23" i="3"/>
  <c r="I22" i="3"/>
  <c r="H22" i="3"/>
  <c r="F22" i="3"/>
  <c r="E22" i="3"/>
  <c r="D22" i="3"/>
  <c r="B22" i="3"/>
  <c r="I21" i="3"/>
  <c r="H21" i="3"/>
  <c r="F21" i="3"/>
  <c r="E21" i="3"/>
  <c r="D21" i="3"/>
  <c r="B21" i="3"/>
  <c r="I20" i="3"/>
  <c r="H20" i="3"/>
  <c r="F20" i="3"/>
  <c r="E20" i="3"/>
  <c r="D20" i="3"/>
  <c r="B20" i="3"/>
  <c r="I19" i="3"/>
  <c r="H19" i="3"/>
  <c r="F19" i="3"/>
  <c r="E19" i="3"/>
  <c r="D19" i="3"/>
  <c r="B19" i="3"/>
  <c r="I18" i="3"/>
  <c r="H18" i="3"/>
  <c r="F18" i="3"/>
  <c r="E18" i="3"/>
  <c r="D18" i="3"/>
  <c r="B18" i="3"/>
  <c r="I17" i="3"/>
  <c r="H17" i="3"/>
  <c r="F17" i="3"/>
  <c r="E17" i="3"/>
  <c r="D17" i="3"/>
  <c r="B17" i="3"/>
  <c r="I16" i="3"/>
  <c r="H16" i="3"/>
  <c r="F16" i="3"/>
  <c r="E16" i="3"/>
  <c r="D16" i="3"/>
  <c r="B16" i="3"/>
  <c r="I15" i="3"/>
  <c r="H15" i="3"/>
  <c r="F15" i="3"/>
  <c r="E15" i="3"/>
  <c r="D15" i="3"/>
  <c r="B15" i="3"/>
  <c r="I14" i="3"/>
  <c r="H14" i="3"/>
  <c r="F14" i="3"/>
  <c r="E14" i="3"/>
  <c r="D14" i="3"/>
  <c r="B14" i="3"/>
  <c r="I13" i="3"/>
  <c r="H13" i="3"/>
  <c r="F13" i="3"/>
  <c r="E13" i="3"/>
  <c r="D13" i="3"/>
  <c r="B13" i="3"/>
  <c r="I12" i="3"/>
  <c r="H12" i="3"/>
  <c r="F12" i="3"/>
  <c r="E12" i="3"/>
  <c r="D12" i="3"/>
  <c r="B12" i="3"/>
  <c r="I11" i="3"/>
  <c r="H11" i="3"/>
  <c r="F11" i="3"/>
  <c r="E11" i="3"/>
  <c r="D11" i="3"/>
  <c r="B11" i="3"/>
  <c r="I10" i="3"/>
  <c r="F10" i="3"/>
  <c r="E10" i="3"/>
  <c r="H10" i="3" s="1"/>
  <c r="D10" i="3"/>
  <c r="I9" i="3"/>
  <c r="E9" i="3"/>
  <c r="D9" i="3"/>
  <c r="H9" i="3" s="1"/>
  <c r="I8" i="3"/>
  <c r="F8" i="3"/>
  <c r="E8" i="3"/>
  <c r="E25" i="3" s="1"/>
  <c r="D8" i="3"/>
  <c r="H8" i="3" s="1"/>
  <c r="I7" i="3"/>
  <c r="E7" i="3"/>
  <c r="D7" i="3"/>
  <c r="H7" i="3" s="1"/>
  <c r="I6" i="3"/>
  <c r="H6" i="3"/>
  <c r="E6" i="3"/>
  <c r="D6" i="3"/>
  <c r="I5" i="3"/>
  <c r="I25" i="3" s="1"/>
  <c r="H5" i="3"/>
  <c r="F5" i="3"/>
  <c r="E5" i="3"/>
  <c r="D5" i="3"/>
  <c r="D25" i="3" s="1"/>
  <c r="B29" i="2"/>
  <c r="B27" i="2"/>
  <c r="B26" i="2"/>
  <c r="B25" i="2"/>
  <c r="A2" i="2"/>
  <c r="AV8" i="6" s="1"/>
  <c r="E4" i="1"/>
  <c r="C4" i="1"/>
  <c r="M10" i="4" l="1"/>
  <c r="O10" i="4"/>
  <c r="P10" i="4" s="1"/>
  <c r="O5" i="4"/>
  <c r="P5" i="4" s="1"/>
  <c r="N7" i="4"/>
  <c r="J21" i="2"/>
  <c r="K22" i="2" s="1"/>
  <c r="M6" i="4"/>
  <c r="N6" i="4"/>
  <c r="AI9" i="6"/>
  <c r="AH9" i="6"/>
  <c r="AG9" i="6"/>
  <c r="AF9" i="6"/>
  <c r="AE9" i="6"/>
  <c r="AO9" i="6"/>
  <c r="AT9" i="6"/>
  <c r="AS9" i="6"/>
  <c r="AR9" i="6"/>
  <c r="AQ9" i="6"/>
  <c r="AP9" i="6"/>
  <c r="H25" i="3"/>
  <c r="F25" i="3"/>
  <c r="B31" i="2"/>
  <c r="AG11" i="6"/>
  <c r="AF11" i="6"/>
  <c r="AE11" i="6"/>
  <c r="AJ11" i="6"/>
  <c r="AI11" i="6"/>
  <c r="AH11" i="6"/>
  <c r="S6" i="6"/>
  <c r="AW6" i="6"/>
  <c r="AW8" i="6"/>
  <c r="H25" i="4"/>
  <c r="AX6" i="6"/>
  <c r="AX8" i="6"/>
  <c r="AD12" i="6"/>
  <c r="AW13" i="6"/>
  <c r="AX22" i="6"/>
  <c r="AW34" i="6"/>
  <c r="I10" i="4"/>
  <c r="J5" i="6"/>
  <c r="AD5" i="6"/>
  <c r="AD7" i="6"/>
  <c r="AW22" i="6"/>
  <c r="AW38" i="6"/>
  <c r="B28" i="2"/>
  <c r="N5" i="4"/>
  <c r="N25" i="4" s="1"/>
  <c r="P6" i="4"/>
  <c r="I5" i="5"/>
  <c r="AX16" i="6"/>
  <c r="AX18" i="6"/>
  <c r="AW21" i="6"/>
  <c r="AX36" i="6"/>
  <c r="A5" i="1"/>
  <c r="M5" i="6"/>
  <c r="AN6" i="6"/>
  <c r="M7" i="6"/>
  <c r="AN8" i="6"/>
  <c r="AN10" i="6"/>
  <c r="AW20" i="6"/>
  <c r="AX21" i="6"/>
  <c r="B30" i="2"/>
  <c r="J9" i="4"/>
  <c r="AV5" i="6"/>
  <c r="AV7" i="6"/>
  <c r="AV9" i="6"/>
  <c r="AX19" i="6"/>
  <c r="AW19" i="6"/>
  <c r="AX20" i="6"/>
  <c r="I8" i="4"/>
  <c r="S5" i="6"/>
  <c r="AW5" i="6"/>
  <c r="S7" i="6"/>
  <c r="G7" i="1" s="1"/>
  <c r="AW7" i="6"/>
  <c r="AW9" i="6"/>
  <c r="AW15" i="6"/>
  <c r="AX27" i="6"/>
  <c r="AX39" i="6"/>
  <c r="AX5" i="6"/>
  <c r="AX7" i="6"/>
  <c r="AX9" i="6"/>
  <c r="AW35" i="6"/>
  <c r="I7" i="4"/>
  <c r="M8" i="4"/>
  <c r="O9" i="4"/>
  <c r="P9" i="4" s="1"/>
  <c r="AD6" i="6"/>
  <c r="AD8" i="6"/>
  <c r="AD10" i="6"/>
  <c r="AW17" i="6"/>
  <c r="A5" i="6"/>
  <c r="AY34" i="6"/>
  <c r="AX34" i="6"/>
  <c r="AY37" i="6"/>
  <c r="AY33" i="6"/>
  <c r="AY38" i="6"/>
  <c r="AX37" i="6"/>
  <c r="AX33" i="6"/>
  <c r="AY39" i="6"/>
  <c r="AX38" i="6"/>
  <c r="AW37" i="6"/>
  <c r="AY36" i="6"/>
  <c r="AW33" i="6"/>
  <c r="AW39" i="6"/>
  <c r="AW36" i="6"/>
  <c r="AY35" i="6"/>
  <c r="I6" i="4"/>
  <c r="M7" i="4"/>
  <c r="M25" i="4" s="1"/>
  <c r="O8" i="4"/>
  <c r="O25" i="4" s="1"/>
  <c r="AN5" i="6"/>
  <c r="AN7" i="6"/>
  <c r="M8" i="6"/>
  <c r="AW14" i="6"/>
  <c r="K21" i="2"/>
  <c r="N8" i="4"/>
  <c r="J22" i="2"/>
  <c r="AV6" i="6"/>
  <c r="M13" i="7"/>
  <c r="B13" i="7"/>
  <c r="C13" i="7"/>
  <c r="J17" i="7"/>
  <c r="C17" i="7"/>
  <c r="B17" i="7"/>
  <c r="M19" i="7"/>
  <c r="B19" i="7"/>
  <c r="J19" i="7"/>
  <c r="J23" i="7"/>
  <c r="C23" i="7"/>
  <c r="M23" i="7"/>
  <c r="M28" i="7"/>
  <c r="C28" i="7"/>
  <c r="B28" i="7"/>
  <c r="J28" i="7"/>
  <c r="C10" i="7"/>
  <c r="M10" i="7"/>
  <c r="M14" i="7"/>
  <c r="J14" i="7"/>
  <c r="B14" i="7"/>
  <c r="B10" i="7"/>
  <c r="C14" i="7"/>
  <c r="J11" i="7"/>
  <c r="J30" i="7" s="1"/>
  <c r="M30" i="7" s="1"/>
  <c r="M11" i="7"/>
  <c r="M25" i="7"/>
  <c r="B25" i="7"/>
  <c r="B15" i="7"/>
  <c r="C25" i="7"/>
  <c r="L10" i="8"/>
  <c r="B10" i="8"/>
  <c r="J5" i="8"/>
  <c r="L11" i="8"/>
  <c r="B11" i="8"/>
  <c r="C22" i="7"/>
  <c r="B22" i="7"/>
  <c r="M22" i="7"/>
  <c r="J15" i="7"/>
  <c r="M15" i="7" s="1"/>
  <c r="J27" i="7"/>
  <c r="B13" i="8"/>
  <c r="B17" i="8"/>
  <c r="B21" i="8"/>
  <c r="B25" i="8"/>
  <c r="B29" i="8"/>
  <c r="B14" i="8"/>
  <c r="B18" i="8"/>
  <c r="B22" i="8"/>
  <c r="B26" i="8"/>
  <c r="B15" i="8"/>
  <c r="B19" i="8"/>
  <c r="B23" i="8"/>
  <c r="B27" i="8"/>
  <c r="J24" i="7"/>
  <c r="C29" i="7"/>
  <c r="B12" i="8"/>
  <c r="B16" i="8"/>
  <c r="B20" i="8"/>
  <c r="B24" i="8"/>
  <c r="B28" i="8"/>
  <c r="AG8" i="6" l="1"/>
  <c r="AF8" i="6"/>
  <c r="AE8" i="6"/>
  <c r="AJ8" i="6"/>
  <c r="AI8" i="6"/>
  <c r="AH8" i="6"/>
  <c r="R10" i="4"/>
  <c r="J10" i="4"/>
  <c r="AO7" i="6"/>
  <c r="AS7" i="6" s="1"/>
  <c r="AT7" i="6"/>
  <c r="AR7" i="6"/>
  <c r="AQ7" i="6"/>
  <c r="AP7" i="6"/>
  <c r="AG6" i="6"/>
  <c r="AF6" i="6"/>
  <c r="AE6" i="6"/>
  <c r="AJ6" i="6"/>
  <c r="AI6" i="6"/>
  <c r="AH6" i="6"/>
  <c r="S13" i="6"/>
  <c r="I35" i="5"/>
  <c r="K5" i="5"/>
  <c r="M2" i="5"/>
  <c r="E7" i="1"/>
  <c r="AJ12" i="6"/>
  <c r="AI12" i="6"/>
  <c r="AH12" i="6"/>
  <c r="AG12" i="6"/>
  <c r="AF12" i="6"/>
  <c r="AE12" i="6"/>
  <c r="J7" i="4"/>
  <c r="R7" i="4"/>
  <c r="J8" i="4"/>
  <c r="R8" i="4"/>
  <c r="AT8" i="6"/>
  <c r="AS8" i="6"/>
  <c r="AR8" i="6"/>
  <c r="AQ8" i="6"/>
  <c r="AP8" i="6"/>
  <c r="AO8" i="6"/>
  <c r="G5" i="7"/>
  <c r="P8" i="4"/>
  <c r="AT6" i="6"/>
  <c r="AS6" i="6"/>
  <c r="AR6" i="6"/>
  <c r="AQ6" i="6"/>
  <c r="AP6" i="6"/>
  <c r="AO6" i="6"/>
  <c r="AO5" i="6"/>
  <c r="AS5" i="6" s="1"/>
  <c r="AT5" i="6"/>
  <c r="AR5" i="6"/>
  <c r="AQ5" i="6"/>
  <c r="AP5" i="6"/>
  <c r="J6" i="4"/>
  <c r="R6" i="4"/>
  <c r="AT10" i="6"/>
  <c r="AS10" i="6"/>
  <c r="AR10" i="6"/>
  <c r="AQ10" i="6"/>
  <c r="AP10" i="6"/>
  <c r="AO10" i="6"/>
  <c r="C5" i="6"/>
  <c r="D5" i="6" s="1"/>
  <c r="B5" i="6"/>
  <c r="A6" i="6"/>
  <c r="P11" i="6"/>
  <c r="P10" i="6"/>
  <c r="P8" i="6"/>
  <c r="P6" i="6"/>
  <c r="P9" i="6"/>
  <c r="P7" i="6"/>
  <c r="P5" i="6"/>
  <c r="P12" i="6"/>
  <c r="AJ7" i="6"/>
  <c r="AI7" i="6"/>
  <c r="AH7" i="6"/>
  <c r="AG7" i="6"/>
  <c r="AF7" i="6"/>
  <c r="AE7" i="6"/>
  <c r="L2" i="5"/>
  <c r="C7" i="1"/>
  <c r="E6" i="1"/>
  <c r="C6" i="1"/>
  <c r="A6" i="1"/>
  <c r="AJ5" i="6"/>
  <c r="AI5" i="6"/>
  <c r="AH5" i="6"/>
  <c r="AG5" i="6"/>
  <c r="AF5" i="6"/>
  <c r="AE5" i="6"/>
  <c r="AG10" i="6"/>
  <c r="AF10" i="6"/>
  <c r="AE10" i="6"/>
  <c r="AJ10" i="6"/>
  <c r="AI10" i="6"/>
  <c r="AH10" i="6"/>
  <c r="J6" i="6"/>
  <c r="K5" i="6"/>
  <c r="AJ9" i="6"/>
  <c r="B32" i="2" l="1"/>
  <c r="B33" i="2" s="1"/>
  <c r="C33" i="2" s="1"/>
  <c r="K2" i="5"/>
  <c r="K35" i="5"/>
  <c r="I11" i="1"/>
  <c r="J9" i="2" s="1"/>
  <c r="J10" i="2" s="1"/>
  <c r="H11" i="1"/>
  <c r="B11" i="1"/>
  <c r="E11" i="1"/>
  <c r="C11" i="1"/>
  <c r="Z6" i="6"/>
  <c r="G11" i="1"/>
  <c r="Y6" i="6"/>
  <c r="F11" i="1"/>
  <c r="X6" i="6"/>
  <c r="W6" i="6"/>
  <c r="D11" i="1"/>
  <c r="V6" i="6"/>
  <c r="U6" i="6"/>
  <c r="A11" i="1"/>
  <c r="I8" i="2" s="1"/>
  <c r="Y9" i="6"/>
  <c r="I14" i="1"/>
  <c r="N5" i="2" s="1"/>
  <c r="H14" i="1"/>
  <c r="G14" i="1"/>
  <c r="F14" i="1"/>
  <c r="E14" i="1"/>
  <c r="X9" i="6"/>
  <c r="B14" i="1"/>
  <c r="W9" i="6"/>
  <c r="V9" i="6"/>
  <c r="U9" i="6"/>
  <c r="D14" i="1"/>
  <c r="C14" i="1"/>
  <c r="A14" i="1"/>
  <c r="M4" i="2" s="1"/>
  <c r="Z9" i="6"/>
  <c r="C16" i="1"/>
  <c r="B16" i="1"/>
  <c r="A16" i="1"/>
  <c r="M12" i="2" s="1"/>
  <c r="H16" i="1"/>
  <c r="F16" i="1"/>
  <c r="Z11" i="6"/>
  <c r="Y11" i="6"/>
  <c r="I16" i="1"/>
  <c r="N13" i="2" s="1"/>
  <c r="N14" i="2" s="1"/>
  <c r="X11" i="6"/>
  <c r="W11" i="6"/>
  <c r="G16" i="1"/>
  <c r="V11" i="6"/>
  <c r="E16" i="1"/>
  <c r="U11" i="6"/>
  <c r="D16" i="1"/>
  <c r="A7" i="6"/>
  <c r="E6" i="6"/>
  <c r="C6" i="6"/>
  <c r="D6" i="6" s="1"/>
  <c r="B6" i="6"/>
  <c r="A5" i="7"/>
  <c r="G7" i="7"/>
  <c r="F13" i="1"/>
  <c r="E13" i="1"/>
  <c r="D13" i="1"/>
  <c r="C13" i="1"/>
  <c r="B13" i="1"/>
  <c r="A13" i="1"/>
  <c r="I16" i="2" s="1"/>
  <c r="H13" i="1"/>
  <c r="G13" i="1"/>
  <c r="I13" i="1"/>
  <c r="J17" i="2" s="1"/>
  <c r="Z8" i="6"/>
  <c r="Y8" i="6"/>
  <c r="X8" i="6"/>
  <c r="W8" i="6"/>
  <c r="V8" i="6"/>
  <c r="U8" i="6"/>
  <c r="H5" i="6"/>
  <c r="Y7" i="6"/>
  <c r="C12" i="1"/>
  <c r="B12" i="1"/>
  <c r="A12" i="1"/>
  <c r="I12" i="2" s="1"/>
  <c r="X7" i="6"/>
  <c r="H12" i="1"/>
  <c r="E12" i="1"/>
  <c r="D12" i="1"/>
  <c r="W7" i="6"/>
  <c r="V7" i="6"/>
  <c r="U7" i="6"/>
  <c r="F12" i="1"/>
  <c r="I12" i="1"/>
  <c r="J13" i="2" s="1"/>
  <c r="J14" i="2" s="1"/>
  <c r="G12" i="1"/>
  <c r="Z7" i="6"/>
  <c r="I15" i="1"/>
  <c r="N9" i="2" s="1"/>
  <c r="H15" i="1"/>
  <c r="B15" i="1"/>
  <c r="A15" i="1"/>
  <c r="M8" i="2" s="1"/>
  <c r="C15" i="1"/>
  <c r="Z10" i="6"/>
  <c r="G15" i="1"/>
  <c r="Y10" i="6"/>
  <c r="F15" i="1"/>
  <c r="X10" i="6"/>
  <c r="E15" i="1"/>
  <c r="W10" i="6"/>
  <c r="D15" i="1"/>
  <c r="V10" i="6"/>
  <c r="U10" i="6"/>
  <c r="K6" i="6"/>
  <c r="J7" i="6"/>
  <c r="Z12" i="6"/>
  <c r="F17" i="1"/>
  <c r="E17" i="1"/>
  <c r="D17" i="1"/>
  <c r="C17" i="1"/>
  <c r="B17" i="1"/>
  <c r="Y12" i="6"/>
  <c r="H17" i="1"/>
  <c r="G17" i="1"/>
  <c r="X12" i="6"/>
  <c r="W12" i="6"/>
  <c r="V12" i="6"/>
  <c r="I17" i="1"/>
  <c r="N17" i="2" s="1"/>
  <c r="U12" i="6"/>
  <c r="A17" i="1"/>
  <c r="M16" i="2" s="1"/>
  <c r="Y5" i="6"/>
  <c r="I10" i="1"/>
  <c r="J5" i="2" s="1"/>
  <c r="H10" i="1"/>
  <c r="G10" i="1"/>
  <c r="F10" i="1"/>
  <c r="E10" i="1"/>
  <c r="X5" i="6"/>
  <c r="B10" i="1"/>
  <c r="W5" i="6"/>
  <c r="V5" i="6"/>
  <c r="U5" i="6"/>
  <c r="D10" i="1"/>
  <c r="C10" i="1"/>
  <c r="A10" i="1"/>
  <c r="I4" i="2" s="1"/>
  <c r="Z5" i="6"/>
  <c r="J6" i="2" l="1"/>
  <c r="C7" i="6"/>
  <c r="D7" i="6" s="1"/>
  <c r="B7" i="6"/>
  <c r="A8" i="6"/>
  <c r="O18" i="2"/>
  <c r="O17" i="2"/>
  <c r="O14" i="2"/>
  <c r="O13" i="2"/>
  <c r="K6" i="2"/>
  <c r="K5" i="2"/>
  <c r="K17" i="2"/>
  <c r="N18" i="2"/>
  <c r="J8" i="6"/>
  <c r="K7" i="6"/>
  <c r="N6" i="2"/>
  <c r="K14" i="2"/>
  <c r="K13" i="2"/>
  <c r="O5" i="2"/>
  <c r="O6" i="2"/>
  <c r="J18" i="2"/>
  <c r="K18" i="2" s="1"/>
  <c r="O9" i="2"/>
  <c r="N10" i="2"/>
  <c r="O10" i="2" s="1"/>
  <c r="F6" i="6"/>
  <c r="H6" i="6" s="1"/>
  <c r="K10" i="2"/>
  <c r="K9" i="2"/>
  <c r="G6" i="6" l="1"/>
  <c r="E7" i="6" s="1"/>
  <c r="K8" i="6"/>
  <c r="J9" i="6"/>
  <c r="A9" i="6"/>
  <c r="C8" i="6"/>
  <c r="D8" i="6" s="1"/>
  <c r="B8" i="6"/>
  <c r="F7" i="6"/>
  <c r="G7" i="6" s="1"/>
  <c r="E8" i="6" s="1"/>
  <c r="J10" i="6" l="1"/>
  <c r="K9" i="6"/>
  <c r="H7" i="6"/>
  <c r="F8" i="6"/>
  <c r="G8" i="6" s="1"/>
  <c r="E9" i="6" s="1"/>
  <c r="C9" i="6"/>
  <c r="D9" i="6" s="1"/>
  <c r="B9" i="6"/>
  <c r="A10" i="6"/>
  <c r="C10" i="6" l="1"/>
  <c r="D10" i="6" s="1"/>
  <c r="B10" i="6"/>
  <c r="A11" i="6"/>
  <c r="H8" i="6"/>
  <c r="F9" i="6" s="1"/>
  <c r="K10" i="6"/>
  <c r="J11" i="6"/>
  <c r="G9" i="6" l="1"/>
  <c r="E10" i="6" s="1"/>
  <c r="H9" i="6"/>
  <c r="K11" i="6"/>
  <c r="J12" i="6"/>
  <c r="A12" i="6"/>
  <c r="C11" i="6"/>
  <c r="D11" i="6" s="1"/>
  <c r="B11" i="6"/>
  <c r="F10" i="6"/>
  <c r="H10" i="6" s="1"/>
  <c r="A13" i="6" l="1"/>
  <c r="C12" i="6"/>
  <c r="D12" i="6" s="1"/>
  <c r="B12" i="6"/>
  <c r="J13" i="6"/>
  <c r="K12" i="6"/>
  <c r="G10" i="6"/>
  <c r="E11" i="6" s="1"/>
  <c r="K13" i="6" l="1"/>
  <c r="J14" i="6"/>
  <c r="B13" i="6"/>
  <c r="A14" i="6"/>
  <c r="C13" i="6"/>
  <c r="D13" i="6" s="1"/>
  <c r="F11" i="6"/>
  <c r="H11" i="6" s="1"/>
  <c r="C14" i="6" l="1"/>
  <c r="D14" i="6" s="1"/>
  <c r="B14" i="6"/>
  <c r="A15" i="6"/>
  <c r="K14" i="6"/>
  <c r="J15" i="6"/>
  <c r="G11" i="6"/>
  <c r="E12" i="6" s="1"/>
  <c r="J16" i="6" l="1"/>
  <c r="K15" i="6"/>
  <c r="C15" i="6"/>
  <c r="D15" i="6" s="1"/>
  <c r="B15" i="6"/>
  <c r="A16" i="6"/>
  <c r="F12" i="6"/>
  <c r="H12" i="6" s="1"/>
  <c r="A17" i="6" l="1"/>
  <c r="C16" i="6"/>
  <c r="D16" i="6" s="1"/>
  <c r="B16" i="6"/>
  <c r="G12" i="6"/>
  <c r="E13" i="6" s="1"/>
  <c r="K16" i="6"/>
  <c r="J17" i="6"/>
  <c r="J18" i="6" l="1"/>
  <c r="K17" i="6"/>
  <c r="B17" i="6"/>
  <c r="C17" i="6"/>
  <c r="D17" i="6" s="1"/>
  <c r="A18" i="6"/>
  <c r="F13" i="6"/>
  <c r="H13" i="6" s="1"/>
  <c r="A19" i="6" l="1"/>
  <c r="C18" i="6"/>
  <c r="D18" i="6" s="1"/>
  <c r="B18" i="6"/>
  <c r="G13" i="6"/>
  <c r="E14" i="6" s="1"/>
  <c r="K18" i="6"/>
  <c r="J19" i="6"/>
  <c r="K19" i="6" l="1"/>
  <c r="J20" i="6"/>
  <c r="C19" i="6"/>
  <c r="D19" i="6" s="1"/>
  <c r="E19" i="6"/>
  <c r="B19" i="6"/>
  <c r="A20" i="6"/>
  <c r="F14" i="6"/>
  <c r="H14" i="6" s="1"/>
  <c r="A21" i="6" l="1"/>
  <c r="B20" i="6"/>
  <c r="C20" i="6"/>
  <c r="D20" i="6" s="1"/>
  <c r="G14" i="6"/>
  <c r="E15" i="6" s="1"/>
  <c r="K20" i="6"/>
  <c r="J21" i="6"/>
  <c r="J22" i="6" l="1"/>
  <c r="K21" i="6"/>
  <c r="F15" i="6"/>
  <c r="H15" i="6" s="1"/>
  <c r="A22" i="6"/>
  <c r="C21" i="6"/>
  <c r="D21" i="6" s="1"/>
  <c r="B21" i="6"/>
  <c r="A23" i="6" l="1"/>
  <c r="C22" i="6"/>
  <c r="D22" i="6" s="1"/>
  <c r="B22" i="6"/>
  <c r="G15" i="6"/>
  <c r="E16" i="6" s="1"/>
  <c r="K22" i="6"/>
  <c r="J23" i="6"/>
  <c r="K23" i="6" l="1"/>
  <c r="J24" i="6"/>
  <c r="F16" i="6"/>
  <c r="H16" i="6" s="1"/>
  <c r="A24" i="6"/>
  <c r="C23" i="6"/>
  <c r="D23" i="6" s="1"/>
  <c r="B23" i="6"/>
  <c r="A25" i="6" l="1"/>
  <c r="C24" i="6"/>
  <c r="D24" i="6" s="1"/>
  <c r="B24" i="6"/>
  <c r="G16" i="6"/>
  <c r="E17" i="6" s="1"/>
  <c r="J25" i="6"/>
  <c r="K24" i="6"/>
  <c r="K25" i="6" l="1"/>
  <c r="J26" i="6"/>
  <c r="F17" i="6"/>
  <c r="H17" i="6" s="1"/>
  <c r="A26" i="6"/>
  <c r="B25" i="6"/>
  <c r="C25" i="6"/>
  <c r="D25" i="6" s="1"/>
  <c r="G17" i="6" l="1"/>
  <c r="E18" i="6" s="1"/>
  <c r="C26" i="6"/>
  <c r="D26" i="6" s="1"/>
  <c r="B26" i="6"/>
  <c r="A27" i="6"/>
  <c r="K26" i="6"/>
  <c r="J27" i="6"/>
  <c r="J28" i="6" l="1"/>
  <c r="K27" i="6"/>
  <c r="F18" i="6"/>
  <c r="H18" i="6" s="1"/>
  <c r="F19" i="6" s="1"/>
  <c r="B27" i="6"/>
  <c r="A28" i="6"/>
  <c r="C27" i="6"/>
  <c r="D27" i="6" s="1"/>
  <c r="G19" i="6" l="1"/>
  <c r="E20" i="6" s="1"/>
  <c r="H19" i="6"/>
  <c r="F20" i="6" s="1"/>
  <c r="H20" i="6" s="1"/>
  <c r="A29" i="6"/>
  <c r="C28" i="6"/>
  <c r="D28" i="6" s="1"/>
  <c r="B28" i="6"/>
  <c r="G18" i="6"/>
  <c r="J29" i="6"/>
  <c r="K28" i="6"/>
  <c r="J30" i="6" l="1"/>
  <c r="K29" i="6"/>
  <c r="C29" i="6"/>
  <c r="D29" i="6" s="1"/>
  <c r="A30" i="6"/>
  <c r="B29" i="6"/>
  <c r="G20" i="6"/>
  <c r="E21" i="6" s="1"/>
  <c r="F21" i="6" l="1"/>
  <c r="H21" i="6" s="1"/>
  <c r="C30" i="6"/>
  <c r="D30" i="6" s="1"/>
  <c r="B30" i="6"/>
  <c r="A31" i="6"/>
  <c r="J31" i="6"/>
  <c r="K30" i="6"/>
  <c r="K31" i="6" l="1"/>
  <c r="J32" i="6"/>
  <c r="C31" i="6"/>
  <c r="D31" i="6" s="1"/>
  <c r="B31" i="6"/>
  <c r="A32" i="6"/>
  <c r="G21" i="6"/>
  <c r="E22" i="6" s="1"/>
  <c r="F22" i="6" l="1"/>
  <c r="H22" i="6" s="1"/>
  <c r="A33" i="6"/>
  <c r="C32" i="6"/>
  <c r="D32" i="6" s="1"/>
  <c r="B32" i="6"/>
  <c r="J33" i="6"/>
  <c r="K32" i="6"/>
  <c r="J34" i="6" l="1"/>
  <c r="K34" i="6" s="1"/>
  <c r="K33" i="6"/>
  <c r="A34" i="6"/>
  <c r="C33" i="6"/>
  <c r="D33" i="6" s="1"/>
  <c r="B33" i="6"/>
  <c r="G22" i="6"/>
  <c r="E23" i="6" s="1"/>
  <c r="S11" i="6" l="1"/>
  <c r="F23" i="6"/>
  <c r="H23" i="6" s="1"/>
  <c r="A35" i="6"/>
  <c r="C34" i="6"/>
  <c r="D34" i="6" s="1"/>
  <c r="B34" i="6"/>
  <c r="G5" i="1"/>
  <c r="N2" i="5"/>
  <c r="A36" i="6" l="1"/>
  <c r="C35" i="6"/>
  <c r="D35" i="6" s="1"/>
  <c r="B35" i="6"/>
  <c r="G23" i="6"/>
  <c r="E24" i="6" s="1"/>
  <c r="F24" i="6" s="1"/>
  <c r="H24" i="6" s="1"/>
  <c r="G24" i="6" l="1"/>
  <c r="E25" i="6" s="1"/>
  <c r="A37" i="6"/>
  <c r="C36" i="6"/>
  <c r="D36" i="6" s="1"/>
  <c r="B36" i="6"/>
  <c r="C37" i="6" l="1"/>
  <c r="D37" i="6" s="1"/>
  <c r="A38" i="6"/>
  <c r="B37" i="6"/>
  <c r="F25" i="6"/>
  <c r="H25" i="6" s="1"/>
  <c r="B38" i="6" l="1"/>
  <c r="A39" i="6"/>
  <c r="C38" i="6"/>
  <c r="D38" i="6" s="1"/>
  <c r="G25" i="6"/>
  <c r="E26" i="6" s="1"/>
  <c r="C39" i="6" l="1"/>
  <c r="D39" i="6" s="1"/>
  <c r="B39" i="6"/>
  <c r="A40" i="6"/>
  <c r="F26" i="6"/>
  <c r="H26" i="6" s="1"/>
  <c r="C40" i="6" l="1"/>
  <c r="D40" i="6" s="1"/>
  <c r="B40" i="6"/>
  <c r="A41" i="6"/>
  <c r="G26" i="6"/>
  <c r="E27" i="6" s="1"/>
  <c r="F27" i="6" l="1"/>
  <c r="H27" i="6" s="1"/>
  <c r="B41" i="6"/>
  <c r="A42" i="6"/>
  <c r="C41" i="6"/>
  <c r="D41" i="6" s="1"/>
  <c r="C42" i="6" l="1"/>
  <c r="D42" i="6" s="1"/>
  <c r="B42" i="6"/>
  <c r="A43" i="6"/>
  <c r="G27" i="6"/>
  <c r="E28" i="6" s="1"/>
  <c r="C43" i="6" l="1"/>
  <c r="D43" i="6" s="1"/>
  <c r="B43" i="6"/>
  <c r="A44" i="6"/>
  <c r="F28" i="6"/>
  <c r="H28" i="6" s="1"/>
  <c r="G28" i="6" l="1"/>
  <c r="E29" i="6" s="1"/>
  <c r="F29" i="6" s="1"/>
  <c r="H29" i="6" s="1"/>
  <c r="B44" i="6"/>
  <c r="A45" i="6"/>
  <c r="C44" i="6"/>
  <c r="D44" i="6" s="1"/>
  <c r="C45" i="6" l="1"/>
  <c r="D45" i="6" s="1"/>
  <c r="B45" i="6"/>
  <c r="A46" i="6"/>
  <c r="G29" i="6"/>
  <c r="E30" i="6" s="1"/>
  <c r="F30" i="6" l="1"/>
  <c r="H30" i="6" s="1"/>
  <c r="C46" i="6"/>
  <c r="D46" i="6" s="1"/>
  <c r="B46" i="6"/>
  <c r="A47" i="6"/>
  <c r="B47" i="6" l="1"/>
  <c r="A48" i="6"/>
  <c r="C47" i="6"/>
  <c r="D47" i="6" s="1"/>
  <c r="G30" i="6"/>
  <c r="E31" i="6" s="1"/>
  <c r="F31" i="6" s="1"/>
  <c r="H31" i="6" s="1"/>
  <c r="C48" i="6" l="1"/>
  <c r="D48" i="6" s="1"/>
  <c r="B48" i="6"/>
  <c r="A49" i="6"/>
  <c r="G31" i="6"/>
  <c r="E32" i="6" s="1"/>
  <c r="C49" i="6" l="1"/>
  <c r="D49" i="6" s="1"/>
  <c r="B49" i="6"/>
  <c r="A50" i="6"/>
  <c r="E49" i="6"/>
  <c r="F32" i="6"/>
  <c r="H32" i="6" s="1"/>
  <c r="B50" i="6" l="1"/>
  <c r="A51" i="6"/>
  <c r="C50" i="6"/>
  <c r="D50" i="6" s="1"/>
  <c r="G32" i="6"/>
  <c r="E33" i="6" s="1"/>
  <c r="F33" i="6" l="1"/>
  <c r="H33" i="6" s="1"/>
  <c r="C51" i="6"/>
  <c r="D51" i="6" s="1"/>
  <c r="B51" i="6"/>
  <c r="A52" i="6"/>
  <c r="C52" i="6" l="1"/>
  <c r="D52" i="6" s="1"/>
  <c r="B52" i="6"/>
  <c r="A53" i="6"/>
  <c r="G33" i="6"/>
  <c r="E34" i="6" s="1"/>
  <c r="F34" i="6" l="1"/>
  <c r="H34" i="6" s="1"/>
  <c r="B53" i="6"/>
  <c r="A54" i="6"/>
  <c r="C53" i="6"/>
  <c r="D53" i="6" s="1"/>
  <c r="C54" i="6" l="1"/>
  <c r="D54" i="6" s="1"/>
  <c r="B54" i="6"/>
  <c r="A55" i="6"/>
  <c r="G34" i="6"/>
  <c r="E35" i="6" s="1"/>
  <c r="C55" i="6" l="1"/>
  <c r="D55" i="6" s="1"/>
  <c r="B55" i="6"/>
  <c r="A56" i="6"/>
  <c r="F35" i="6"/>
  <c r="H35" i="6" s="1"/>
  <c r="B56" i="6" l="1"/>
  <c r="A57" i="6"/>
  <c r="C56" i="6"/>
  <c r="D56" i="6" s="1"/>
  <c r="G35" i="6"/>
  <c r="E36" i="6" s="1"/>
  <c r="C57" i="6" l="1"/>
  <c r="D57" i="6" s="1"/>
  <c r="B57" i="6"/>
  <c r="A58" i="6"/>
  <c r="F36" i="6"/>
  <c r="H36" i="6" s="1"/>
  <c r="G36" i="6" l="1"/>
  <c r="E37" i="6" s="1"/>
  <c r="F37" i="6" s="1"/>
  <c r="H37" i="6" s="1"/>
  <c r="C58" i="6"/>
  <c r="D58" i="6" s="1"/>
  <c r="B58" i="6"/>
  <c r="A59" i="6"/>
  <c r="B59" i="6" l="1"/>
  <c r="A60" i="6"/>
  <c r="C59" i="6"/>
  <c r="D59" i="6" s="1"/>
  <c r="G37" i="6"/>
  <c r="E38" i="6" s="1"/>
  <c r="C60" i="6" l="1"/>
  <c r="D60" i="6" s="1"/>
  <c r="B60" i="6"/>
  <c r="A61" i="6"/>
  <c r="F38" i="6"/>
  <c r="H38" i="6" s="1"/>
  <c r="C61" i="6" l="1"/>
  <c r="D61" i="6" s="1"/>
  <c r="B61" i="6"/>
  <c r="A62" i="6"/>
  <c r="G38" i="6"/>
  <c r="E39" i="6" s="1"/>
  <c r="B62" i="6" l="1"/>
  <c r="A63" i="6"/>
  <c r="C62" i="6"/>
  <c r="D62" i="6" s="1"/>
  <c r="F39" i="6"/>
  <c r="H39" i="6" s="1"/>
  <c r="C63" i="6" l="1"/>
  <c r="D63" i="6" s="1"/>
  <c r="B63" i="6"/>
  <c r="A64" i="6"/>
  <c r="G39" i="6"/>
  <c r="E40" i="6" s="1"/>
  <c r="C64" i="6" l="1"/>
  <c r="D64" i="6" s="1"/>
  <c r="B64" i="6"/>
  <c r="A65" i="6"/>
  <c r="F40" i="6"/>
  <c r="H40" i="6" s="1"/>
  <c r="G40" i="6" l="1"/>
  <c r="E41" i="6" s="1"/>
  <c r="B65" i="6"/>
  <c r="A66" i="6"/>
  <c r="C65" i="6"/>
  <c r="D65" i="6" s="1"/>
  <c r="C66" i="6" l="1"/>
  <c r="D66" i="6" s="1"/>
  <c r="B66" i="6"/>
  <c r="A67" i="6"/>
  <c r="F41" i="6"/>
  <c r="H41" i="6" s="1"/>
  <c r="G41" i="6" l="1"/>
  <c r="E42" i="6" s="1"/>
  <c r="F42" i="6" s="1"/>
  <c r="H42" i="6" s="1"/>
  <c r="C67" i="6"/>
  <c r="D67" i="6" s="1"/>
  <c r="B67" i="6"/>
  <c r="A68" i="6"/>
  <c r="B68" i="6" l="1"/>
  <c r="A69" i="6"/>
  <c r="C68" i="6"/>
  <c r="D68" i="6" s="1"/>
  <c r="G42" i="6"/>
  <c r="E43" i="6" s="1"/>
  <c r="C69" i="6" l="1"/>
  <c r="D69" i="6" s="1"/>
  <c r="B69" i="6"/>
  <c r="A70" i="6"/>
  <c r="F43" i="6"/>
  <c r="H43" i="6" s="1"/>
  <c r="C70" i="6" l="1"/>
  <c r="D70" i="6" s="1"/>
  <c r="B70" i="6"/>
  <c r="A71" i="6"/>
  <c r="G43" i="6"/>
  <c r="E44" i="6" s="1"/>
  <c r="B71" i="6" l="1"/>
  <c r="A72" i="6"/>
  <c r="C71" i="6"/>
  <c r="D71" i="6" s="1"/>
  <c r="F44" i="6"/>
  <c r="H44" i="6" s="1"/>
  <c r="C72" i="6" l="1"/>
  <c r="D72" i="6" s="1"/>
  <c r="B72" i="6"/>
  <c r="A73" i="6"/>
  <c r="G44" i="6"/>
  <c r="E45" i="6" s="1"/>
  <c r="C73" i="6" l="1"/>
  <c r="D73" i="6" s="1"/>
  <c r="B73" i="6"/>
  <c r="A74" i="6"/>
  <c r="F45" i="6"/>
  <c r="H45" i="6" s="1"/>
  <c r="A75" i="6" l="1"/>
  <c r="B74" i="6"/>
  <c r="C74" i="6"/>
  <c r="D74" i="6" s="1"/>
  <c r="G45" i="6"/>
  <c r="E46" i="6" s="1"/>
  <c r="C75" i="6" l="1"/>
  <c r="D75" i="6" s="1"/>
  <c r="B75" i="6"/>
  <c r="A76" i="6"/>
  <c r="F46" i="6"/>
  <c r="H46" i="6" s="1"/>
  <c r="C76" i="6" l="1"/>
  <c r="D76" i="6" s="1"/>
  <c r="B76" i="6"/>
  <c r="A77" i="6"/>
  <c r="G46" i="6"/>
  <c r="E47" i="6" s="1"/>
  <c r="A78" i="6" l="1"/>
  <c r="B77" i="6"/>
  <c r="C77" i="6"/>
  <c r="D77" i="6" s="1"/>
  <c r="F47" i="6"/>
  <c r="H47" i="6" s="1"/>
  <c r="A79" i="6" l="1"/>
  <c r="C78" i="6"/>
  <c r="D78" i="6" s="1"/>
  <c r="B78" i="6"/>
  <c r="G47" i="6"/>
  <c r="E48" i="6" s="1"/>
  <c r="A80" i="6" l="1"/>
  <c r="C79" i="6"/>
  <c r="D79" i="6" s="1"/>
  <c r="B79" i="6"/>
  <c r="F48" i="6"/>
  <c r="H48" i="6" s="1"/>
  <c r="F49" i="6" s="1"/>
  <c r="G48" i="6" l="1"/>
  <c r="G49" i="6"/>
  <c r="E50" i="6" s="1"/>
  <c r="H49" i="6"/>
  <c r="E80" i="6"/>
  <c r="C80" i="6"/>
  <c r="D80" i="6" s="1"/>
  <c r="B80" i="6"/>
  <c r="A81" i="6"/>
  <c r="A82" i="6" l="1"/>
  <c r="C81" i="6"/>
  <c r="D81" i="6" s="1"/>
  <c r="B81" i="6"/>
  <c r="F50" i="6"/>
  <c r="H50" i="6" s="1"/>
  <c r="G50" i="6" l="1"/>
  <c r="E51" i="6" s="1"/>
  <c r="F51" i="6" s="1"/>
  <c r="H51" i="6" s="1"/>
  <c r="C82" i="6"/>
  <c r="D82" i="6" s="1"/>
  <c r="B82" i="6"/>
  <c r="A83" i="6"/>
  <c r="A84" i="6" l="1"/>
  <c r="C83" i="6"/>
  <c r="D83" i="6" s="1"/>
  <c r="B83" i="6"/>
  <c r="G51" i="6"/>
  <c r="E52" i="6" s="1"/>
  <c r="A85" i="6" l="1"/>
  <c r="C84" i="6"/>
  <c r="D84" i="6" s="1"/>
  <c r="B84" i="6"/>
  <c r="F52" i="6"/>
  <c r="H52" i="6" s="1"/>
  <c r="G52" i="6" l="1"/>
  <c r="E53" i="6" s="1"/>
  <c r="B85" i="6"/>
  <c r="A86" i="6"/>
  <c r="C85" i="6"/>
  <c r="D85" i="6" s="1"/>
  <c r="A87" i="6" l="1"/>
  <c r="C86" i="6"/>
  <c r="D86" i="6" s="1"/>
  <c r="B86" i="6"/>
  <c r="F53" i="6"/>
  <c r="H53" i="6" s="1"/>
  <c r="G53" i="6" l="1"/>
  <c r="E54" i="6" s="1"/>
  <c r="A88" i="6"/>
  <c r="C87" i="6"/>
  <c r="D87" i="6" s="1"/>
  <c r="B87" i="6"/>
  <c r="A89" i="6" l="1"/>
  <c r="C88" i="6"/>
  <c r="D88" i="6" s="1"/>
  <c r="B88" i="6"/>
  <c r="F54" i="6"/>
  <c r="H54" i="6" s="1"/>
  <c r="G54" i="6" l="1"/>
  <c r="E55" i="6" s="1"/>
  <c r="F55" i="6" s="1"/>
  <c r="H55" i="6" s="1"/>
  <c r="C89" i="6"/>
  <c r="D89" i="6" s="1"/>
  <c r="B89" i="6"/>
  <c r="A90" i="6"/>
  <c r="A91" i="6" l="1"/>
  <c r="C90" i="6"/>
  <c r="D90" i="6" s="1"/>
  <c r="B90" i="6"/>
  <c r="G55" i="6"/>
  <c r="E56" i="6" s="1"/>
  <c r="C91" i="6" l="1"/>
  <c r="D91" i="6" s="1"/>
  <c r="B91" i="6"/>
  <c r="A92" i="6"/>
  <c r="F56" i="6"/>
  <c r="H56" i="6" s="1"/>
  <c r="A93" i="6" l="1"/>
  <c r="C92" i="6"/>
  <c r="D92" i="6" s="1"/>
  <c r="B92" i="6"/>
  <c r="G56" i="6"/>
  <c r="E57" i="6" s="1"/>
  <c r="F57" i="6" s="1"/>
  <c r="H57" i="6" s="1"/>
  <c r="A94" i="6" l="1"/>
  <c r="C93" i="6"/>
  <c r="D93" i="6" s="1"/>
  <c r="B93" i="6"/>
  <c r="G57" i="6"/>
  <c r="E58" i="6" s="1"/>
  <c r="B94" i="6" l="1"/>
  <c r="A95" i="6"/>
  <c r="C94" i="6"/>
  <c r="D94" i="6" s="1"/>
  <c r="F58" i="6"/>
  <c r="H58" i="6" s="1"/>
  <c r="A96" i="6" l="1"/>
  <c r="C95" i="6"/>
  <c r="D95" i="6" s="1"/>
  <c r="B95" i="6"/>
  <c r="G58" i="6"/>
  <c r="E59" i="6" s="1"/>
  <c r="A97" i="6" l="1"/>
  <c r="C96" i="6"/>
  <c r="D96" i="6" s="1"/>
  <c r="B96" i="6"/>
  <c r="F59" i="6"/>
  <c r="H59" i="6" s="1"/>
  <c r="A98" i="6" l="1"/>
  <c r="C97" i="6"/>
  <c r="D97" i="6" s="1"/>
  <c r="B97" i="6"/>
  <c r="G59" i="6"/>
  <c r="E60" i="6" s="1"/>
  <c r="C98" i="6" l="1"/>
  <c r="D98" i="6" s="1"/>
  <c r="B98" i="6"/>
  <c r="A99" i="6"/>
  <c r="F60" i="6"/>
  <c r="H60" i="6" s="1"/>
  <c r="A100" i="6" l="1"/>
  <c r="C99" i="6"/>
  <c r="D99" i="6" s="1"/>
  <c r="B99" i="6"/>
  <c r="G60" i="6"/>
  <c r="E61" i="6" s="1"/>
  <c r="F61" i="6" l="1"/>
  <c r="H61" i="6" s="1"/>
  <c r="A101" i="6"/>
  <c r="C100" i="6"/>
  <c r="D100" i="6" s="1"/>
  <c r="B100" i="6"/>
  <c r="C101" i="6" l="1"/>
  <c r="D101" i="6" s="1"/>
  <c r="A102" i="6"/>
  <c r="B101" i="6"/>
  <c r="G61" i="6"/>
  <c r="E62" i="6" s="1"/>
  <c r="F62" i="6" s="1"/>
  <c r="H62" i="6" s="1"/>
  <c r="G62" i="6" l="1"/>
  <c r="E63" i="6" s="1"/>
  <c r="A103" i="6"/>
  <c r="C102" i="6"/>
  <c r="D102" i="6" s="1"/>
  <c r="B102" i="6"/>
  <c r="C103" i="6" l="1"/>
  <c r="D103" i="6" s="1"/>
  <c r="B103" i="6"/>
  <c r="A104" i="6"/>
  <c r="F63" i="6"/>
  <c r="H63" i="6" s="1"/>
  <c r="G63" i="6" l="1"/>
  <c r="E64" i="6" s="1"/>
  <c r="C104" i="6"/>
  <c r="D104" i="6" s="1"/>
  <c r="A105" i="6"/>
  <c r="B104" i="6"/>
  <c r="A106" i="6" l="1"/>
  <c r="C105" i="6"/>
  <c r="D105" i="6" s="1"/>
  <c r="B105" i="6"/>
  <c r="F64" i="6"/>
  <c r="H64" i="6" s="1"/>
  <c r="G64" i="6" l="1"/>
  <c r="E65" i="6" s="1"/>
  <c r="C106" i="6"/>
  <c r="D106" i="6" s="1"/>
  <c r="B106" i="6"/>
  <c r="A107" i="6"/>
  <c r="C107" i="6" l="1"/>
  <c r="D107" i="6" s="1"/>
  <c r="A108" i="6"/>
  <c r="B107" i="6"/>
  <c r="F65" i="6"/>
  <c r="H65" i="6" s="1"/>
  <c r="G65" i="6" l="1"/>
  <c r="E66" i="6" s="1"/>
  <c r="A109" i="6"/>
  <c r="C108" i="6"/>
  <c r="D108" i="6" s="1"/>
  <c r="B108" i="6"/>
  <c r="A110" i="6" l="1"/>
  <c r="B109" i="6"/>
  <c r="C109" i="6"/>
  <c r="D109" i="6" s="1"/>
  <c r="F66" i="6"/>
  <c r="H66" i="6" s="1"/>
  <c r="G66" i="6" l="1"/>
  <c r="E67" i="6" s="1"/>
  <c r="F67" i="6"/>
  <c r="H67" i="6" s="1"/>
  <c r="C110" i="6"/>
  <c r="D110" i="6" s="1"/>
  <c r="B110" i="6"/>
  <c r="A111" i="6"/>
  <c r="A112" i="6" l="1"/>
  <c r="E111" i="6"/>
  <c r="C111" i="6"/>
  <c r="D111" i="6" s="1"/>
  <c r="B111" i="6"/>
  <c r="G67" i="6"/>
  <c r="E68" i="6" s="1"/>
  <c r="F68" i="6" l="1"/>
  <c r="H68" i="6" s="1"/>
  <c r="A113" i="6"/>
  <c r="C112" i="6"/>
  <c r="D112" i="6" s="1"/>
  <c r="B112" i="6"/>
  <c r="C113" i="6" l="1"/>
  <c r="D113" i="6" s="1"/>
  <c r="B113" i="6"/>
  <c r="A114" i="6"/>
  <c r="G68" i="6"/>
  <c r="E69" i="6" s="1"/>
  <c r="F69" i="6" l="1"/>
  <c r="H69" i="6" s="1"/>
  <c r="A115" i="6"/>
  <c r="C114" i="6"/>
  <c r="D114" i="6" s="1"/>
  <c r="B114" i="6"/>
  <c r="A116" i="6" l="1"/>
  <c r="C115" i="6"/>
  <c r="D115" i="6" s="1"/>
  <c r="B115" i="6"/>
  <c r="G69" i="6"/>
  <c r="E70" i="6" s="1"/>
  <c r="F70" i="6" l="1"/>
  <c r="H70" i="6" s="1"/>
  <c r="C116" i="6"/>
  <c r="D116" i="6" s="1"/>
  <c r="B116" i="6"/>
  <c r="A117" i="6"/>
  <c r="A118" i="6" l="1"/>
  <c r="C117" i="6"/>
  <c r="D117" i="6" s="1"/>
  <c r="B117" i="6"/>
  <c r="G70" i="6"/>
  <c r="E71" i="6" s="1"/>
  <c r="F71" i="6" s="1"/>
  <c r="H71" i="6" s="1"/>
  <c r="G71" i="6" l="1"/>
  <c r="E72" i="6" s="1"/>
  <c r="A119" i="6"/>
  <c r="C118" i="6"/>
  <c r="D118" i="6" s="1"/>
  <c r="B118" i="6"/>
  <c r="C119" i="6" l="1"/>
  <c r="D119" i="6" s="1"/>
  <c r="B119" i="6"/>
  <c r="A120" i="6"/>
  <c r="F72" i="6"/>
  <c r="H72" i="6" s="1"/>
  <c r="G72" i="6" l="1"/>
  <c r="E73" i="6" s="1"/>
  <c r="F73" i="6" s="1"/>
  <c r="H73" i="6" s="1"/>
  <c r="A121" i="6"/>
  <c r="C120" i="6"/>
  <c r="D120" i="6" s="1"/>
  <c r="B120" i="6"/>
  <c r="A122" i="6" l="1"/>
  <c r="C121" i="6"/>
  <c r="D121" i="6" s="1"/>
  <c r="B121" i="6"/>
  <c r="G73" i="6"/>
  <c r="E74" i="6" s="1"/>
  <c r="F74" i="6" l="1"/>
  <c r="H74" i="6" s="1"/>
  <c r="C122" i="6"/>
  <c r="D122" i="6" s="1"/>
  <c r="B122" i="6"/>
  <c r="A123" i="6"/>
  <c r="A124" i="6" l="1"/>
  <c r="B123" i="6"/>
  <c r="C123" i="6"/>
  <c r="D123" i="6" s="1"/>
  <c r="G74" i="6"/>
  <c r="E75" i="6" s="1"/>
  <c r="F75" i="6" s="1"/>
  <c r="H75" i="6" s="1"/>
  <c r="G75" i="6" l="1"/>
  <c r="E76" i="6" s="1"/>
  <c r="C124" i="6"/>
  <c r="D124" i="6" s="1"/>
  <c r="B124" i="6"/>
  <c r="A125" i="6"/>
  <c r="C125" i="6" l="1"/>
  <c r="D125" i="6" s="1"/>
  <c r="B125" i="6"/>
  <c r="A126" i="6"/>
  <c r="F76" i="6"/>
  <c r="H76" i="6" s="1"/>
  <c r="A127" i="6" l="1"/>
  <c r="C126" i="6"/>
  <c r="D126" i="6" s="1"/>
  <c r="B126" i="6"/>
  <c r="G76" i="6"/>
  <c r="E77" i="6" s="1"/>
  <c r="F77" i="6" s="1"/>
  <c r="H77" i="6" s="1"/>
  <c r="G77" i="6" l="1"/>
  <c r="E78" i="6" s="1"/>
  <c r="C127" i="6"/>
  <c r="D127" i="6" s="1"/>
  <c r="B127" i="6"/>
  <c r="A128" i="6"/>
  <c r="A129" i="6" l="1"/>
  <c r="C128" i="6"/>
  <c r="D128" i="6" s="1"/>
  <c r="B128" i="6"/>
  <c r="F78" i="6"/>
  <c r="H78" i="6" s="1"/>
  <c r="G78" i="6" l="1"/>
  <c r="E79" i="6" s="1"/>
  <c r="A130" i="6"/>
  <c r="B129" i="6"/>
  <c r="C129" i="6"/>
  <c r="D129" i="6" s="1"/>
  <c r="C130" i="6" l="1"/>
  <c r="D130" i="6" s="1"/>
  <c r="B130" i="6"/>
  <c r="A131" i="6"/>
  <c r="F79" i="6"/>
  <c r="H79" i="6" s="1"/>
  <c r="F80" i="6" s="1"/>
  <c r="G79" i="6" l="1"/>
  <c r="A132" i="6"/>
  <c r="B131" i="6"/>
  <c r="C131" i="6"/>
  <c r="D131" i="6" s="1"/>
  <c r="H80" i="6"/>
  <c r="G80" i="6"/>
  <c r="E81" i="6" s="1"/>
  <c r="F81" i="6" l="1"/>
  <c r="H81" i="6" s="1"/>
  <c r="A133" i="6"/>
  <c r="C132" i="6"/>
  <c r="D132" i="6" s="1"/>
  <c r="B132" i="6"/>
  <c r="A134" i="6" l="1"/>
  <c r="C133" i="6"/>
  <c r="D133" i="6" s="1"/>
  <c r="B133" i="6"/>
  <c r="G81" i="6"/>
  <c r="E82" i="6" s="1"/>
  <c r="F82" i="6" l="1"/>
  <c r="H82" i="6" s="1"/>
  <c r="A135" i="6"/>
  <c r="C134" i="6"/>
  <c r="D134" i="6" s="1"/>
  <c r="B134" i="6"/>
  <c r="A136" i="6" l="1"/>
  <c r="C135" i="6"/>
  <c r="D135" i="6" s="1"/>
  <c r="B135" i="6"/>
  <c r="G82" i="6"/>
  <c r="E83" i="6" s="1"/>
  <c r="F83" i="6" l="1"/>
  <c r="H83" i="6" s="1"/>
  <c r="A137" i="6"/>
  <c r="B136" i="6"/>
  <c r="C136" i="6"/>
  <c r="D136" i="6" s="1"/>
  <c r="C137" i="6" l="1"/>
  <c r="D137" i="6" s="1"/>
  <c r="B137" i="6"/>
  <c r="A138" i="6"/>
  <c r="G83" i="6"/>
  <c r="E84" i="6" s="1"/>
  <c r="F84" i="6" s="1"/>
  <c r="H84" i="6" s="1"/>
  <c r="G84" i="6" l="1"/>
  <c r="E85" i="6" s="1"/>
  <c r="A139" i="6"/>
  <c r="C138" i="6"/>
  <c r="D138" i="6" s="1"/>
  <c r="B138" i="6"/>
  <c r="A140" i="6" l="1"/>
  <c r="C139" i="6"/>
  <c r="D139" i="6" s="1"/>
  <c r="B139" i="6"/>
  <c r="E139" i="6"/>
  <c r="F85" i="6"/>
  <c r="H85" i="6" s="1"/>
  <c r="G85" i="6" l="1"/>
  <c r="E86" i="6" s="1"/>
  <c r="F86" i="6"/>
  <c r="H86" i="6" s="1"/>
  <c r="C140" i="6"/>
  <c r="D140" i="6" s="1"/>
  <c r="B140" i="6"/>
  <c r="A141" i="6"/>
  <c r="A142" i="6" l="1"/>
  <c r="C141" i="6"/>
  <c r="D141" i="6" s="1"/>
  <c r="B141" i="6"/>
  <c r="G86" i="6"/>
  <c r="E87" i="6" s="1"/>
  <c r="F87" i="6" l="1"/>
  <c r="H87" i="6" s="1"/>
  <c r="B142" i="6"/>
  <c r="C142" i="6"/>
  <c r="D142" i="6" s="1"/>
  <c r="A143" i="6"/>
  <c r="A144" i="6" l="1"/>
  <c r="C143" i="6"/>
  <c r="D143" i="6" s="1"/>
  <c r="B143" i="6"/>
  <c r="G87" i="6"/>
  <c r="E88" i="6" s="1"/>
  <c r="F88" i="6" s="1"/>
  <c r="H88" i="6" s="1"/>
  <c r="G88" i="6" l="1"/>
  <c r="E89" i="6" s="1"/>
  <c r="C144" i="6"/>
  <c r="D144" i="6" s="1"/>
  <c r="A145" i="6"/>
  <c r="B144" i="6"/>
  <c r="B145" i="6" l="1"/>
  <c r="A146" i="6"/>
  <c r="C145" i="6"/>
  <c r="D145" i="6" s="1"/>
  <c r="F89" i="6"/>
  <c r="H89" i="6" s="1"/>
  <c r="G89" i="6" l="1"/>
  <c r="E90" i="6" s="1"/>
  <c r="B146" i="6"/>
  <c r="A147" i="6"/>
  <c r="C146" i="6"/>
  <c r="D146" i="6" s="1"/>
  <c r="C147" i="6" l="1"/>
  <c r="D147" i="6" s="1"/>
  <c r="A148" i="6"/>
  <c r="B147" i="6"/>
  <c r="F90" i="6"/>
  <c r="H90" i="6" s="1"/>
  <c r="G90" i="6" l="1"/>
  <c r="E91" i="6" s="1"/>
  <c r="F91" i="6"/>
  <c r="H91" i="6" s="1"/>
  <c r="B148" i="6"/>
  <c r="C148" i="6"/>
  <c r="D148" i="6" s="1"/>
  <c r="A149" i="6"/>
  <c r="A150" i="6" l="1"/>
  <c r="C149" i="6"/>
  <c r="D149" i="6" s="1"/>
  <c r="B149" i="6"/>
  <c r="G91" i="6"/>
  <c r="E92" i="6" s="1"/>
  <c r="F92" i="6" l="1"/>
  <c r="H92" i="6" s="1"/>
  <c r="C150" i="6"/>
  <c r="D150" i="6" s="1"/>
  <c r="A151" i="6"/>
  <c r="B150" i="6"/>
  <c r="B151" i="6" l="1"/>
  <c r="A152" i="6"/>
  <c r="C151" i="6"/>
  <c r="D151" i="6" s="1"/>
  <c r="G92" i="6"/>
  <c r="E93" i="6" s="1"/>
  <c r="F93" i="6" l="1"/>
  <c r="H93" i="6" s="1"/>
  <c r="B152" i="6"/>
  <c r="C152" i="6"/>
  <c r="D152" i="6" s="1"/>
  <c r="A153" i="6"/>
  <c r="C153" i="6" l="1"/>
  <c r="D153" i="6" s="1"/>
  <c r="A154" i="6"/>
  <c r="B153" i="6"/>
  <c r="G93" i="6"/>
  <c r="E94" i="6" s="1"/>
  <c r="F94" i="6" l="1"/>
  <c r="H94" i="6" s="1"/>
  <c r="B154" i="6"/>
  <c r="C154" i="6"/>
  <c r="D154" i="6" s="1"/>
  <c r="A155" i="6"/>
  <c r="A156" i="6" l="1"/>
  <c r="C155" i="6"/>
  <c r="D155" i="6" s="1"/>
  <c r="B155" i="6"/>
  <c r="G94" i="6"/>
  <c r="E95" i="6" s="1"/>
  <c r="F95" i="6" l="1"/>
  <c r="H95" i="6" s="1"/>
  <c r="C156" i="6"/>
  <c r="D156" i="6" s="1"/>
  <c r="A157" i="6"/>
  <c r="B156" i="6"/>
  <c r="C157" i="6" l="1"/>
  <c r="D157" i="6" s="1"/>
  <c r="B157" i="6"/>
  <c r="A158" i="6"/>
  <c r="G95" i="6"/>
  <c r="E96" i="6" s="1"/>
  <c r="F96" i="6" l="1"/>
  <c r="H96" i="6" s="1"/>
  <c r="A159" i="6"/>
  <c r="C158" i="6"/>
  <c r="D158" i="6" s="1"/>
  <c r="B158" i="6"/>
  <c r="C159" i="6" l="1"/>
  <c r="D159" i="6" s="1"/>
  <c r="B159" i="6"/>
  <c r="A160" i="6"/>
  <c r="G96" i="6"/>
  <c r="E97" i="6" s="1"/>
  <c r="F97" i="6" l="1"/>
  <c r="H97" i="6" s="1"/>
  <c r="C160" i="6"/>
  <c r="D160" i="6" s="1"/>
  <c r="B160" i="6"/>
  <c r="A161" i="6"/>
  <c r="A162" i="6" l="1"/>
  <c r="C161" i="6"/>
  <c r="D161" i="6" s="1"/>
  <c r="B161" i="6"/>
  <c r="G97" i="6"/>
  <c r="E98" i="6" s="1"/>
  <c r="F98" i="6" l="1"/>
  <c r="H98" i="6" s="1"/>
  <c r="C162" i="6"/>
  <c r="D162" i="6" s="1"/>
  <c r="B162" i="6"/>
  <c r="A163" i="6"/>
  <c r="C163" i="6" l="1"/>
  <c r="D163" i="6" s="1"/>
  <c r="B163" i="6"/>
  <c r="A164" i="6"/>
  <c r="G98" i="6"/>
  <c r="E99" i="6" s="1"/>
  <c r="F99" i="6" l="1"/>
  <c r="H99" i="6" s="1"/>
  <c r="A165" i="6"/>
  <c r="C164" i="6"/>
  <c r="D164" i="6" s="1"/>
  <c r="B164" i="6"/>
  <c r="C165" i="6" l="1"/>
  <c r="D165" i="6" s="1"/>
  <c r="B165" i="6"/>
  <c r="A166" i="6"/>
  <c r="G99" i="6"/>
  <c r="E100" i="6" s="1"/>
  <c r="F100" i="6" l="1"/>
  <c r="H100" i="6" s="1"/>
  <c r="C166" i="6"/>
  <c r="D166" i="6" s="1"/>
  <c r="B166" i="6"/>
  <c r="A167" i="6"/>
  <c r="A168" i="6" l="1"/>
  <c r="C167" i="6"/>
  <c r="D167" i="6" s="1"/>
  <c r="B167" i="6"/>
  <c r="G100" i="6"/>
  <c r="E101" i="6" s="1"/>
  <c r="F101" i="6" l="1"/>
  <c r="H101" i="6" s="1"/>
  <c r="C168" i="6"/>
  <c r="D168" i="6" s="1"/>
  <c r="B168" i="6"/>
  <c r="A169" i="6"/>
  <c r="C169" i="6" l="1"/>
  <c r="D169" i="6" s="1"/>
  <c r="B169" i="6"/>
  <c r="A170" i="6"/>
  <c r="G101" i="6"/>
  <c r="E102" i="6" s="1"/>
  <c r="F102" i="6" l="1"/>
  <c r="H102" i="6" s="1"/>
  <c r="A171" i="6"/>
  <c r="E170" i="6"/>
  <c r="C170" i="6"/>
  <c r="D170" i="6" s="1"/>
  <c r="B170" i="6"/>
  <c r="C171" i="6" l="1"/>
  <c r="D171" i="6" s="1"/>
  <c r="B171" i="6"/>
  <c r="A172" i="6"/>
  <c r="G102" i="6"/>
  <c r="E103" i="6" s="1"/>
  <c r="F103" i="6" s="1"/>
  <c r="H103" i="6" s="1"/>
  <c r="G103" i="6" l="1"/>
  <c r="E104" i="6" s="1"/>
  <c r="C172" i="6"/>
  <c r="D172" i="6" s="1"/>
  <c r="B172" i="6"/>
  <c r="A173" i="6"/>
  <c r="A174" i="6" l="1"/>
  <c r="C173" i="6"/>
  <c r="D173" i="6" s="1"/>
  <c r="B173" i="6"/>
  <c r="F104" i="6"/>
  <c r="H104" i="6" s="1"/>
  <c r="G104" i="6" l="1"/>
  <c r="E105" i="6" s="1"/>
  <c r="C174" i="6"/>
  <c r="D174" i="6" s="1"/>
  <c r="B174" i="6"/>
  <c r="A175" i="6"/>
  <c r="C175" i="6" l="1"/>
  <c r="D175" i="6" s="1"/>
  <c r="B175" i="6"/>
  <c r="A176" i="6"/>
  <c r="F105" i="6"/>
  <c r="H105" i="6" s="1"/>
  <c r="G105" i="6" l="1"/>
  <c r="E106" i="6" s="1"/>
  <c r="A177" i="6"/>
  <c r="C176" i="6"/>
  <c r="D176" i="6" s="1"/>
  <c r="B176" i="6"/>
  <c r="C177" i="6" l="1"/>
  <c r="D177" i="6" s="1"/>
  <c r="B177" i="6"/>
  <c r="A178" i="6"/>
  <c r="F106" i="6"/>
  <c r="H106" i="6" s="1"/>
  <c r="G106" i="6" l="1"/>
  <c r="E107" i="6" s="1"/>
  <c r="C178" i="6"/>
  <c r="D178" i="6" s="1"/>
  <c r="B178" i="6"/>
  <c r="A179" i="6"/>
  <c r="A180" i="6" l="1"/>
  <c r="C179" i="6"/>
  <c r="D179" i="6" s="1"/>
  <c r="B179" i="6"/>
  <c r="F107" i="6"/>
  <c r="H107" i="6" s="1"/>
  <c r="G107" i="6" l="1"/>
  <c r="E108" i="6" s="1"/>
  <c r="F108" i="6"/>
  <c r="H108" i="6" s="1"/>
  <c r="G108" i="6"/>
  <c r="E109" i="6" s="1"/>
  <c r="C180" i="6"/>
  <c r="D180" i="6" s="1"/>
  <c r="B180" i="6"/>
  <c r="A181" i="6"/>
  <c r="C181" i="6" l="1"/>
  <c r="D181" i="6" s="1"/>
  <c r="B181" i="6"/>
  <c r="A182" i="6"/>
  <c r="F109" i="6"/>
  <c r="H109" i="6" s="1"/>
  <c r="A183" i="6" l="1"/>
  <c r="C182" i="6"/>
  <c r="D182" i="6" s="1"/>
  <c r="B182" i="6"/>
  <c r="G109" i="6"/>
  <c r="E110" i="6" s="1"/>
  <c r="F110" i="6" s="1"/>
  <c r="H110" i="6" s="1"/>
  <c r="F111" i="6" s="1"/>
  <c r="H111" i="6" l="1"/>
  <c r="G111" i="6"/>
  <c r="E112" i="6" s="1"/>
  <c r="G110" i="6"/>
  <c r="C183" i="6"/>
  <c r="D183" i="6" s="1"/>
  <c r="B183" i="6"/>
  <c r="A184" i="6"/>
  <c r="C184" i="6" l="1"/>
  <c r="D184" i="6" s="1"/>
  <c r="B184" i="6"/>
  <c r="A185" i="6"/>
  <c r="F112" i="6"/>
  <c r="H112" i="6" s="1"/>
  <c r="G112" i="6" l="1"/>
  <c r="E113" i="6" s="1"/>
  <c r="A186" i="6"/>
  <c r="C185" i="6"/>
  <c r="D185" i="6" s="1"/>
  <c r="B185" i="6"/>
  <c r="C186" i="6" l="1"/>
  <c r="D186" i="6" s="1"/>
  <c r="B186" i="6"/>
  <c r="A187" i="6"/>
  <c r="F113" i="6"/>
  <c r="H113" i="6" s="1"/>
  <c r="G113" i="6" l="1"/>
  <c r="E114" i="6" s="1"/>
  <c r="C187" i="6"/>
  <c r="D187" i="6" s="1"/>
  <c r="B187" i="6"/>
  <c r="A188" i="6"/>
  <c r="A189" i="6" l="1"/>
  <c r="C188" i="6"/>
  <c r="D188" i="6" s="1"/>
  <c r="B188" i="6"/>
  <c r="F114" i="6"/>
  <c r="H114" i="6" s="1"/>
  <c r="G114" i="6" l="1"/>
  <c r="E115" i="6" s="1"/>
  <c r="C189" i="6"/>
  <c r="D189" i="6" s="1"/>
  <c r="B189" i="6"/>
  <c r="A190" i="6"/>
  <c r="C190" i="6" l="1"/>
  <c r="D190" i="6" s="1"/>
  <c r="B190" i="6"/>
  <c r="A191" i="6"/>
  <c r="F115" i="6"/>
  <c r="H115" i="6" s="1"/>
  <c r="G115" i="6" l="1"/>
  <c r="E116" i="6" s="1"/>
  <c r="F116" i="6"/>
  <c r="H116" i="6" s="1"/>
  <c r="A192" i="6"/>
  <c r="C191" i="6"/>
  <c r="D191" i="6" s="1"/>
  <c r="B191" i="6"/>
  <c r="C192" i="6" l="1"/>
  <c r="D192" i="6" s="1"/>
  <c r="B192" i="6"/>
  <c r="A193" i="6"/>
  <c r="G116" i="6"/>
  <c r="E117" i="6" s="1"/>
  <c r="C193" i="6" l="1"/>
  <c r="D193" i="6" s="1"/>
  <c r="B193" i="6"/>
  <c r="A194" i="6"/>
  <c r="F117" i="6"/>
  <c r="H117" i="6" s="1"/>
  <c r="A195" i="6" l="1"/>
  <c r="C194" i="6"/>
  <c r="D194" i="6" s="1"/>
  <c r="B194" i="6"/>
  <c r="G117" i="6"/>
  <c r="E118" i="6" s="1"/>
  <c r="C195" i="6" l="1"/>
  <c r="D195" i="6" s="1"/>
  <c r="B195" i="6"/>
  <c r="A196" i="6"/>
  <c r="F118" i="6"/>
  <c r="H118" i="6" s="1"/>
  <c r="C196" i="6" l="1"/>
  <c r="D196" i="6" s="1"/>
  <c r="B196" i="6"/>
  <c r="A197" i="6"/>
  <c r="G118" i="6"/>
  <c r="E119" i="6" s="1"/>
  <c r="F119" i="6" l="1"/>
  <c r="H119" i="6" s="1"/>
  <c r="A198" i="6"/>
  <c r="C197" i="6"/>
  <c r="D197" i="6" s="1"/>
  <c r="B197" i="6"/>
  <c r="C198" i="6" l="1"/>
  <c r="D198" i="6" s="1"/>
  <c r="B198" i="6"/>
  <c r="A199" i="6"/>
  <c r="G119" i="6"/>
  <c r="E120" i="6" s="1"/>
  <c r="F120" i="6" l="1"/>
  <c r="H120" i="6" s="1"/>
  <c r="C199" i="6"/>
  <c r="D199" i="6" s="1"/>
  <c r="B199" i="6"/>
  <c r="A200" i="6"/>
  <c r="A201" i="6" l="1"/>
  <c r="E200" i="6"/>
  <c r="C200" i="6"/>
  <c r="D200" i="6" s="1"/>
  <c r="B200" i="6"/>
  <c r="G120" i="6"/>
  <c r="E121" i="6" s="1"/>
  <c r="F121" i="6" l="1"/>
  <c r="H121" i="6" s="1"/>
  <c r="C201" i="6"/>
  <c r="D201" i="6" s="1"/>
  <c r="B201" i="6"/>
  <c r="A202" i="6"/>
  <c r="C202" i="6" l="1"/>
  <c r="D202" i="6" s="1"/>
  <c r="B202" i="6"/>
  <c r="A203" i="6"/>
  <c r="G121" i="6"/>
  <c r="E122" i="6" s="1"/>
  <c r="A204" i="6" l="1"/>
  <c r="C203" i="6"/>
  <c r="D203" i="6" s="1"/>
  <c r="B203" i="6"/>
  <c r="F122" i="6"/>
  <c r="H122" i="6" s="1"/>
  <c r="G122" i="6" l="1"/>
  <c r="E123" i="6" s="1"/>
  <c r="C204" i="6"/>
  <c r="D204" i="6" s="1"/>
  <c r="B204" i="6"/>
  <c r="A205" i="6"/>
  <c r="C205" i="6" l="1"/>
  <c r="D205" i="6" s="1"/>
  <c r="B205" i="6"/>
  <c r="A206" i="6"/>
  <c r="F123" i="6"/>
  <c r="H123" i="6" s="1"/>
  <c r="A207" i="6" l="1"/>
  <c r="C206" i="6"/>
  <c r="D206" i="6" s="1"/>
  <c r="B206" i="6"/>
  <c r="G123" i="6"/>
  <c r="E124" i="6" s="1"/>
  <c r="F124" i="6" s="1"/>
  <c r="H124" i="6" s="1"/>
  <c r="G124" i="6" l="1"/>
  <c r="E125" i="6" s="1"/>
  <c r="C207" i="6"/>
  <c r="D207" i="6" s="1"/>
  <c r="B207" i="6"/>
  <c r="A208" i="6"/>
  <c r="C208" i="6" l="1"/>
  <c r="D208" i="6" s="1"/>
  <c r="B208" i="6"/>
  <c r="A209" i="6"/>
  <c r="F125" i="6"/>
  <c r="H125" i="6" s="1"/>
  <c r="G125" i="6" l="1"/>
  <c r="E126" i="6" s="1"/>
  <c r="A210" i="6"/>
  <c r="C209" i="6"/>
  <c r="D209" i="6" s="1"/>
  <c r="B209" i="6"/>
  <c r="C210" i="6" l="1"/>
  <c r="D210" i="6" s="1"/>
  <c r="B210" i="6"/>
  <c r="A211" i="6"/>
  <c r="F126" i="6"/>
  <c r="H126" i="6" s="1"/>
  <c r="G126" i="6" l="1"/>
  <c r="E127" i="6" s="1"/>
  <c r="C211" i="6"/>
  <c r="D211" i="6" s="1"/>
  <c r="B211" i="6"/>
  <c r="A212" i="6"/>
  <c r="A213" i="6" l="1"/>
  <c r="C212" i="6"/>
  <c r="D212" i="6" s="1"/>
  <c r="B212" i="6"/>
  <c r="F127" i="6"/>
  <c r="H127" i="6" s="1"/>
  <c r="G127" i="6" l="1"/>
  <c r="E128" i="6" s="1"/>
  <c r="C213" i="6"/>
  <c r="D213" i="6" s="1"/>
  <c r="B213" i="6"/>
  <c r="A214" i="6"/>
  <c r="C214" i="6" l="1"/>
  <c r="D214" i="6" s="1"/>
  <c r="B214" i="6"/>
  <c r="A215" i="6"/>
  <c r="F128" i="6"/>
  <c r="H128" i="6" s="1"/>
  <c r="A216" i="6" l="1"/>
  <c r="B215" i="6"/>
  <c r="C215" i="6"/>
  <c r="D215" i="6" s="1"/>
  <c r="G128" i="6"/>
  <c r="E129" i="6" s="1"/>
  <c r="F129" i="6" l="1"/>
  <c r="H129" i="6" s="1"/>
  <c r="C216" i="6"/>
  <c r="D216" i="6" s="1"/>
  <c r="B216" i="6"/>
  <c r="A217" i="6"/>
  <c r="C217" i="6" l="1"/>
  <c r="D217" i="6" s="1"/>
  <c r="B217" i="6"/>
  <c r="A218" i="6"/>
  <c r="G129" i="6"/>
  <c r="E130" i="6" s="1"/>
  <c r="F130" i="6" s="1"/>
  <c r="H130" i="6" s="1"/>
  <c r="A219" i="6" l="1"/>
  <c r="C218" i="6"/>
  <c r="D218" i="6" s="1"/>
  <c r="B218" i="6"/>
  <c r="G130" i="6"/>
  <c r="E131" i="6" s="1"/>
  <c r="C219" i="6" l="1"/>
  <c r="D219" i="6" s="1"/>
  <c r="B219" i="6"/>
  <c r="A220" i="6"/>
  <c r="F131" i="6"/>
  <c r="H131" i="6" s="1"/>
  <c r="C220" i="6" l="1"/>
  <c r="D220" i="6" s="1"/>
  <c r="B220" i="6"/>
  <c r="A221" i="6"/>
  <c r="G131" i="6"/>
  <c r="E132" i="6" s="1"/>
  <c r="F132" i="6" s="1"/>
  <c r="H132" i="6" s="1"/>
  <c r="A222" i="6" l="1"/>
  <c r="C221" i="6"/>
  <c r="D221" i="6" s="1"/>
  <c r="B221" i="6"/>
  <c r="G132" i="6"/>
  <c r="E133" i="6" s="1"/>
  <c r="C222" i="6" l="1"/>
  <c r="D222" i="6" s="1"/>
  <c r="B222" i="6"/>
  <c r="A223" i="6"/>
  <c r="F133" i="6"/>
  <c r="H133" i="6" s="1"/>
  <c r="C223" i="6" l="1"/>
  <c r="D223" i="6" s="1"/>
  <c r="B223" i="6"/>
  <c r="A224" i="6"/>
  <c r="G133" i="6"/>
  <c r="E134" i="6" s="1"/>
  <c r="F134" i="6" l="1"/>
  <c r="H134" i="6" s="1"/>
  <c r="A225" i="6"/>
  <c r="C224" i="6"/>
  <c r="D224" i="6" s="1"/>
  <c r="B224" i="6"/>
  <c r="C225" i="6" l="1"/>
  <c r="D225" i="6" s="1"/>
  <c r="B225" i="6"/>
  <c r="A226" i="6"/>
  <c r="G134" i="6"/>
  <c r="E135" i="6" s="1"/>
  <c r="F135" i="6" s="1"/>
  <c r="H135" i="6" s="1"/>
  <c r="G135" i="6" l="1"/>
  <c r="E136" i="6" s="1"/>
  <c r="C226" i="6"/>
  <c r="D226" i="6" s="1"/>
  <c r="B226" i="6"/>
  <c r="A227" i="6"/>
  <c r="A228" i="6" l="1"/>
  <c r="C227" i="6"/>
  <c r="D227" i="6" s="1"/>
  <c r="B227" i="6"/>
  <c r="F136" i="6"/>
  <c r="H136" i="6" s="1"/>
  <c r="G136" i="6" l="1"/>
  <c r="E137" i="6" s="1"/>
  <c r="C228" i="6"/>
  <c r="D228" i="6" s="1"/>
  <c r="B228" i="6"/>
  <c r="A229" i="6"/>
  <c r="C229" i="6" l="1"/>
  <c r="D229" i="6" s="1"/>
  <c r="B229" i="6"/>
  <c r="A230" i="6"/>
  <c r="F137" i="6"/>
  <c r="H137" i="6" s="1"/>
  <c r="G137" i="6" l="1"/>
  <c r="E138" i="6" s="1"/>
  <c r="A231" i="6"/>
  <c r="C230" i="6"/>
  <c r="D230" i="6" s="1"/>
  <c r="B230" i="6"/>
  <c r="C231" i="6" l="1"/>
  <c r="D231" i="6" s="1"/>
  <c r="B231" i="6"/>
  <c r="A232" i="6"/>
  <c r="E231" i="6"/>
  <c r="F138" i="6"/>
  <c r="H138" i="6" s="1"/>
  <c r="F139" i="6" s="1"/>
  <c r="G139" i="6" l="1"/>
  <c r="E140" i="6" s="1"/>
  <c r="H139" i="6"/>
  <c r="G138" i="6"/>
  <c r="C232" i="6"/>
  <c r="D232" i="6" s="1"/>
  <c r="B232" i="6"/>
  <c r="A233" i="6"/>
  <c r="A234" i="6" l="1"/>
  <c r="B233" i="6"/>
  <c r="C233" i="6"/>
  <c r="D233" i="6" s="1"/>
  <c r="F140" i="6"/>
  <c r="H140" i="6" s="1"/>
  <c r="G140" i="6" l="1"/>
  <c r="E141" i="6" s="1"/>
  <c r="F141" i="6" s="1"/>
  <c r="H141" i="6" s="1"/>
  <c r="C234" i="6"/>
  <c r="D234" i="6" s="1"/>
  <c r="B234" i="6"/>
  <c r="A235" i="6"/>
  <c r="C235" i="6" l="1"/>
  <c r="D235" i="6" s="1"/>
  <c r="B235" i="6"/>
  <c r="A236" i="6"/>
  <c r="G141" i="6"/>
  <c r="E142" i="6" s="1"/>
  <c r="A237" i="6" l="1"/>
  <c r="C236" i="6"/>
  <c r="D236" i="6" s="1"/>
  <c r="B236" i="6"/>
  <c r="F142" i="6"/>
  <c r="H142" i="6" s="1"/>
  <c r="C237" i="6" l="1"/>
  <c r="D237" i="6" s="1"/>
  <c r="B237" i="6"/>
  <c r="A238" i="6"/>
  <c r="G142" i="6"/>
  <c r="E143" i="6" s="1"/>
  <c r="F143" i="6" s="1"/>
  <c r="H143" i="6" s="1"/>
  <c r="C238" i="6" l="1"/>
  <c r="D238" i="6" s="1"/>
  <c r="B238" i="6"/>
  <c r="A239" i="6"/>
  <c r="G143" i="6"/>
  <c r="E144" i="6" s="1"/>
  <c r="A240" i="6" l="1"/>
  <c r="C239" i="6"/>
  <c r="D239" i="6" s="1"/>
  <c r="B239" i="6"/>
  <c r="F144" i="6"/>
  <c r="H144" i="6" s="1"/>
  <c r="C240" i="6" l="1"/>
  <c r="D240" i="6" s="1"/>
  <c r="B240" i="6"/>
  <c r="A241" i="6"/>
  <c r="G144" i="6"/>
  <c r="E145" i="6" s="1"/>
  <c r="C241" i="6" l="1"/>
  <c r="D241" i="6" s="1"/>
  <c r="B241" i="6"/>
  <c r="A242" i="6"/>
  <c r="F145" i="6"/>
  <c r="H145" i="6" s="1"/>
  <c r="G145" i="6" l="1"/>
  <c r="E146" i="6" s="1"/>
  <c r="A243" i="6"/>
  <c r="C242" i="6"/>
  <c r="D242" i="6" s="1"/>
  <c r="B242" i="6"/>
  <c r="C243" i="6" l="1"/>
  <c r="D243" i="6" s="1"/>
  <c r="B243" i="6"/>
  <c r="A244" i="6"/>
  <c r="F146" i="6"/>
  <c r="H146" i="6" s="1"/>
  <c r="G146" i="6" l="1"/>
  <c r="E147" i="6" s="1"/>
  <c r="C244" i="6"/>
  <c r="D244" i="6" s="1"/>
  <c r="B244" i="6"/>
  <c r="A245" i="6"/>
  <c r="A246" i="6" l="1"/>
  <c r="C245" i="6"/>
  <c r="D245" i="6" s="1"/>
  <c r="B245" i="6"/>
  <c r="F147" i="6"/>
  <c r="H147" i="6" s="1"/>
  <c r="G147" i="6" l="1"/>
  <c r="E148" i="6" s="1"/>
  <c r="F148" i="6" s="1"/>
  <c r="H148" i="6" s="1"/>
  <c r="C246" i="6"/>
  <c r="D246" i="6" s="1"/>
  <c r="B246" i="6"/>
  <c r="A247" i="6"/>
  <c r="C247" i="6" l="1"/>
  <c r="D247" i="6" s="1"/>
  <c r="B247" i="6"/>
  <c r="A248" i="6"/>
  <c r="G148" i="6"/>
  <c r="E149" i="6" s="1"/>
  <c r="A249" i="6" l="1"/>
  <c r="C248" i="6"/>
  <c r="D248" i="6" s="1"/>
  <c r="B248" i="6"/>
  <c r="F149" i="6"/>
  <c r="H149" i="6" s="1"/>
  <c r="C249" i="6" l="1"/>
  <c r="D249" i="6" s="1"/>
  <c r="B249" i="6"/>
  <c r="A250" i="6"/>
  <c r="G149" i="6"/>
  <c r="E150" i="6" s="1"/>
  <c r="C250" i="6" l="1"/>
  <c r="D250" i="6" s="1"/>
  <c r="B250" i="6"/>
  <c r="A251" i="6"/>
  <c r="F150" i="6"/>
  <c r="H150" i="6" s="1"/>
  <c r="A252" i="6" l="1"/>
  <c r="B251" i="6"/>
  <c r="C251" i="6"/>
  <c r="D251" i="6" s="1"/>
  <c r="G150" i="6"/>
  <c r="E151" i="6" s="1"/>
  <c r="F151" i="6" s="1"/>
  <c r="H151" i="6" s="1"/>
  <c r="G151" i="6" l="1"/>
  <c r="E152" i="6" s="1"/>
  <c r="C252" i="6"/>
  <c r="D252" i="6" s="1"/>
  <c r="B252" i="6"/>
  <c r="A253" i="6"/>
  <c r="C253" i="6" l="1"/>
  <c r="D253" i="6" s="1"/>
  <c r="B253" i="6"/>
  <c r="A254" i="6"/>
  <c r="F152" i="6"/>
  <c r="H152" i="6" s="1"/>
  <c r="G152" i="6" l="1"/>
  <c r="E153" i="6" s="1"/>
  <c r="A255" i="6"/>
  <c r="C254" i="6"/>
  <c r="D254" i="6" s="1"/>
  <c r="B254" i="6"/>
  <c r="C255" i="6" l="1"/>
  <c r="D255" i="6" s="1"/>
  <c r="B255" i="6"/>
  <c r="A256" i="6"/>
  <c r="F153" i="6"/>
  <c r="H153" i="6" s="1"/>
  <c r="G153" i="6" l="1"/>
  <c r="E154" i="6" s="1"/>
  <c r="F154" i="6" s="1"/>
  <c r="H154" i="6" s="1"/>
  <c r="C256" i="6"/>
  <c r="D256" i="6" s="1"/>
  <c r="B256" i="6"/>
  <c r="A257" i="6"/>
  <c r="A258" i="6" l="1"/>
  <c r="B257" i="6"/>
  <c r="C257" i="6"/>
  <c r="D257" i="6" s="1"/>
  <c r="G154" i="6"/>
  <c r="E155" i="6" s="1"/>
  <c r="C258" i="6" l="1"/>
  <c r="D258" i="6" s="1"/>
  <c r="B258" i="6"/>
  <c r="A259" i="6"/>
  <c r="F155" i="6"/>
  <c r="H155" i="6" s="1"/>
  <c r="C259" i="6" l="1"/>
  <c r="D259" i="6" s="1"/>
  <c r="B259" i="6"/>
  <c r="A260" i="6"/>
  <c r="G155" i="6"/>
  <c r="E156" i="6" s="1"/>
  <c r="A261" i="6" l="1"/>
  <c r="B260" i="6"/>
  <c r="C260" i="6"/>
  <c r="D260" i="6" s="1"/>
  <c r="F156" i="6"/>
  <c r="H156" i="6" s="1"/>
  <c r="G156" i="6" l="1"/>
  <c r="E157" i="6" s="1"/>
  <c r="C261" i="6"/>
  <c r="D261" i="6" s="1"/>
  <c r="B261" i="6"/>
  <c r="A262" i="6"/>
  <c r="E261" i="6"/>
  <c r="C262" i="6" l="1"/>
  <c r="D262" i="6" s="1"/>
  <c r="B262" i="6"/>
  <c r="A263" i="6"/>
  <c r="F157" i="6"/>
  <c r="H157" i="6" s="1"/>
  <c r="G157" i="6" l="1"/>
  <c r="E158" i="6" s="1"/>
  <c r="A264" i="6"/>
  <c r="B263" i="6"/>
  <c r="C263" i="6"/>
  <c r="D263" i="6" s="1"/>
  <c r="C264" i="6" l="1"/>
  <c r="D264" i="6" s="1"/>
  <c r="B264" i="6"/>
  <c r="A265" i="6"/>
  <c r="F158" i="6"/>
  <c r="H158" i="6" s="1"/>
  <c r="C265" i="6" l="1"/>
  <c r="D265" i="6" s="1"/>
  <c r="B265" i="6"/>
  <c r="A266" i="6"/>
  <c r="G158" i="6"/>
  <c r="E159" i="6" s="1"/>
  <c r="F159" i="6" l="1"/>
  <c r="H159" i="6" s="1"/>
  <c r="A267" i="6"/>
  <c r="B266" i="6"/>
  <c r="C266" i="6"/>
  <c r="D266" i="6" s="1"/>
  <c r="C267" i="6" l="1"/>
  <c r="D267" i="6" s="1"/>
  <c r="B267" i="6"/>
  <c r="A268" i="6"/>
  <c r="G159" i="6"/>
  <c r="E160" i="6" s="1"/>
  <c r="F160" i="6" s="1"/>
  <c r="H160" i="6" s="1"/>
  <c r="C268" i="6" l="1"/>
  <c r="D268" i="6" s="1"/>
  <c r="B268" i="6"/>
  <c r="A269" i="6"/>
  <c r="G160" i="6"/>
  <c r="E161" i="6" s="1"/>
  <c r="A270" i="6" l="1"/>
  <c r="B269" i="6"/>
  <c r="C269" i="6"/>
  <c r="D269" i="6" s="1"/>
  <c r="F161" i="6"/>
  <c r="H161" i="6" s="1"/>
  <c r="C270" i="6" l="1"/>
  <c r="D270" i="6" s="1"/>
  <c r="B270" i="6"/>
  <c r="A271" i="6"/>
  <c r="G161" i="6"/>
  <c r="E162" i="6" s="1"/>
  <c r="C271" i="6" l="1"/>
  <c r="D271" i="6" s="1"/>
  <c r="B271" i="6"/>
  <c r="A272" i="6"/>
  <c r="F162" i="6"/>
  <c r="H162" i="6" s="1"/>
  <c r="A273" i="6" l="1"/>
  <c r="B272" i="6"/>
  <c r="C272" i="6"/>
  <c r="D272" i="6" s="1"/>
  <c r="G162" i="6"/>
  <c r="E163" i="6" s="1"/>
  <c r="F163" i="6" s="1"/>
  <c r="H163" i="6" s="1"/>
  <c r="G163" i="6" l="1"/>
  <c r="E164" i="6" s="1"/>
  <c r="C273" i="6"/>
  <c r="D273" i="6" s="1"/>
  <c r="B273" i="6"/>
  <c r="A274" i="6"/>
  <c r="C274" i="6" l="1"/>
  <c r="D274" i="6" s="1"/>
  <c r="B274" i="6"/>
  <c r="A275" i="6"/>
  <c r="F164" i="6"/>
  <c r="H164" i="6" s="1"/>
  <c r="A276" i="6" l="1"/>
  <c r="B275" i="6"/>
  <c r="C275" i="6"/>
  <c r="D275" i="6" s="1"/>
  <c r="G164" i="6"/>
  <c r="E165" i="6" s="1"/>
  <c r="F165" i="6" s="1"/>
  <c r="H165" i="6" s="1"/>
  <c r="G165" i="6" l="1"/>
  <c r="E166" i="6" s="1"/>
  <c r="C276" i="6"/>
  <c r="D276" i="6" s="1"/>
  <c r="B276" i="6"/>
  <c r="A277" i="6"/>
  <c r="C277" i="6" l="1"/>
  <c r="D277" i="6" s="1"/>
  <c r="B277" i="6"/>
  <c r="A278" i="6"/>
  <c r="F166" i="6"/>
  <c r="H166" i="6" s="1"/>
  <c r="A279" i="6" l="1"/>
  <c r="B278" i="6"/>
  <c r="C278" i="6"/>
  <c r="D278" i="6" s="1"/>
  <c r="G166" i="6"/>
  <c r="E167" i="6" s="1"/>
  <c r="F167" i="6" l="1"/>
  <c r="H167" i="6" s="1"/>
  <c r="C279" i="6"/>
  <c r="D279" i="6" s="1"/>
  <c r="B279" i="6"/>
  <c r="A280" i="6"/>
  <c r="C280" i="6" l="1"/>
  <c r="D280" i="6" s="1"/>
  <c r="B280" i="6"/>
  <c r="A281" i="6"/>
  <c r="G167" i="6"/>
  <c r="E168" i="6" s="1"/>
  <c r="A282" i="6" l="1"/>
  <c r="B281" i="6"/>
  <c r="C281" i="6"/>
  <c r="D281" i="6" s="1"/>
  <c r="F168" i="6"/>
  <c r="H168" i="6" s="1"/>
  <c r="G168" i="6" l="1"/>
  <c r="E169" i="6" s="1"/>
  <c r="C282" i="6"/>
  <c r="D282" i="6" s="1"/>
  <c r="B282" i="6"/>
  <c r="A283" i="6"/>
  <c r="C283" i="6" l="1"/>
  <c r="D283" i="6" s="1"/>
  <c r="B283" i="6"/>
  <c r="A284" i="6"/>
  <c r="F169" i="6"/>
  <c r="H169" i="6" s="1"/>
  <c r="F170" i="6" s="1"/>
  <c r="H170" i="6" l="1"/>
  <c r="G170" i="6"/>
  <c r="E171" i="6" s="1"/>
  <c r="G169" i="6"/>
  <c r="A285" i="6"/>
  <c r="B284" i="6"/>
  <c r="C284" i="6"/>
  <c r="D284" i="6" s="1"/>
  <c r="C285" i="6" l="1"/>
  <c r="D285" i="6" s="1"/>
  <c r="B285" i="6"/>
  <c r="A286" i="6"/>
  <c r="F171" i="6"/>
  <c r="H171" i="6" s="1"/>
  <c r="G171" i="6" l="1"/>
  <c r="E172" i="6" s="1"/>
  <c r="C286" i="6"/>
  <c r="D286" i="6" s="1"/>
  <c r="B286" i="6"/>
  <c r="A287" i="6"/>
  <c r="F172" i="6"/>
  <c r="H172" i="6" s="1"/>
  <c r="A288" i="6" l="1"/>
  <c r="B287" i="6"/>
  <c r="C287" i="6"/>
  <c r="D287" i="6" s="1"/>
  <c r="G172" i="6"/>
  <c r="E173" i="6" s="1"/>
  <c r="C288" i="6" l="1"/>
  <c r="D288" i="6" s="1"/>
  <c r="B288" i="6"/>
  <c r="A289" i="6"/>
  <c r="F173" i="6"/>
  <c r="H173" i="6" s="1"/>
  <c r="C289" i="6" l="1"/>
  <c r="D289" i="6" s="1"/>
  <c r="B289" i="6"/>
  <c r="A290" i="6"/>
  <c r="G173" i="6"/>
  <c r="E174" i="6" s="1"/>
  <c r="A291" i="6" l="1"/>
  <c r="B290" i="6"/>
  <c r="C290" i="6"/>
  <c r="D290" i="6" s="1"/>
  <c r="F174" i="6"/>
  <c r="H174" i="6" s="1"/>
  <c r="G174" i="6" l="1"/>
  <c r="E175" i="6" s="1"/>
  <c r="F175" i="6" s="1"/>
  <c r="H175" i="6" s="1"/>
  <c r="C291" i="6"/>
  <c r="D291" i="6" s="1"/>
  <c r="B291" i="6"/>
  <c r="A292" i="6"/>
  <c r="E292" i="6" l="1"/>
  <c r="C292" i="6"/>
  <c r="D292" i="6" s="1"/>
  <c r="B292" i="6"/>
  <c r="A293" i="6"/>
  <c r="G175" i="6"/>
  <c r="E176" i="6" s="1"/>
  <c r="F176" i="6" l="1"/>
  <c r="H176" i="6" s="1"/>
  <c r="A294" i="6"/>
  <c r="B293" i="6"/>
  <c r="C293" i="6"/>
  <c r="D293" i="6" s="1"/>
  <c r="C294" i="6" l="1"/>
  <c r="D294" i="6" s="1"/>
  <c r="B294" i="6"/>
  <c r="A295" i="6"/>
  <c r="G176" i="6"/>
  <c r="E177" i="6" s="1"/>
  <c r="C295" i="6" l="1"/>
  <c r="D295" i="6" s="1"/>
  <c r="B295" i="6"/>
  <c r="A296" i="6"/>
  <c r="F177" i="6"/>
  <c r="H177" i="6" s="1"/>
  <c r="A297" i="6" l="1"/>
  <c r="B296" i="6"/>
  <c r="C296" i="6"/>
  <c r="D296" i="6" s="1"/>
  <c r="G177" i="6"/>
  <c r="E178" i="6" s="1"/>
  <c r="F178" i="6" l="1"/>
  <c r="H178" i="6" s="1"/>
  <c r="C297" i="6"/>
  <c r="D297" i="6" s="1"/>
  <c r="B297" i="6"/>
  <c r="A298" i="6"/>
  <c r="C298" i="6" l="1"/>
  <c r="D298" i="6" s="1"/>
  <c r="B298" i="6"/>
  <c r="A299" i="6"/>
  <c r="G178" i="6"/>
  <c r="E179" i="6" s="1"/>
  <c r="F179" i="6" l="1"/>
  <c r="H179" i="6" s="1"/>
  <c r="A300" i="6"/>
  <c r="B299" i="6"/>
  <c r="C299" i="6"/>
  <c r="D299" i="6" s="1"/>
  <c r="C300" i="6" l="1"/>
  <c r="D300" i="6" s="1"/>
  <c r="B300" i="6"/>
  <c r="A301" i="6"/>
  <c r="G179" i="6"/>
  <c r="E180" i="6" s="1"/>
  <c r="F180" i="6" s="1"/>
  <c r="H180" i="6" s="1"/>
  <c r="C301" i="6" l="1"/>
  <c r="D301" i="6" s="1"/>
  <c r="B301" i="6"/>
  <c r="A302" i="6"/>
  <c r="G180" i="6"/>
  <c r="E181" i="6" s="1"/>
  <c r="A303" i="6" l="1"/>
  <c r="B302" i="6"/>
  <c r="C302" i="6"/>
  <c r="D302" i="6" s="1"/>
  <c r="F181" i="6"/>
  <c r="H181" i="6" s="1"/>
  <c r="G181" i="6" l="1"/>
  <c r="E182" i="6" s="1"/>
  <c r="F182" i="6" s="1"/>
  <c r="H182" i="6" s="1"/>
  <c r="C303" i="6"/>
  <c r="D303" i="6" s="1"/>
  <c r="B303" i="6"/>
  <c r="A304" i="6"/>
  <c r="C304" i="6" l="1"/>
  <c r="D304" i="6" s="1"/>
  <c r="B304" i="6"/>
  <c r="A305" i="6"/>
  <c r="G182" i="6"/>
  <c r="E183" i="6" s="1"/>
  <c r="F183" i="6"/>
  <c r="H183" i="6" s="1"/>
  <c r="G183" i="6" l="1"/>
  <c r="E184" i="6" s="1"/>
  <c r="A306" i="6"/>
  <c r="B305" i="6"/>
  <c r="C305" i="6"/>
  <c r="D305" i="6" s="1"/>
  <c r="C306" i="6" l="1"/>
  <c r="D306" i="6" s="1"/>
  <c r="B306" i="6"/>
  <c r="A307" i="6"/>
  <c r="F184" i="6"/>
  <c r="H184" i="6" s="1"/>
  <c r="G184" i="6" l="1"/>
  <c r="E185" i="6" s="1"/>
  <c r="C307" i="6"/>
  <c r="D307" i="6" s="1"/>
  <c r="B307" i="6"/>
  <c r="A308" i="6"/>
  <c r="A309" i="6" l="1"/>
  <c r="B308" i="6"/>
  <c r="C308" i="6"/>
  <c r="D308" i="6" s="1"/>
  <c r="F185" i="6"/>
  <c r="H185" i="6" s="1"/>
  <c r="G185" i="6" l="1"/>
  <c r="E186" i="6" s="1"/>
  <c r="C309" i="6"/>
  <c r="D309" i="6" s="1"/>
  <c r="B309" i="6"/>
  <c r="A310" i="6"/>
  <c r="C310" i="6" l="1"/>
  <c r="D310" i="6" s="1"/>
  <c r="B310" i="6"/>
  <c r="A311" i="6"/>
  <c r="F186" i="6"/>
  <c r="H186" i="6" s="1"/>
  <c r="G186" i="6" l="1"/>
  <c r="E187" i="6" s="1"/>
  <c r="F187" i="6" s="1"/>
  <c r="H187" i="6" s="1"/>
  <c r="A312" i="6"/>
  <c r="B311" i="6"/>
  <c r="C311" i="6"/>
  <c r="D311" i="6" s="1"/>
  <c r="B312" i="6" l="1"/>
  <c r="C312" i="6"/>
  <c r="D312" i="6" s="1"/>
  <c r="A313" i="6"/>
  <c r="G187" i="6"/>
  <c r="E188" i="6" s="1"/>
  <c r="A314" i="6" l="1"/>
  <c r="C313" i="6"/>
  <c r="D313" i="6" s="1"/>
  <c r="B313" i="6"/>
  <c r="F188" i="6"/>
  <c r="H188" i="6" s="1"/>
  <c r="A315" i="6" l="1"/>
  <c r="C314" i="6"/>
  <c r="D314" i="6" s="1"/>
  <c r="B314" i="6"/>
  <c r="G188" i="6"/>
  <c r="E189" i="6" s="1"/>
  <c r="B315" i="6" l="1"/>
  <c r="A316" i="6"/>
  <c r="C315" i="6"/>
  <c r="D315" i="6" s="1"/>
  <c r="F189" i="6"/>
  <c r="H189" i="6" s="1"/>
  <c r="A317" i="6" l="1"/>
  <c r="C316" i="6"/>
  <c r="D316" i="6" s="1"/>
  <c r="B316" i="6"/>
  <c r="G189" i="6"/>
  <c r="E190" i="6" s="1"/>
  <c r="C317" i="6" l="1"/>
  <c r="D317" i="6" s="1"/>
  <c r="B317" i="6"/>
  <c r="A318" i="6"/>
  <c r="F190" i="6"/>
  <c r="H190" i="6" s="1"/>
  <c r="B318" i="6" l="1"/>
  <c r="C318" i="6"/>
  <c r="D318" i="6" s="1"/>
  <c r="A319" i="6"/>
  <c r="G190" i="6"/>
  <c r="E191" i="6" s="1"/>
  <c r="F191" i="6" s="1"/>
  <c r="H191" i="6" s="1"/>
  <c r="A320" i="6" l="1"/>
  <c r="C319" i="6"/>
  <c r="D319" i="6" s="1"/>
  <c r="B319" i="6"/>
  <c r="G191" i="6"/>
  <c r="E192" i="6" s="1"/>
  <c r="C320" i="6" l="1"/>
  <c r="D320" i="6" s="1"/>
  <c r="A321" i="6"/>
  <c r="B320" i="6"/>
  <c r="F192" i="6"/>
  <c r="H192" i="6" s="1"/>
  <c r="B321" i="6" l="1"/>
  <c r="A322" i="6"/>
  <c r="C321" i="6"/>
  <c r="D321" i="6" s="1"/>
  <c r="G192" i="6"/>
  <c r="E193" i="6" s="1"/>
  <c r="B322" i="6" l="1"/>
  <c r="A323" i="6"/>
  <c r="C322" i="6"/>
  <c r="D322" i="6" s="1"/>
  <c r="F193" i="6"/>
  <c r="H193" i="6" s="1"/>
  <c r="E323" i="6" l="1"/>
  <c r="C323" i="6"/>
  <c r="D323" i="6" s="1"/>
  <c r="B323" i="6"/>
  <c r="A324" i="6"/>
  <c r="G193" i="6"/>
  <c r="E194" i="6" s="1"/>
  <c r="B324" i="6" l="1"/>
  <c r="C324" i="6"/>
  <c r="D324" i="6" s="1"/>
  <c r="A325" i="6"/>
  <c r="F194" i="6"/>
  <c r="H194" i="6" s="1"/>
  <c r="C325" i="6" l="1"/>
  <c r="D325" i="6" s="1"/>
  <c r="B325" i="6"/>
  <c r="A326" i="6"/>
  <c r="G194" i="6"/>
  <c r="E195" i="6" s="1"/>
  <c r="A327" i="6" l="1"/>
  <c r="C326" i="6"/>
  <c r="D326" i="6" s="1"/>
  <c r="B326" i="6"/>
  <c r="F195" i="6"/>
  <c r="H195" i="6" s="1"/>
  <c r="B327" i="6" l="1"/>
  <c r="A328" i="6"/>
  <c r="C327" i="6"/>
  <c r="D327" i="6" s="1"/>
  <c r="G195" i="6"/>
  <c r="E196" i="6" s="1"/>
  <c r="C328" i="6" l="1"/>
  <c r="D328" i="6" s="1"/>
  <c r="B328" i="6"/>
  <c r="A329" i="6"/>
  <c r="F196" i="6"/>
  <c r="H196" i="6" s="1"/>
  <c r="A330" i="6" l="1"/>
  <c r="C329" i="6"/>
  <c r="D329" i="6" s="1"/>
  <c r="B329" i="6"/>
  <c r="G196" i="6"/>
  <c r="E197" i="6" s="1"/>
  <c r="B330" i="6" l="1"/>
  <c r="A331" i="6"/>
  <c r="C330" i="6"/>
  <c r="D330" i="6" s="1"/>
  <c r="F197" i="6"/>
  <c r="H197" i="6" s="1"/>
  <c r="C331" i="6" l="1"/>
  <c r="D331" i="6" s="1"/>
  <c r="A332" i="6"/>
  <c r="B331" i="6"/>
  <c r="G197" i="6"/>
  <c r="E198" i="6" s="1"/>
  <c r="A333" i="6" l="1"/>
  <c r="C332" i="6"/>
  <c r="D332" i="6" s="1"/>
  <c r="B332" i="6"/>
  <c r="F198" i="6"/>
  <c r="H198" i="6" s="1"/>
  <c r="B333" i="6" l="1"/>
  <c r="A334" i="6"/>
  <c r="C333" i="6"/>
  <c r="D333" i="6" s="1"/>
  <c r="G198" i="6"/>
  <c r="E199" i="6" s="1"/>
  <c r="C334" i="6" l="1"/>
  <c r="D334" i="6" s="1"/>
  <c r="A335" i="6"/>
  <c r="B334" i="6"/>
  <c r="F199" i="6"/>
  <c r="H199" i="6" s="1"/>
  <c r="F200" i="6" s="1"/>
  <c r="H200" i="6" l="1"/>
  <c r="G200" i="6"/>
  <c r="E201" i="6" s="1"/>
  <c r="C335" i="6"/>
  <c r="D335" i="6" s="1"/>
  <c r="B335" i="6"/>
  <c r="A336" i="6"/>
  <c r="G199" i="6"/>
  <c r="B336" i="6" l="1"/>
  <c r="A337" i="6"/>
  <c r="C336" i="6"/>
  <c r="D336" i="6" s="1"/>
  <c r="F201" i="6"/>
  <c r="H201" i="6" s="1"/>
  <c r="G201" i="6" l="1"/>
  <c r="E202" i="6" s="1"/>
  <c r="C337" i="6"/>
  <c r="D337" i="6" s="1"/>
  <c r="A338" i="6"/>
  <c r="B337" i="6"/>
  <c r="A339" i="6" l="1"/>
  <c r="B338" i="6"/>
  <c r="C338" i="6"/>
  <c r="D338" i="6" s="1"/>
  <c r="F202" i="6"/>
  <c r="H202" i="6" s="1"/>
  <c r="G202" i="6" l="1"/>
  <c r="E203" i="6" s="1"/>
  <c r="B339" i="6"/>
  <c r="A340" i="6"/>
  <c r="C339" i="6"/>
  <c r="D339" i="6" s="1"/>
  <c r="C340" i="6" l="1"/>
  <c r="D340" i="6" s="1"/>
  <c r="B340" i="6"/>
  <c r="A341" i="6"/>
  <c r="F203" i="6"/>
  <c r="H203" i="6" s="1"/>
  <c r="G203" i="6" l="1"/>
  <c r="E204" i="6" s="1"/>
  <c r="A342" i="6"/>
  <c r="B341" i="6"/>
  <c r="C341" i="6"/>
  <c r="D341" i="6" s="1"/>
  <c r="B342" i="6" l="1"/>
  <c r="A343" i="6"/>
  <c r="C342" i="6"/>
  <c r="D342" i="6" s="1"/>
  <c r="F204" i="6"/>
  <c r="H204" i="6" s="1"/>
  <c r="G204" i="6" l="1"/>
  <c r="E205" i="6" s="1"/>
  <c r="C343" i="6"/>
  <c r="D343" i="6" s="1"/>
  <c r="B343" i="6"/>
  <c r="A344" i="6"/>
  <c r="F205" i="6"/>
  <c r="H205" i="6" s="1"/>
  <c r="A345" i="6" l="1"/>
  <c r="B344" i="6"/>
  <c r="C344" i="6"/>
  <c r="D344" i="6" s="1"/>
  <c r="G205" i="6"/>
  <c r="E206" i="6" s="1"/>
  <c r="B345" i="6" l="1"/>
  <c r="A346" i="6"/>
  <c r="C345" i="6"/>
  <c r="D345" i="6" s="1"/>
  <c r="F206" i="6"/>
  <c r="H206" i="6" s="1"/>
  <c r="C346" i="6" l="1"/>
  <c r="D346" i="6" s="1"/>
  <c r="B346" i="6"/>
  <c r="A347" i="6"/>
  <c r="G206" i="6"/>
  <c r="E207" i="6" s="1"/>
  <c r="A348" i="6" l="1"/>
  <c r="B347" i="6"/>
  <c r="C347" i="6"/>
  <c r="D347" i="6" s="1"/>
  <c r="F207" i="6"/>
  <c r="H207" i="6" s="1"/>
  <c r="B348" i="6" l="1"/>
  <c r="A349" i="6"/>
  <c r="C348" i="6"/>
  <c r="D348" i="6" s="1"/>
  <c r="G207" i="6"/>
  <c r="E208" i="6" s="1"/>
  <c r="C349" i="6" l="1"/>
  <c r="D349" i="6" s="1"/>
  <c r="B349" i="6"/>
  <c r="A350" i="6"/>
  <c r="F208" i="6"/>
  <c r="H208" i="6" s="1"/>
  <c r="A351" i="6" l="1"/>
  <c r="B350" i="6"/>
  <c r="C350" i="6"/>
  <c r="D350" i="6" s="1"/>
  <c r="G208" i="6"/>
  <c r="E209" i="6" s="1"/>
  <c r="F209" i="6" l="1"/>
  <c r="H209" i="6" s="1"/>
  <c r="B351" i="6"/>
  <c r="A352" i="6"/>
  <c r="C351" i="6"/>
  <c r="D351" i="6" s="1"/>
  <c r="C352" i="6" l="1"/>
  <c r="D352" i="6" s="1"/>
  <c r="B352" i="6"/>
  <c r="A353" i="6"/>
  <c r="G209" i="6"/>
  <c r="E210" i="6" s="1"/>
  <c r="F210" i="6" l="1"/>
  <c r="H210" i="6" s="1"/>
  <c r="E353" i="6"/>
  <c r="A354" i="6"/>
  <c r="B353" i="6"/>
  <c r="C353" i="6"/>
  <c r="D353" i="6" s="1"/>
  <c r="B354" i="6" l="1"/>
  <c r="A355" i="6"/>
  <c r="C354" i="6"/>
  <c r="D354" i="6" s="1"/>
  <c r="G210" i="6"/>
  <c r="E211" i="6" s="1"/>
  <c r="F211" i="6" s="1"/>
  <c r="H211" i="6" s="1"/>
  <c r="G211" i="6" l="1"/>
  <c r="E212" i="6" s="1"/>
  <c r="C355" i="6"/>
  <c r="D355" i="6" s="1"/>
  <c r="B355" i="6"/>
  <c r="A356" i="6"/>
  <c r="A357" i="6" l="1"/>
  <c r="B356" i="6"/>
  <c r="C356" i="6"/>
  <c r="D356" i="6" s="1"/>
  <c r="F212" i="6"/>
  <c r="H212" i="6" s="1"/>
  <c r="G212" i="6" l="1"/>
  <c r="E213" i="6" s="1"/>
  <c r="F213" i="6"/>
  <c r="H213" i="6" s="1"/>
  <c r="B357" i="6"/>
  <c r="A358" i="6"/>
  <c r="C357" i="6"/>
  <c r="D357" i="6" s="1"/>
  <c r="C358" i="6" l="1"/>
  <c r="D358" i="6" s="1"/>
  <c r="B358" i="6"/>
  <c r="A359" i="6"/>
  <c r="G213" i="6"/>
  <c r="E214" i="6" s="1"/>
  <c r="F214" i="6" s="1"/>
  <c r="H214" i="6" s="1"/>
  <c r="G214" i="6" l="1"/>
  <c r="E215" i="6" s="1"/>
  <c r="A360" i="6"/>
  <c r="B359" i="6"/>
  <c r="C359" i="6"/>
  <c r="D359" i="6" s="1"/>
  <c r="B360" i="6" l="1"/>
  <c r="A361" i="6"/>
  <c r="C360" i="6"/>
  <c r="D360" i="6" s="1"/>
  <c r="F215" i="6"/>
  <c r="H215" i="6" s="1"/>
  <c r="G215" i="6" l="1"/>
  <c r="E216" i="6" s="1"/>
  <c r="C361" i="6"/>
  <c r="D361" i="6" s="1"/>
  <c r="B361" i="6"/>
  <c r="A362" i="6"/>
  <c r="A363" i="6" l="1"/>
  <c r="B362" i="6"/>
  <c r="C362" i="6"/>
  <c r="D362" i="6" s="1"/>
  <c r="F216" i="6"/>
  <c r="H216" i="6" s="1"/>
  <c r="G216" i="6" l="1"/>
  <c r="E217" i="6" s="1"/>
  <c r="B363" i="6"/>
  <c r="A364" i="6"/>
  <c r="C363" i="6"/>
  <c r="D363" i="6" s="1"/>
  <c r="F217" i="6"/>
  <c r="H217" i="6" s="1"/>
  <c r="C364" i="6" l="1"/>
  <c r="D364" i="6" s="1"/>
  <c r="B364" i="6"/>
  <c r="A365" i="6"/>
  <c r="G217" i="6"/>
  <c r="E218" i="6" s="1"/>
  <c r="A366" i="6" l="1"/>
  <c r="B365" i="6"/>
  <c r="C365" i="6"/>
  <c r="D365" i="6" s="1"/>
  <c r="F218" i="6"/>
  <c r="H218" i="6" s="1"/>
  <c r="G218" i="6" l="1"/>
  <c r="E219" i="6" s="1"/>
  <c r="B366" i="6"/>
  <c r="A367" i="6"/>
  <c r="C366" i="6"/>
  <c r="D366" i="6" s="1"/>
  <c r="C367" i="6" l="1"/>
  <c r="D367" i="6" s="1"/>
  <c r="B367" i="6"/>
  <c r="A368" i="6"/>
  <c r="F219" i="6"/>
  <c r="H219" i="6" s="1"/>
  <c r="A369" i="6" l="1"/>
  <c r="B368" i="6"/>
  <c r="C368" i="6"/>
  <c r="D368" i="6" s="1"/>
  <c r="G219" i="6"/>
  <c r="E220" i="6" s="1"/>
  <c r="F220" i="6" l="1"/>
  <c r="H220" i="6" s="1"/>
  <c r="B369" i="6"/>
  <c r="A370" i="6"/>
  <c r="C369" i="6"/>
  <c r="D369" i="6" s="1"/>
  <c r="C370" i="6" l="1"/>
  <c r="D370" i="6" s="1"/>
  <c r="B370" i="6"/>
  <c r="A371" i="6"/>
  <c r="G220" i="6"/>
  <c r="E221" i="6" s="1"/>
  <c r="F221" i="6" s="1"/>
  <c r="H221" i="6" s="1"/>
  <c r="G221" i="6" l="1"/>
  <c r="E222" i="6" s="1"/>
  <c r="A372" i="6"/>
  <c r="B371" i="6"/>
  <c r="C371" i="6"/>
  <c r="D371" i="6" s="1"/>
  <c r="B372" i="6" l="1"/>
  <c r="A373" i="6"/>
  <c r="C372" i="6"/>
  <c r="D372" i="6" s="1"/>
  <c r="F222" i="6"/>
  <c r="H222" i="6" s="1"/>
  <c r="G222" i="6" l="1"/>
  <c r="E223" i="6" s="1"/>
  <c r="F223" i="6"/>
  <c r="H223" i="6" s="1"/>
  <c r="C373" i="6"/>
  <c r="D373" i="6" s="1"/>
  <c r="B373" i="6"/>
  <c r="A374" i="6"/>
  <c r="C374" i="6" l="1"/>
  <c r="D374" i="6" s="1"/>
  <c r="A375" i="6"/>
  <c r="B374" i="6"/>
  <c r="G223" i="6"/>
  <c r="E224" i="6" s="1"/>
  <c r="F224" i="6" s="1"/>
  <c r="H224" i="6" s="1"/>
  <c r="G224" i="6" l="1"/>
  <c r="E225" i="6" s="1"/>
  <c r="B375" i="6"/>
  <c r="A376" i="6"/>
  <c r="C375" i="6"/>
  <c r="D375" i="6" s="1"/>
  <c r="C376" i="6" l="1"/>
  <c r="D376" i="6" s="1"/>
  <c r="B376" i="6"/>
  <c r="A377" i="6"/>
  <c r="F225" i="6"/>
  <c r="H225" i="6" s="1"/>
  <c r="C377" i="6" l="1"/>
  <c r="D377" i="6" s="1"/>
  <c r="B377" i="6"/>
  <c r="A378" i="6"/>
  <c r="G225" i="6"/>
  <c r="E226" i="6" s="1"/>
  <c r="F226" i="6" s="1"/>
  <c r="H226" i="6" s="1"/>
  <c r="G226" i="6" l="1"/>
  <c r="E227" i="6" s="1"/>
  <c r="B378" i="6"/>
  <c r="A379" i="6"/>
  <c r="C378" i="6"/>
  <c r="D378" i="6" s="1"/>
  <c r="C379" i="6" l="1"/>
  <c r="D379" i="6" s="1"/>
  <c r="B379" i="6"/>
  <c r="A380" i="6"/>
  <c r="F227" i="6"/>
  <c r="H227" i="6" s="1"/>
  <c r="G227" i="6" l="1"/>
  <c r="E228" i="6" s="1"/>
  <c r="C380" i="6"/>
  <c r="D380" i="6" s="1"/>
  <c r="A381" i="6"/>
  <c r="B380" i="6"/>
  <c r="B381" i="6" l="1"/>
  <c r="A382" i="6"/>
  <c r="C381" i="6"/>
  <c r="D381" i="6" s="1"/>
  <c r="F228" i="6"/>
  <c r="H228" i="6" s="1"/>
  <c r="G228" i="6" l="1"/>
  <c r="E229" i="6" s="1"/>
  <c r="B382" i="6"/>
  <c r="C382" i="6"/>
  <c r="D382" i="6" s="1"/>
  <c r="A383" i="6"/>
  <c r="A384" i="6" l="1"/>
  <c r="C383" i="6"/>
  <c r="D383" i="6" s="1"/>
  <c r="B383" i="6"/>
  <c r="F229" i="6"/>
  <c r="H229" i="6" s="1"/>
  <c r="G229" i="6" l="1"/>
  <c r="E230" i="6" s="1"/>
  <c r="C384" i="6"/>
  <c r="D384" i="6" s="1"/>
  <c r="A385" i="6"/>
  <c r="B384" i="6"/>
  <c r="E384" i="6"/>
  <c r="C385" i="6" l="1"/>
  <c r="D385" i="6" s="1"/>
  <c r="B385" i="6"/>
  <c r="A386" i="6"/>
  <c r="F230" i="6"/>
  <c r="H230" i="6" s="1"/>
  <c r="F231" i="6" s="1"/>
  <c r="G230" i="6" l="1"/>
  <c r="G231" i="6"/>
  <c r="E232" i="6" s="1"/>
  <c r="H231" i="6"/>
  <c r="F232" i="6" s="1"/>
  <c r="H232" i="6" s="1"/>
  <c r="A387" i="6"/>
  <c r="C386" i="6"/>
  <c r="D386" i="6" s="1"/>
  <c r="B386" i="6"/>
  <c r="C387" i="6" l="1"/>
  <c r="D387" i="6" s="1"/>
  <c r="A388" i="6"/>
  <c r="B387" i="6"/>
  <c r="G232" i="6"/>
  <c r="E233" i="6" s="1"/>
  <c r="C388" i="6" l="1"/>
  <c r="D388" i="6" s="1"/>
  <c r="B388" i="6"/>
  <c r="A389" i="6"/>
  <c r="F233" i="6"/>
  <c r="H233" i="6" s="1"/>
  <c r="G233" i="6" l="1"/>
  <c r="E234" i="6" s="1"/>
  <c r="A390" i="6"/>
  <c r="C389" i="6"/>
  <c r="D389" i="6" s="1"/>
  <c r="B389" i="6"/>
  <c r="C390" i="6" l="1"/>
  <c r="D390" i="6" s="1"/>
  <c r="A391" i="6"/>
  <c r="B390" i="6"/>
  <c r="F234" i="6"/>
  <c r="H234" i="6" s="1"/>
  <c r="G234" i="6" l="1"/>
  <c r="E235" i="6" s="1"/>
  <c r="F235" i="6"/>
  <c r="H235" i="6" s="1"/>
  <c r="C391" i="6"/>
  <c r="D391" i="6" s="1"/>
  <c r="B391" i="6"/>
  <c r="A392" i="6"/>
  <c r="A393" i="6" l="1"/>
  <c r="C392" i="6"/>
  <c r="D392" i="6" s="1"/>
  <c r="B392" i="6"/>
  <c r="G235" i="6"/>
  <c r="E236" i="6" s="1"/>
  <c r="F236" i="6" l="1"/>
  <c r="H236" i="6" s="1"/>
  <c r="C393" i="6"/>
  <c r="D393" i="6" s="1"/>
  <c r="A394" i="6"/>
  <c r="B393" i="6"/>
  <c r="C394" i="6" l="1"/>
  <c r="D394" i="6" s="1"/>
  <c r="B394" i="6"/>
  <c r="A395" i="6"/>
  <c r="G236" i="6"/>
  <c r="E237" i="6" s="1"/>
  <c r="F237" i="6" l="1"/>
  <c r="H237" i="6" s="1"/>
  <c r="A396" i="6"/>
  <c r="C395" i="6"/>
  <c r="D395" i="6" s="1"/>
  <c r="B395" i="6"/>
  <c r="C396" i="6" l="1"/>
  <c r="D396" i="6" s="1"/>
  <c r="A397" i="6"/>
  <c r="B396" i="6"/>
  <c r="G237" i="6"/>
  <c r="E238" i="6" s="1"/>
  <c r="F238" i="6" s="1"/>
  <c r="H238" i="6" s="1"/>
  <c r="G238" i="6" l="1"/>
  <c r="E239" i="6" s="1"/>
  <c r="C397" i="6"/>
  <c r="D397" i="6" s="1"/>
  <c r="B397" i="6"/>
  <c r="A398" i="6"/>
  <c r="A399" i="6" l="1"/>
  <c r="C398" i="6"/>
  <c r="D398" i="6" s="1"/>
  <c r="B398" i="6"/>
  <c r="F239" i="6"/>
  <c r="H239" i="6" s="1"/>
  <c r="G239" i="6" l="1"/>
  <c r="E240" i="6" s="1"/>
  <c r="C399" i="6"/>
  <c r="D399" i="6" s="1"/>
  <c r="A400" i="6"/>
  <c r="B399" i="6"/>
  <c r="C400" i="6" l="1"/>
  <c r="D400" i="6" s="1"/>
  <c r="B400" i="6"/>
  <c r="A401" i="6"/>
  <c r="F240" i="6"/>
  <c r="H240" i="6" s="1"/>
  <c r="G240" i="6" l="1"/>
  <c r="E241" i="6" s="1"/>
  <c r="F241" i="6" s="1"/>
  <c r="H241" i="6" s="1"/>
  <c r="A402" i="6"/>
  <c r="C401" i="6"/>
  <c r="D401" i="6" s="1"/>
  <c r="B401" i="6"/>
  <c r="C402" i="6" l="1"/>
  <c r="D402" i="6" s="1"/>
  <c r="A403" i="6"/>
  <c r="B402" i="6"/>
  <c r="G241" i="6"/>
  <c r="E242" i="6" s="1"/>
  <c r="C403" i="6" l="1"/>
  <c r="D403" i="6" s="1"/>
  <c r="B403" i="6"/>
  <c r="A404" i="6"/>
  <c r="F242" i="6"/>
  <c r="H242" i="6" s="1"/>
  <c r="A405" i="6" l="1"/>
  <c r="C404" i="6"/>
  <c r="D404" i="6" s="1"/>
  <c r="B404" i="6"/>
  <c r="G242" i="6"/>
  <c r="E243" i="6" s="1"/>
  <c r="F243" i="6" l="1"/>
  <c r="H243" i="6" s="1"/>
  <c r="C405" i="6"/>
  <c r="D405" i="6" s="1"/>
  <c r="A406" i="6"/>
  <c r="B405" i="6"/>
  <c r="G243" i="6" l="1"/>
  <c r="E244" i="6" s="1"/>
  <c r="C406" i="6"/>
  <c r="D406" i="6" s="1"/>
  <c r="B406" i="6"/>
  <c r="A407" i="6"/>
  <c r="A408" i="6" l="1"/>
  <c r="C407" i="6"/>
  <c r="D407" i="6" s="1"/>
  <c r="B407" i="6"/>
  <c r="F244" i="6"/>
  <c r="H244" i="6" s="1"/>
  <c r="G244" i="6" l="1"/>
  <c r="E245" i="6" s="1"/>
  <c r="F245" i="6" s="1"/>
  <c r="H245" i="6" s="1"/>
  <c r="C408" i="6"/>
  <c r="D408" i="6" s="1"/>
  <c r="A409" i="6"/>
  <c r="B408" i="6"/>
  <c r="C409" i="6" l="1"/>
  <c r="D409" i="6" s="1"/>
  <c r="B409" i="6"/>
  <c r="A410" i="6"/>
  <c r="G245" i="6"/>
  <c r="E246" i="6" s="1"/>
  <c r="A411" i="6" l="1"/>
  <c r="C410" i="6"/>
  <c r="D410" i="6" s="1"/>
  <c r="B410" i="6"/>
  <c r="F246" i="6"/>
  <c r="H246" i="6" s="1"/>
  <c r="G246" i="6" l="1"/>
  <c r="E247" i="6" s="1"/>
  <c r="C411" i="6"/>
  <c r="D411" i="6" s="1"/>
  <c r="A412" i="6"/>
  <c r="B411" i="6"/>
  <c r="C412" i="6" l="1"/>
  <c r="D412" i="6" s="1"/>
  <c r="B412" i="6"/>
  <c r="A413" i="6"/>
  <c r="F247" i="6"/>
  <c r="H247" i="6" s="1"/>
  <c r="A414" i="6" l="1"/>
  <c r="C413" i="6"/>
  <c r="D413" i="6" s="1"/>
  <c r="B413" i="6"/>
  <c r="G247" i="6"/>
  <c r="E248" i="6" s="1"/>
  <c r="F248" i="6" l="1"/>
  <c r="H248" i="6" s="1"/>
  <c r="C414" i="6"/>
  <c r="D414" i="6" s="1"/>
  <c r="A415" i="6"/>
  <c r="B414" i="6"/>
  <c r="E414" i="6"/>
  <c r="C415" i="6" l="1"/>
  <c r="D415" i="6" s="1"/>
  <c r="B415" i="6"/>
  <c r="A416" i="6"/>
  <c r="G248" i="6"/>
  <c r="E249" i="6" s="1"/>
  <c r="F249" i="6" l="1"/>
  <c r="H249" i="6" s="1"/>
  <c r="A417" i="6"/>
  <c r="C416" i="6"/>
  <c r="D416" i="6" s="1"/>
  <c r="B416" i="6"/>
  <c r="C417" i="6" l="1"/>
  <c r="D417" i="6" s="1"/>
  <c r="A418" i="6"/>
  <c r="B417" i="6"/>
  <c r="G249" i="6"/>
  <c r="E250" i="6" s="1"/>
  <c r="F250" i="6" l="1"/>
  <c r="H250" i="6" s="1"/>
  <c r="C418" i="6"/>
  <c r="D418" i="6" s="1"/>
  <c r="B418" i="6"/>
  <c r="A419" i="6"/>
  <c r="A420" i="6" l="1"/>
  <c r="C419" i="6"/>
  <c r="D419" i="6" s="1"/>
  <c r="B419" i="6"/>
  <c r="G250" i="6"/>
  <c r="E251" i="6" s="1"/>
  <c r="F251" i="6" l="1"/>
  <c r="H251" i="6" s="1"/>
  <c r="C420" i="6"/>
  <c r="D420" i="6" s="1"/>
  <c r="A421" i="6"/>
  <c r="B420" i="6"/>
  <c r="C421" i="6" l="1"/>
  <c r="D421" i="6" s="1"/>
  <c r="B421" i="6"/>
  <c r="A422" i="6"/>
  <c r="G251" i="6"/>
  <c r="E252" i="6" s="1"/>
  <c r="F252" i="6" s="1"/>
  <c r="H252" i="6" s="1"/>
  <c r="A423" i="6" l="1"/>
  <c r="C422" i="6"/>
  <c r="D422" i="6" s="1"/>
  <c r="B422" i="6"/>
  <c r="G252" i="6"/>
  <c r="E253" i="6" s="1"/>
  <c r="C423" i="6" l="1"/>
  <c r="D423" i="6" s="1"/>
  <c r="A424" i="6"/>
  <c r="B423" i="6"/>
  <c r="F253" i="6"/>
  <c r="H253" i="6" s="1"/>
  <c r="C424" i="6" l="1"/>
  <c r="D424" i="6" s="1"/>
  <c r="B424" i="6"/>
  <c r="A425" i="6"/>
  <c r="G253" i="6"/>
  <c r="E254" i="6" s="1"/>
  <c r="A426" i="6" l="1"/>
  <c r="C425" i="6"/>
  <c r="D425" i="6" s="1"/>
  <c r="B425" i="6"/>
  <c r="F254" i="6"/>
  <c r="H254" i="6" s="1"/>
  <c r="C426" i="6" l="1"/>
  <c r="D426" i="6" s="1"/>
  <c r="A427" i="6"/>
  <c r="B426" i="6"/>
  <c r="G254" i="6"/>
  <c r="E255" i="6" s="1"/>
  <c r="C427" i="6" l="1"/>
  <c r="D427" i="6" s="1"/>
  <c r="B427" i="6"/>
  <c r="A428" i="6"/>
  <c r="F255" i="6"/>
  <c r="H255" i="6" s="1"/>
  <c r="A429" i="6" l="1"/>
  <c r="C428" i="6"/>
  <c r="D428" i="6" s="1"/>
  <c r="B428" i="6"/>
  <c r="G255" i="6"/>
  <c r="E256" i="6" s="1"/>
  <c r="C429" i="6" l="1"/>
  <c r="D429" i="6" s="1"/>
  <c r="A430" i="6"/>
  <c r="B429" i="6"/>
  <c r="F256" i="6"/>
  <c r="H256" i="6" s="1"/>
  <c r="C430" i="6" l="1"/>
  <c r="D430" i="6" s="1"/>
  <c r="B430" i="6"/>
  <c r="A431" i="6"/>
  <c r="G256" i="6"/>
  <c r="E257" i="6" s="1"/>
  <c r="A432" i="6" l="1"/>
  <c r="C431" i="6"/>
  <c r="D431" i="6" s="1"/>
  <c r="B431" i="6"/>
  <c r="F257" i="6"/>
  <c r="H257" i="6" s="1"/>
  <c r="G257" i="6" l="1"/>
  <c r="E258" i="6" s="1"/>
  <c r="C432" i="6"/>
  <c r="D432" i="6" s="1"/>
  <c r="A433" i="6"/>
  <c r="B432" i="6"/>
  <c r="C433" i="6" l="1"/>
  <c r="D433" i="6" s="1"/>
  <c r="B433" i="6"/>
  <c r="A434" i="6"/>
  <c r="F258" i="6"/>
  <c r="H258" i="6" s="1"/>
  <c r="G258" i="6" l="1"/>
  <c r="E259" i="6" s="1"/>
  <c r="F259" i="6" s="1"/>
  <c r="H259" i="6" s="1"/>
  <c r="A435" i="6"/>
  <c r="C434" i="6"/>
  <c r="D434" i="6" s="1"/>
  <c r="B434" i="6"/>
  <c r="C435" i="6" l="1"/>
  <c r="D435" i="6" s="1"/>
  <c r="A436" i="6"/>
  <c r="B435" i="6"/>
  <c r="G259" i="6"/>
  <c r="E260" i="6" s="1"/>
  <c r="C436" i="6" l="1"/>
  <c r="D436" i="6" s="1"/>
  <c r="B436" i="6"/>
  <c r="A437" i="6"/>
  <c r="F260" i="6"/>
  <c r="H260" i="6" s="1"/>
  <c r="F261" i="6" s="1"/>
  <c r="A438" i="6" l="1"/>
  <c r="C437" i="6"/>
  <c r="D437" i="6" s="1"/>
  <c r="B437" i="6"/>
  <c r="H261" i="6"/>
  <c r="G261" i="6"/>
  <c r="E262" i="6" s="1"/>
  <c r="G260" i="6"/>
  <c r="F262" i="6" l="1"/>
  <c r="H262" i="6" s="1"/>
  <c r="C438" i="6"/>
  <c r="D438" i="6" s="1"/>
  <c r="A439" i="6"/>
  <c r="B438" i="6"/>
  <c r="G262" i="6" l="1"/>
  <c r="E263" i="6" s="1"/>
  <c r="C439" i="6"/>
  <c r="D439" i="6" s="1"/>
  <c r="B439" i="6"/>
  <c r="A440" i="6"/>
  <c r="F263" i="6"/>
  <c r="H263" i="6" s="1"/>
  <c r="G263" i="6" l="1"/>
  <c r="E264" i="6" s="1"/>
  <c r="A441" i="6"/>
  <c r="C440" i="6"/>
  <c r="D440" i="6" s="1"/>
  <c r="B440" i="6"/>
  <c r="F264" i="6"/>
  <c r="H264" i="6" s="1"/>
  <c r="C441" i="6" l="1"/>
  <c r="D441" i="6" s="1"/>
  <c r="A442" i="6"/>
  <c r="B441" i="6"/>
  <c r="G264" i="6"/>
  <c r="E265" i="6" s="1"/>
  <c r="C442" i="6" l="1"/>
  <c r="D442" i="6" s="1"/>
  <c r="B442" i="6"/>
  <c r="A443" i="6"/>
  <c r="F265" i="6"/>
  <c r="H265" i="6" s="1"/>
  <c r="A444" i="6" l="1"/>
  <c r="C443" i="6"/>
  <c r="D443" i="6" s="1"/>
  <c r="B443" i="6"/>
  <c r="G265" i="6"/>
  <c r="E266" i="6" s="1"/>
  <c r="C444" i="6" l="1"/>
  <c r="D444" i="6" s="1"/>
  <c r="A445" i="6"/>
  <c r="B444" i="6"/>
  <c r="F266" i="6"/>
  <c r="H266" i="6" s="1"/>
  <c r="E445" i="6" l="1"/>
  <c r="C445" i="6"/>
  <c r="D445" i="6" s="1"/>
  <c r="B445" i="6"/>
  <c r="A446" i="6"/>
  <c r="G266" i="6"/>
  <c r="E267" i="6" s="1"/>
  <c r="F267" i="6" s="1"/>
  <c r="H267" i="6" s="1"/>
  <c r="G267" i="6" l="1"/>
  <c r="E268" i="6" s="1"/>
  <c r="A447" i="6"/>
  <c r="C446" i="6"/>
  <c r="D446" i="6" s="1"/>
  <c r="B446" i="6"/>
  <c r="C447" i="6" l="1"/>
  <c r="D447" i="6" s="1"/>
  <c r="A448" i="6"/>
  <c r="B447" i="6"/>
  <c r="F268" i="6"/>
  <c r="H268" i="6" s="1"/>
  <c r="G268" i="6" l="1"/>
  <c r="E269" i="6" s="1"/>
  <c r="C448" i="6"/>
  <c r="D448" i="6" s="1"/>
  <c r="B448" i="6"/>
  <c r="A449" i="6"/>
  <c r="A450" i="6" l="1"/>
  <c r="C449" i="6"/>
  <c r="D449" i="6" s="1"/>
  <c r="B449" i="6"/>
  <c r="F269" i="6"/>
  <c r="H269" i="6" s="1"/>
  <c r="G269" i="6" l="1"/>
  <c r="E270" i="6" s="1"/>
  <c r="F270" i="6"/>
  <c r="H270" i="6" s="1"/>
  <c r="C450" i="6"/>
  <c r="D450" i="6" s="1"/>
  <c r="A451" i="6"/>
  <c r="B450" i="6"/>
  <c r="C451" i="6" l="1"/>
  <c r="D451" i="6" s="1"/>
  <c r="B451" i="6"/>
  <c r="A452" i="6"/>
  <c r="G270" i="6"/>
  <c r="E271" i="6" s="1"/>
  <c r="F271" i="6" l="1"/>
  <c r="H271" i="6" s="1"/>
  <c r="A453" i="6"/>
  <c r="C452" i="6"/>
  <c r="D452" i="6" s="1"/>
  <c r="B452" i="6"/>
  <c r="C453" i="6" l="1"/>
  <c r="D453" i="6" s="1"/>
  <c r="A454" i="6"/>
  <c r="B453" i="6"/>
  <c r="G271" i="6"/>
  <c r="E272" i="6" s="1"/>
  <c r="A455" i="6" l="1"/>
  <c r="B454" i="6"/>
  <c r="C454" i="6"/>
  <c r="D454" i="6" s="1"/>
  <c r="F272" i="6"/>
  <c r="H272" i="6" s="1"/>
  <c r="G272" i="6" l="1"/>
  <c r="E273" i="6" s="1"/>
  <c r="F273" i="6" s="1"/>
  <c r="H273" i="6" s="1"/>
  <c r="B455" i="6"/>
  <c r="A456" i="6"/>
  <c r="C455" i="6"/>
  <c r="D455" i="6" s="1"/>
  <c r="C456" i="6" l="1"/>
  <c r="D456" i="6" s="1"/>
  <c r="B456" i="6"/>
  <c r="A457" i="6"/>
  <c r="G273" i="6"/>
  <c r="E274" i="6" s="1"/>
  <c r="F274" i="6" l="1"/>
  <c r="H274" i="6" s="1"/>
  <c r="A458" i="6"/>
  <c r="C457" i="6"/>
  <c r="D457" i="6" s="1"/>
  <c r="B457" i="6"/>
  <c r="B458" i="6" l="1"/>
  <c r="A459" i="6"/>
  <c r="C458" i="6"/>
  <c r="D458" i="6" s="1"/>
  <c r="G274" i="6"/>
  <c r="E275" i="6" s="1"/>
  <c r="F275" i="6" s="1"/>
  <c r="H275" i="6" s="1"/>
  <c r="G275" i="6" l="1"/>
  <c r="E276" i="6" s="1"/>
  <c r="C459" i="6"/>
  <c r="D459" i="6" s="1"/>
  <c r="A460" i="6"/>
  <c r="B459" i="6"/>
  <c r="C460" i="6" l="1"/>
  <c r="D460" i="6" s="1"/>
  <c r="B460" i="6"/>
  <c r="A461" i="6"/>
  <c r="F276" i="6"/>
  <c r="H276" i="6" s="1"/>
  <c r="G276" i="6" l="1"/>
  <c r="E277" i="6" s="1"/>
  <c r="B461" i="6"/>
  <c r="A462" i="6"/>
  <c r="C461" i="6"/>
  <c r="D461" i="6" s="1"/>
  <c r="C462" i="6" l="1"/>
  <c r="D462" i="6" s="1"/>
  <c r="A463" i="6"/>
  <c r="B462" i="6"/>
  <c r="F277" i="6"/>
  <c r="H277" i="6" s="1"/>
  <c r="C463" i="6" l="1"/>
  <c r="D463" i="6" s="1"/>
  <c r="A464" i="6"/>
  <c r="B463" i="6"/>
  <c r="G277" i="6"/>
  <c r="E278" i="6" s="1"/>
  <c r="F278" i="6" s="1"/>
  <c r="H278" i="6" s="1"/>
  <c r="B464" i="6" l="1"/>
  <c r="A465" i="6"/>
  <c r="C464" i="6"/>
  <c r="D464" i="6" s="1"/>
  <c r="G278" i="6"/>
  <c r="E279" i="6" s="1"/>
  <c r="C465" i="6" l="1"/>
  <c r="D465" i="6" s="1"/>
  <c r="A466" i="6"/>
  <c r="B465" i="6"/>
  <c r="F279" i="6"/>
  <c r="H279" i="6" s="1"/>
  <c r="C466" i="6" l="1"/>
  <c r="D466" i="6" s="1"/>
  <c r="A467" i="6"/>
  <c r="B466" i="6"/>
  <c r="G279" i="6"/>
  <c r="E280" i="6" s="1"/>
  <c r="B467" i="6" l="1"/>
  <c r="A468" i="6"/>
  <c r="C467" i="6"/>
  <c r="D467" i="6" s="1"/>
  <c r="F280" i="6"/>
  <c r="H280" i="6" s="1"/>
  <c r="G280" i="6" l="1"/>
  <c r="E281" i="6" s="1"/>
  <c r="F281" i="6" s="1"/>
  <c r="H281" i="6" s="1"/>
  <c r="C468" i="6"/>
  <c r="D468" i="6" s="1"/>
  <c r="B468" i="6"/>
  <c r="A469" i="6"/>
  <c r="C469" i="6" l="1"/>
  <c r="D469" i="6" s="1"/>
  <c r="A470" i="6"/>
  <c r="B469" i="6"/>
  <c r="G281" i="6"/>
  <c r="E282" i="6" s="1"/>
  <c r="F282" i="6" l="1"/>
  <c r="H282" i="6" s="1"/>
  <c r="B470" i="6"/>
  <c r="A471" i="6"/>
  <c r="C470" i="6"/>
  <c r="D470" i="6" s="1"/>
  <c r="C471" i="6" l="1"/>
  <c r="D471" i="6" s="1"/>
  <c r="B471" i="6"/>
  <c r="A472" i="6"/>
  <c r="G282" i="6"/>
  <c r="E283" i="6" s="1"/>
  <c r="C472" i="6" l="1"/>
  <c r="D472" i="6" s="1"/>
  <c r="A473" i="6"/>
  <c r="B472" i="6"/>
  <c r="F283" i="6"/>
  <c r="H283" i="6" s="1"/>
  <c r="B473" i="6" l="1"/>
  <c r="A474" i="6"/>
  <c r="C473" i="6"/>
  <c r="D473" i="6" s="1"/>
  <c r="G283" i="6"/>
  <c r="E284" i="6" s="1"/>
  <c r="F284" i="6" l="1"/>
  <c r="H284" i="6" s="1"/>
  <c r="C474" i="6"/>
  <c r="D474" i="6" s="1"/>
  <c r="A475" i="6"/>
  <c r="B474" i="6"/>
  <c r="C475" i="6" l="1"/>
  <c r="D475" i="6" s="1"/>
  <c r="B475" i="6"/>
  <c r="A476" i="6"/>
  <c r="G284" i="6"/>
  <c r="E285" i="6" s="1"/>
  <c r="F285" i="6" l="1"/>
  <c r="H285" i="6" s="1"/>
  <c r="B476" i="6"/>
  <c r="A477" i="6"/>
  <c r="C476" i="6"/>
  <c r="D476" i="6" s="1"/>
  <c r="E476" i="6"/>
  <c r="C477" i="6" l="1"/>
  <c r="D477" i="6" s="1"/>
  <c r="A478" i="6"/>
  <c r="B477" i="6"/>
  <c r="G285" i="6"/>
  <c r="E286" i="6" s="1"/>
  <c r="F286" i="6" s="1"/>
  <c r="H286" i="6" s="1"/>
  <c r="G286" i="6" l="1"/>
  <c r="E287" i="6" s="1"/>
  <c r="C478" i="6"/>
  <c r="D478" i="6" s="1"/>
  <c r="B478" i="6"/>
  <c r="A479" i="6"/>
  <c r="B479" i="6" l="1"/>
  <c r="A480" i="6"/>
  <c r="C479" i="6"/>
  <c r="D479" i="6" s="1"/>
  <c r="F287" i="6"/>
  <c r="H287" i="6" s="1"/>
  <c r="G287" i="6" l="1"/>
  <c r="E288" i="6" s="1"/>
  <c r="F288" i="6" s="1"/>
  <c r="H288" i="6" s="1"/>
  <c r="C480" i="6"/>
  <c r="D480" i="6" s="1"/>
  <c r="A481" i="6"/>
  <c r="B480" i="6"/>
  <c r="C481" i="6" l="1"/>
  <c r="D481" i="6" s="1"/>
  <c r="A482" i="6"/>
  <c r="B481" i="6"/>
  <c r="G288" i="6"/>
  <c r="E289" i="6" s="1"/>
  <c r="F289" i="6" s="1"/>
  <c r="H289" i="6" s="1"/>
  <c r="G289" i="6" l="1"/>
  <c r="E290" i="6" s="1"/>
  <c r="B482" i="6"/>
  <c r="A483" i="6"/>
  <c r="C482" i="6"/>
  <c r="D482" i="6" s="1"/>
  <c r="C483" i="6" l="1"/>
  <c r="D483" i="6" s="1"/>
  <c r="A484" i="6"/>
  <c r="B483" i="6"/>
  <c r="F290" i="6"/>
  <c r="H290" i="6" s="1"/>
  <c r="G290" i="6" l="1"/>
  <c r="E291" i="6" s="1"/>
  <c r="F291" i="6" s="1"/>
  <c r="H291" i="6" s="1"/>
  <c r="F292" i="6" s="1"/>
  <c r="C484" i="6"/>
  <c r="D484" i="6" s="1"/>
  <c r="A485" i="6"/>
  <c r="B484" i="6"/>
  <c r="H292" i="6" l="1"/>
  <c r="G292" i="6"/>
  <c r="E293" i="6" s="1"/>
  <c r="B485" i="6"/>
  <c r="A486" i="6"/>
  <c r="C485" i="6"/>
  <c r="D485" i="6" s="1"/>
  <c r="G291" i="6"/>
  <c r="C486" i="6" l="1"/>
  <c r="D486" i="6" s="1"/>
  <c r="B486" i="6"/>
  <c r="A487" i="6"/>
  <c r="F293" i="6"/>
  <c r="H293" i="6" s="1"/>
  <c r="G293" i="6" l="1"/>
  <c r="E294" i="6" s="1"/>
  <c r="C487" i="6"/>
  <c r="D487" i="6" s="1"/>
  <c r="A488" i="6"/>
  <c r="B487" i="6"/>
  <c r="B488" i="6" l="1"/>
  <c r="A489" i="6"/>
  <c r="C488" i="6"/>
  <c r="D488" i="6" s="1"/>
  <c r="F294" i="6"/>
  <c r="H294" i="6" s="1"/>
  <c r="G294" i="6" l="1"/>
  <c r="E295" i="6" s="1"/>
  <c r="F295" i="6"/>
  <c r="H295" i="6" s="1"/>
  <c r="C489" i="6"/>
  <c r="D489" i="6" s="1"/>
  <c r="B489" i="6"/>
  <c r="A490" i="6"/>
  <c r="C490" i="6" l="1"/>
  <c r="D490" i="6" s="1"/>
  <c r="A491" i="6"/>
  <c r="B490" i="6"/>
  <c r="G295" i="6"/>
  <c r="E296" i="6" s="1"/>
  <c r="B491" i="6" l="1"/>
  <c r="A492" i="6"/>
  <c r="C491" i="6"/>
  <c r="D491" i="6" s="1"/>
  <c r="F296" i="6"/>
  <c r="H296" i="6" s="1"/>
  <c r="C492" i="6" l="1"/>
  <c r="D492" i="6" s="1"/>
  <c r="A493" i="6"/>
  <c r="B492" i="6"/>
  <c r="G296" i="6"/>
  <c r="E297" i="6" s="1"/>
  <c r="C493" i="6" l="1"/>
  <c r="D493" i="6" s="1"/>
  <c r="B493" i="6"/>
  <c r="A494" i="6"/>
  <c r="F297" i="6"/>
  <c r="H297" i="6" s="1"/>
  <c r="B494" i="6" l="1"/>
  <c r="A495" i="6"/>
  <c r="C494" i="6"/>
  <c r="D494" i="6" s="1"/>
  <c r="G297" i="6"/>
  <c r="E298" i="6" s="1"/>
  <c r="F298" i="6" s="1"/>
  <c r="H298" i="6" s="1"/>
  <c r="G298" i="6" l="1"/>
  <c r="E299" i="6" s="1"/>
  <c r="C495" i="6"/>
  <c r="D495" i="6" s="1"/>
  <c r="A496" i="6"/>
  <c r="B495" i="6"/>
  <c r="C496" i="6" l="1"/>
  <c r="D496" i="6" s="1"/>
  <c r="A497" i="6"/>
  <c r="B496" i="6"/>
  <c r="F299" i="6"/>
  <c r="H299" i="6" s="1"/>
  <c r="G299" i="6" l="1"/>
  <c r="E300" i="6" s="1"/>
  <c r="B497" i="6"/>
  <c r="A498" i="6"/>
  <c r="C497" i="6"/>
  <c r="D497" i="6" s="1"/>
  <c r="B498" i="6" l="1"/>
  <c r="A499" i="6"/>
  <c r="C498" i="6"/>
  <c r="D498" i="6" s="1"/>
  <c r="F300" i="6"/>
  <c r="H300" i="6" s="1"/>
  <c r="G300" i="6" l="1"/>
  <c r="E301" i="6" s="1"/>
  <c r="C499" i="6"/>
  <c r="D499" i="6" s="1"/>
  <c r="B499" i="6"/>
  <c r="A500" i="6"/>
  <c r="A501" i="6" l="1"/>
  <c r="C500" i="6"/>
  <c r="D500" i="6" s="1"/>
  <c r="B500" i="6"/>
  <c r="F301" i="6"/>
  <c r="H301" i="6" s="1"/>
  <c r="G301" i="6" l="1"/>
  <c r="E302" i="6" s="1"/>
  <c r="F302" i="6"/>
  <c r="H302" i="6" s="1"/>
  <c r="C501" i="6"/>
  <c r="D501" i="6" s="1"/>
  <c r="A502" i="6"/>
  <c r="B501" i="6"/>
  <c r="C502" i="6" l="1"/>
  <c r="D502" i="6" s="1"/>
  <c r="B502" i="6"/>
  <c r="A503" i="6"/>
  <c r="G302" i="6"/>
  <c r="E303" i="6" s="1"/>
  <c r="B503" i="6" l="1"/>
  <c r="C503" i="6"/>
  <c r="D503" i="6" s="1"/>
  <c r="A504" i="6"/>
  <c r="F303" i="6"/>
  <c r="H303" i="6" s="1"/>
  <c r="B504" i="6" l="1"/>
  <c r="A505" i="6"/>
  <c r="E504" i="6"/>
  <c r="C504" i="6"/>
  <c r="D504" i="6" s="1"/>
  <c r="G303" i="6"/>
  <c r="E304" i="6" s="1"/>
  <c r="F304" i="6" s="1"/>
  <c r="H304" i="6" s="1"/>
  <c r="G304" i="6" l="1"/>
  <c r="E305" i="6" s="1"/>
  <c r="C505" i="6"/>
  <c r="D505" i="6" s="1"/>
  <c r="A506" i="6"/>
  <c r="B505" i="6"/>
  <c r="C506" i="6" l="1"/>
  <c r="D506" i="6" s="1"/>
  <c r="A507" i="6"/>
  <c r="B506" i="6"/>
  <c r="F305" i="6"/>
  <c r="H305" i="6" s="1"/>
  <c r="G305" i="6" l="1"/>
  <c r="E306" i="6" s="1"/>
  <c r="B507" i="6"/>
  <c r="A508" i="6"/>
  <c r="C507" i="6"/>
  <c r="D507" i="6" s="1"/>
  <c r="C508" i="6" l="1"/>
  <c r="D508" i="6" s="1"/>
  <c r="B508" i="6"/>
  <c r="A509" i="6"/>
  <c r="F306" i="6"/>
  <c r="H306" i="6" s="1"/>
  <c r="G306" i="6" l="1"/>
  <c r="E307" i="6" s="1"/>
  <c r="A510" i="6"/>
  <c r="C509" i="6"/>
  <c r="D509" i="6" s="1"/>
  <c r="B509" i="6"/>
  <c r="C510" i="6" l="1"/>
  <c r="D510" i="6" s="1"/>
  <c r="A511" i="6"/>
  <c r="B510" i="6"/>
  <c r="F307" i="6"/>
  <c r="H307" i="6" s="1"/>
  <c r="A512" i="6" l="1"/>
  <c r="C511" i="6"/>
  <c r="D511" i="6" s="1"/>
  <c r="B511" i="6"/>
  <c r="G307" i="6"/>
  <c r="E308" i="6" s="1"/>
  <c r="A513" i="6" l="1"/>
  <c r="C512" i="6"/>
  <c r="D512" i="6" s="1"/>
  <c r="B512" i="6"/>
  <c r="F308" i="6"/>
  <c r="H308" i="6" s="1"/>
  <c r="B513" i="6" l="1"/>
  <c r="A514" i="6"/>
  <c r="C513" i="6"/>
  <c r="D513" i="6" s="1"/>
  <c r="G308" i="6"/>
  <c r="E309" i="6" s="1"/>
  <c r="B514" i="6" l="1"/>
  <c r="A515" i="6"/>
  <c r="C514" i="6"/>
  <c r="D514" i="6" s="1"/>
  <c r="F309" i="6"/>
  <c r="H309" i="6" s="1"/>
  <c r="C515" i="6" l="1"/>
  <c r="D515" i="6" s="1"/>
  <c r="A516" i="6"/>
  <c r="B515" i="6"/>
  <c r="G309" i="6"/>
  <c r="E310" i="6" s="1"/>
  <c r="C516" i="6" l="1"/>
  <c r="D516" i="6" s="1"/>
  <c r="B516" i="6"/>
  <c r="A517" i="6"/>
  <c r="F310" i="6"/>
  <c r="H310" i="6" s="1"/>
  <c r="A518" i="6" l="1"/>
  <c r="C517" i="6"/>
  <c r="D517" i="6" s="1"/>
  <c r="B517" i="6"/>
  <c r="G310" i="6"/>
  <c r="E311" i="6" s="1"/>
  <c r="B518" i="6" l="1"/>
  <c r="A519" i="6"/>
  <c r="C518" i="6"/>
  <c r="D518" i="6" s="1"/>
  <c r="F311" i="6"/>
  <c r="H311" i="6" s="1"/>
  <c r="A520" i="6" l="1"/>
  <c r="C519" i="6"/>
  <c r="D519" i="6" s="1"/>
  <c r="B519" i="6"/>
  <c r="G311" i="6"/>
  <c r="E312" i="6" s="1"/>
  <c r="B520" i="6" l="1"/>
  <c r="C520" i="6"/>
  <c r="D520" i="6" s="1"/>
  <c r="A521" i="6"/>
  <c r="F312" i="6"/>
  <c r="H312" i="6" s="1"/>
  <c r="B521" i="6" l="1"/>
  <c r="A522" i="6"/>
  <c r="C521" i="6"/>
  <c r="D521" i="6" s="1"/>
  <c r="G312" i="6"/>
  <c r="E313" i="6" s="1"/>
  <c r="F313" i="6" s="1"/>
  <c r="H313" i="6" s="1"/>
  <c r="G313" i="6" l="1"/>
  <c r="E314" i="6" s="1"/>
  <c r="B522" i="6"/>
  <c r="A523" i="6"/>
  <c r="C522" i="6"/>
  <c r="D522" i="6" s="1"/>
  <c r="A524" i="6" l="1"/>
  <c r="B523" i="6"/>
  <c r="C523" i="6"/>
  <c r="D523" i="6" s="1"/>
  <c r="F314" i="6"/>
  <c r="H314" i="6" s="1"/>
  <c r="G314" i="6" l="1"/>
  <c r="E315" i="6" s="1"/>
  <c r="A525" i="6"/>
  <c r="C524" i="6"/>
  <c r="D524" i="6" s="1"/>
  <c r="B524" i="6"/>
  <c r="B525" i="6" l="1"/>
  <c r="A526" i="6"/>
  <c r="C525" i="6"/>
  <c r="D525" i="6" s="1"/>
  <c r="F315" i="6"/>
  <c r="H315" i="6" s="1"/>
  <c r="C526" i="6" l="1"/>
  <c r="D526" i="6" s="1"/>
  <c r="B526" i="6"/>
  <c r="A527" i="6"/>
  <c r="G315" i="6"/>
  <c r="E316" i="6" s="1"/>
  <c r="A528" i="6" l="1"/>
  <c r="B527" i="6"/>
  <c r="C527" i="6"/>
  <c r="D527" i="6" s="1"/>
  <c r="F316" i="6"/>
  <c r="H316" i="6" s="1"/>
  <c r="G316" i="6" l="1"/>
  <c r="E317" i="6" s="1"/>
  <c r="A529" i="6"/>
  <c r="C528" i="6"/>
  <c r="D528" i="6" s="1"/>
  <c r="B528" i="6"/>
  <c r="A530" i="6" l="1"/>
  <c r="C529" i="6"/>
  <c r="D529" i="6" s="1"/>
  <c r="B529" i="6"/>
  <c r="F317" i="6"/>
  <c r="H317" i="6" s="1"/>
  <c r="G317" i="6" l="1"/>
  <c r="E318" i="6" s="1"/>
  <c r="A531" i="6"/>
  <c r="C530" i="6"/>
  <c r="D530" i="6" s="1"/>
  <c r="B530" i="6"/>
  <c r="B531" i="6" l="1"/>
  <c r="A532" i="6"/>
  <c r="C531" i="6"/>
  <c r="D531" i="6" s="1"/>
  <c r="F318" i="6"/>
  <c r="H318" i="6" s="1"/>
  <c r="G318" i="6" l="1"/>
  <c r="E319" i="6" s="1"/>
  <c r="F319" i="6"/>
  <c r="H319" i="6" s="1"/>
  <c r="A533" i="6"/>
  <c r="C532" i="6"/>
  <c r="D532" i="6" s="1"/>
  <c r="B532" i="6"/>
  <c r="C533" i="6" l="1"/>
  <c r="D533" i="6" s="1"/>
  <c r="A534" i="6"/>
  <c r="B533" i="6"/>
  <c r="G319" i="6"/>
  <c r="E320" i="6" s="1"/>
  <c r="F320" i="6" l="1"/>
  <c r="H320" i="6" s="1"/>
  <c r="C534" i="6"/>
  <c r="D534" i="6" s="1"/>
  <c r="B534" i="6"/>
  <c r="A535" i="6"/>
  <c r="C535" i="6" l="1"/>
  <c r="D535" i="6" s="1"/>
  <c r="B535" i="6"/>
  <c r="E535" i="6"/>
  <c r="A536" i="6"/>
  <c r="G320" i="6"/>
  <c r="E321" i="6" s="1"/>
  <c r="F321" i="6" l="1"/>
  <c r="H321" i="6" s="1"/>
  <c r="C536" i="6"/>
  <c r="D536" i="6" s="1"/>
  <c r="B536" i="6"/>
  <c r="A537" i="6"/>
  <c r="C537" i="6" l="1"/>
  <c r="D537" i="6" s="1"/>
  <c r="A538" i="6"/>
  <c r="B537" i="6"/>
  <c r="G321" i="6"/>
  <c r="E322" i="6" s="1"/>
  <c r="B538" i="6" l="1"/>
  <c r="A539" i="6"/>
  <c r="C538" i="6"/>
  <c r="D538" i="6" s="1"/>
  <c r="F322" i="6"/>
  <c r="H322" i="6" s="1"/>
  <c r="F323" i="6" s="1"/>
  <c r="G323" i="6" l="1"/>
  <c r="E324" i="6" s="1"/>
  <c r="H323" i="6"/>
  <c r="F324" i="6" s="1"/>
  <c r="H324" i="6" s="1"/>
  <c r="B539" i="6"/>
  <c r="C539" i="6"/>
  <c r="D539" i="6" s="1"/>
  <c r="A540" i="6"/>
  <c r="G322" i="6"/>
  <c r="A541" i="6" l="1"/>
  <c r="C540" i="6"/>
  <c r="D540" i="6" s="1"/>
  <c r="B540" i="6"/>
  <c r="G324" i="6"/>
  <c r="E325" i="6" s="1"/>
  <c r="F325" i="6" l="1"/>
  <c r="H325" i="6" s="1"/>
  <c r="B541" i="6"/>
  <c r="C541" i="6"/>
  <c r="D541" i="6" s="1"/>
  <c r="A542" i="6"/>
  <c r="C542" i="6" l="1"/>
  <c r="D542" i="6" s="1"/>
  <c r="B542" i="6"/>
  <c r="A543" i="6"/>
  <c r="G325" i="6"/>
  <c r="E326" i="6" s="1"/>
  <c r="F326" i="6" s="1"/>
  <c r="H326" i="6" s="1"/>
  <c r="B543" i="6" l="1"/>
  <c r="A544" i="6"/>
  <c r="C543" i="6"/>
  <c r="D543" i="6" s="1"/>
  <c r="G326" i="6"/>
  <c r="E327" i="6" s="1"/>
  <c r="B544" i="6" l="1"/>
  <c r="A545" i="6"/>
  <c r="C544" i="6"/>
  <c r="D544" i="6" s="1"/>
  <c r="F327" i="6"/>
  <c r="H327" i="6" s="1"/>
  <c r="A546" i="6" l="1"/>
  <c r="B545" i="6"/>
  <c r="C545" i="6"/>
  <c r="D545" i="6" s="1"/>
  <c r="G327" i="6"/>
  <c r="E328" i="6" s="1"/>
  <c r="B546" i="6" l="1"/>
  <c r="C546" i="6"/>
  <c r="D546" i="6" s="1"/>
  <c r="A547" i="6"/>
  <c r="F328" i="6"/>
  <c r="H328" i="6" s="1"/>
  <c r="A548" i="6" l="1"/>
  <c r="C547" i="6"/>
  <c r="D547" i="6" s="1"/>
  <c r="B547" i="6"/>
  <c r="G328" i="6"/>
  <c r="E329" i="6" s="1"/>
  <c r="F329" i="6" s="1"/>
  <c r="H329" i="6" s="1"/>
  <c r="G329" i="6" l="1"/>
  <c r="E330" i="6" s="1"/>
  <c r="F330" i="6" s="1"/>
  <c r="H330" i="6" s="1"/>
  <c r="A549" i="6"/>
  <c r="B548" i="6"/>
  <c r="C548" i="6"/>
  <c r="D548" i="6" s="1"/>
  <c r="B549" i="6" l="1"/>
  <c r="A550" i="6"/>
  <c r="C549" i="6"/>
  <c r="D549" i="6" s="1"/>
  <c r="G330" i="6"/>
  <c r="E331" i="6" s="1"/>
  <c r="A551" i="6" l="1"/>
  <c r="C550" i="6"/>
  <c r="D550" i="6" s="1"/>
  <c r="B550" i="6"/>
  <c r="F331" i="6"/>
  <c r="H331" i="6" s="1"/>
  <c r="C551" i="6" l="1"/>
  <c r="D551" i="6" s="1"/>
  <c r="B551" i="6"/>
  <c r="A552" i="6"/>
  <c r="G331" i="6"/>
  <c r="E332" i="6" s="1"/>
  <c r="C552" i="6" l="1"/>
  <c r="D552" i="6" s="1"/>
  <c r="B552" i="6"/>
  <c r="A553" i="6"/>
  <c r="F332" i="6"/>
  <c r="H332" i="6" s="1"/>
  <c r="G332" i="6" l="1"/>
  <c r="E333" i="6" s="1"/>
  <c r="A554" i="6"/>
  <c r="C553" i="6"/>
  <c r="D553" i="6" s="1"/>
  <c r="B553" i="6"/>
  <c r="B554" i="6" l="1"/>
  <c r="A555" i="6"/>
  <c r="C554" i="6"/>
  <c r="D554" i="6" s="1"/>
  <c r="F333" i="6"/>
  <c r="H333" i="6" s="1"/>
  <c r="G333" i="6" l="1"/>
  <c r="E334" i="6" s="1"/>
  <c r="F334" i="6"/>
  <c r="H334" i="6" s="1"/>
  <c r="A556" i="6"/>
  <c r="B555" i="6"/>
  <c r="C555" i="6"/>
  <c r="D555" i="6" s="1"/>
  <c r="B556" i="6" l="1"/>
  <c r="C556" i="6"/>
  <c r="D556" i="6" s="1"/>
  <c r="A557" i="6"/>
  <c r="G334" i="6"/>
  <c r="E335" i="6" s="1"/>
  <c r="F335" i="6" l="1"/>
  <c r="H335" i="6" s="1"/>
  <c r="A558" i="6"/>
  <c r="C557" i="6"/>
  <c r="D557" i="6" s="1"/>
  <c r="B557" i="6"/>
  <c r="C558" i="6" l="1"/>
  <c r="D558" i="6" s="1"/>
  <c r="A559" i="6"/>
  <c r="B558" i="6"/>
  <c r="G335" i="6"/>
  <c r="E336" i="6" s="1"/>
  <c r="F336" i="6" s="1"/>
  <c r="H336" i="6" s="1"/>
  <c r="G336" i="6" l="1"/>
  <c r="E337" i="6" s="1"/>
  <c r="A560" i="6"/>
  <c r="C559" i="6"/>
  <c r="D559" i="6" s="1"/>
  <c r="B559" i="6"/>
  <c r="C560" i="6" l="1"/>
  <c r="D560" i="6" s="1"/>
  <c r="B560" i="6"/>
  <c r="A561" i="6"/>
  <c r="F337" i="6"/>
  <c r="H337" i="6" s="1"/>
  <c r="G337" i="6" l="1"/>
  <c r="E338" i="6" s="1"/>
  <c r="A562" i="6"/>
  <c r="C561" i="6"/>
  <c r="D561" i="6" s="1"/>
  <c r="B561" i="6"/>
  <c r="A563" i="6" l="1"/>
  <c r="C562" i="6"/>
  <c r="D562" i="6" s="1"/>
  <c r="B562" i="6"/>
  <c r="F338" i="6"/>
  <c r="H338" i="6" s="1"/>
  <c r="G338" i="6" l="1"/>
  <c r="E339" i="6" s="1"/>
  <c r="C563" i="6"/>
  <c r="D563" i="6" s="1"/>
  <c r="B563" i="6"/>
  <c r="A564" i="6"/>
  <c r="A565" i="6" l="1"/>
  <c r="C564" i="6"/>
  <c r="D564" i="6" s="1"/>
  <c r="B564" i="6"/>
  <c r="F339" i="6"/>
  <c r="H339" i="6" s="1"/>
  <c r="G339" i="6" l="1"/>
  <c r="E340" i="6" s="1"/>
  <c r="E565" i="6"/>
  <c r="A566" i="6"/>
  <c r="C565" i="6"/>
  <c r="D565" i="6" s="1"/>
  <c r="B565" i="6"/>
  <c r="C566" i="6" l="1"/>
  <c r="D566" i="6" s="1"/>
  <c r="B566" i="6"/>
  <c r="A567" i="6"/>
  <c r="F340" i="6"/>
  <c r="H340" i="6" s="1"/>
  <c r="C567" i="6" l="1"/>
  <c r="D567" i="6" s="1"/>
  <c r="A568" i="6"/>
  <c r="B567" i="6"/>
  <c r="G340" i="6"/>
  <c r="E341" i="6" s="1"/>
  <c r="F341" i="6" l="1"/>
  <c r="H341" i="6" s="1"/>
  <c r="A569" i="6"/>
  <c r="B568" i="6"/>
  <c r="C568" i="6"/>
  <c r="D568" i="6" s="1"/>
  <c r="C569" i="6" l="1"/>
  <c r="D569" i="6" s="1"/>
  <c r="B569" i="6"/>
  <c r="A570" i="6"/>
  <c r="G341" i="6"/>
  <c r="E342" i="6" s="1"/>
  <c r="F342" i="6" s="1"/>
  <c r="H342" i="6" s="1"/>
  <c r="G342" i="6" l="1"/>
  <c r="E343" i="6" s="1"/>
  <c r="A571" i="6"/>
  <c r="C570" i="6"/>
  <c r="D570" i="6" s="1"/>
  <c r="B570" i="6"/>
  <c r="A572" i="6" l="1"/>
  <c r="C571" i="6"/>
  <c r="D571" i="6" s="1"/>
  <c r="B571" i="6"/>
  <c r="F343" i="6"/>
  <c r="H343" i="6" s="1"/>
  <c r="G343" i="6" l="1"/>
  <c r="E344" i="6" s="1"/>
  <c r="F344" i="6"/>
  <c r="H344" i="6" s="1"/>
  <c r="C572" i="6"/>
  <c r="D572" i="6" s="1"/>
  <c r="B572" i="6"/>
  <c r="A573" i="6"/>
  <c r="A574" i="6" l="1"/>
  <c r="C573" i="6"/>
  <c r="D573" i="6" s="1"/>
  <c r="B573" i="6"/>
  <c r="G344" i="6"/>
  <c r="E345" i="6" s="1"/>
  <c r="F345" i="6" l="1"/>
  <c r="H345" i="6" s="1"/>
  <c r="A575" i="6"/>
  <c r="C574" i="6"/>
  <c r="D574" i="6" s="1"/>
  <c r="B574" i="6"/>
  <c r="C575" i="6" l="1"/>
  <c r="D575" i="6" s="1"/>
  <c r="B575" i="6"/>
  <c r="A576" i="6"/>
  <c r="G345" i="6"/>
  <c r="E346" i="6" s="1"/>
  <c r="C576" i="6" l="1"/>
  <c r="D576" i="6" s="1"/>
  <c r="A577" i="6"/>
  <c r="B576" i="6"/>
  <c r="F346" i="6"/>
  <c r="H346" i="6" s="1"/>
  <c r="G346" i="6" l="1"/>
  <c r="E347" i="6" s="1"/>
  <c r="F347" i="6"/>
  <c r="H347" i="6" s="1"/>
  <c r="A578" i="6"/>
  <c r="C577" i="6"/>
  <c r="D577" i="6" s="1"/>
  <c r="B577" i="6"/>
  <c r="C578" i="6" l="1"/>
  <c r="D578" i="6" s="1"/>
  <c r="B578" i="6"/>
  <c r="A579" i="6"/>
  <c r="G347" i="6"/>
  <c r="E348" i="6" s="1"/>
  <c r="F348" i="6" l="1"/>
  <c r="H348" i="6" s="1"/>
  <c r="A580" i="6"/>
  <c r="C579" i="6"/>
  <c r="D579" i="6" s="1"/>
  <c r="B579" i="6"/>
  <c r="A581" i="6" l="1"/>
  <c r="C580" i="6"/>
  <c r="D580" i="6" s="1"/>
  <c r="B580" i="6"/>
  <c r="G348" i="6"/>
  <c r="E349" i="6" s="1"/>
  <c r="F349" i="6" l="1"/>
  <c r="H349" i="6" s="1"/>
  <c r="C581" i="6"/>
  <c r="D581" i="6" s="1"/>
  <c r="B581" i="6"/>
  <c r="A582" i="6"/>
  <c r="A583" i="6" l="1"/>
  <c r="C582" i="6"/>
  <c r="D582" i="6" s="1"/>
  <c r="B582" i="6"/>
  <c r="G349" i="6"/>
  <c r="E350" i="6" s="1"/>
  <c r="F350" i="6" l="1"/>
  <c r="H350" i="6" s="1"/>
  <c r="A584" i="6"/>
  <c r="C583" i="6"/>
  <c r="D583" i="6" s="1"/>
  <c r="B583" i="6"/>
  <c r="C584" i="6" l="1"/>
  <c r="D584" i="6" s="1"/>
  <c r="B584" i="6"/>
  <c r="A585" i="6"/>
  <c r="G350" i="6"/>
  <c r="E351" i="6" s="1"/>
  <c r="C585" i="6" l="1"/>
  <c r="D585" i="6" s="1"/>
  <c r="A586" i="6"/>
  <c r="B585" i="6"/>
  <c r="F351" i="6"/>
  <c r="H351" i="6" s="1"/>
  <c r="G351" i="6" l="1"/>
  <c r="E352" i="6" s="1"/>
  <c r="F352" i="6"/>
  <c r="H352" i="6" s="1"/>
  <c r="F353" i="6" s="1"/>
  <c r="A587" i="6"/>
  <c r="C586" i="6"/>
  <c r="D586" i="6" s="1"/>
  <c r="B586" i="6"/>
  <c r="C587" i="6" l="1"/>
  <c r="D587" i="6" s="1"/>
  <c r="B587" i="6"/>
  <c r="A588" i="6"/>
  <c r="H353" i="6"/>
  <c r="G353" i="6"/>
  <c r="E354" i="6" s="1"/>
  <c r="G352" i="6"/>
  <c r="A589" i="6" l="1"/>
  <c r="C588" i="6"/>
  <c r="D588" i="6" s="1"/>
  <c r="B588" i="6"/>
  <c r="F354" i="6"/>
  <c r="H354" i="6" s="1"/>
  <c r="G354" i="6" l="1"/>
  <c r="E355" i="6" s="1"/>
  <c r="A590" i="6"/>
  <c r="C589" i="6"/>
  <c r="D589" i="6" s="1"/>
  <c r="B589" i="6"/>
  <c r="C590" i="6" l="1"/>
  <c r="D590" i="6" s="1"/>
  <c r="B590" i="6"/>
  <c r="A591" i="6"/>
  <c r="F355" i="6"/>
  <c r="H355" i="6" s="1"/>
  <c r="G355" i="6" l="1"/>
  <c r="E356" i="6" s="1"/>
  <c r="A592" i="6"/>
  <c r="C591" i="6"/>
  <c r="D591" i="6" s="1"/>
  <c r="B591" i="6"/>
  <c r="C592" i="6" l="1"/>
  <c r="D592" i="6" s="1"/>
  <c r="A593" i="6"/>
  <c r="B592" i="6"/>
  <c r="F356" i="6"/>
  <c r="H356" i="6" s="1"/>
  <c r="G356" i="6" l="1"/>
  <c r="E357" i="6" s="1"/>
  <c r="C593" i="6"/>
  <c r="D593" i="6" s="1"/>
  <c r="B593" i="6"/>
  <c r="A594" i="6"/>
  <c r="A595" i="6" l="1"/>
  <c r="C594" i="6"/>
  <c r="D594" i="6" s="1"/>
  <c r="B594" i="6"/>
  <c r="F357" i="6"/>
  <c r="H357" i="6" s="1"/>
  <c r="G357" i="6" l="1"/>
  <c r="E358" i="6" s="1"/>
  <c r="C595" i="6"/>
  <c r="D595" i="6" s="1"/>
  <c r="A596" i="6"/>
  <c r="B595" i="6"/>
  <c r="C596" i="6" l="1"/>
  <c r="D596" i="6" s="1"/>
  <c r="B596" i="6"/>
  <c r="A597" i="6"/>
  <c r="E596" i="6"/>
  <c r="F358" i="6"/>
  <c r="H358" i="6" s="1"/>
  <c r="G358" i="6" l="1"/>
  <c r="E359" i="6" s="1"/>
  <c r="A598" i="6"/>
  <c r="C597" i="6"/>
  <c r="D597" i="6" s="1"/>
  <c r="B597" i="6"/>
  <c r="A599" i="6" l="1"/>
  <c r="B598" i="6"/>
  <c r="C598" i="6"/>
  <c r="D598" i="6" s="1"/>
  <c r="F359" i="6"/>
  <c r="H359" i="6" s="1"/>
  <c r="G359" i="6" l="1"/>
  <c r="E360" i="6" s="1"/>
  <c r="C599" i="6"/>
  <c r="D599" i="6" s="1"/>
  <c r="B599" i="6"/>
  <c r="A600" i="6"/>
  <c r="B600" i="6" l="1"/>
  <c r="C600" i="6"/>
  <c r="D600" i="6" s="1"/>
  <c r="A601" i="6"/>
  <c r="F360" i="6"/>
  <c r="H360" i="6" s="1"/>
  <c r="C601" i="6" l="1"/>
  <c r="D601" i="6" s="1"/>
  <c r="A602" i="6"/>
  <c r="B601" i="6"/>
  <c r="G360" i="6"/>
  <c r="E361" i="6" s="1"/>
  <c r="C602" i="6" l="1"/>
  <c r="D602" i="6" s="1"/>
  <c r="B602" i="6"/>
  <c r="A603" i="6"/>
  <c r="F361" i="6"/>
  <c r="H361" i="6" s="1"/>
  <c r="A604" i="6" l="1"/>
  <c r="C603" i="6"/>
  <c r="D603" i="6" s="1"/>
  <c r="B603" i="6"/>
  <c r="G361" i="6"/>
  <c r="E362" i="6" s="1"/>
  <c r="C604" i="6" l="1"/>
  <c r="D604" i="6" s="1"/>
  <c r="A605" i="6"/>
  <c r="B604" i="6"/>
  <c r="F362" i="6"/>
  <c r="H362" i="6" s="1"/>
  <c r="C605" i="6" l="1"/>
  <c r="D605" i="6" s="1"/>
  <c r="B605" i="6"/>
  <c r="A606" i="6"/>
  <c r="G362" i="6"/>
  <c r="E363" i="6" s="1"/>
  <c r="C606" i="6" l="1"/>
  <c r="D606" i="6" s="1"/>
  <c r="B606" i="6"/>
  <c r="A607" i="6"/>
  <c r="F363" i="6"/>
  <c r="H363" i="6" s="1"/>
  <c r="C607" i="6" l="1"/>
  <c r="D607" i="6" s="1"/>
  <c r="B607" i="6"/>
  <c r="A608" i="6"/>
  <c r="G363" i="6"/>
  <c r="E364" i="6" s="1"/>
  <c r="C608" i="6" l="1"/>
  <c r="D608" i="6" s="1"/>
  <c r="B608" i="6"/>
  <c r="A609" i="6"/>
  <c r="F364" i="6"/>
  <c r="H364" i="6" s="1"/>
  <c r="A610" i="6" l="1"/>
  <c r="B609" i="6"/>
  <c r="C609" i="6"/>
  <c r="D609" i="6" s="1"/>
  <c r="G364" i="6"/>
  <c r="E365" i="6" s="1"/>
  <c r="A611" i="6" l="1"/>
  <c r="C610" i="6"/>
  <c r="D610" i="6" s="1"/>
  <c r="B610" i="6"/>
  <c r="F365" i="6"/>
  <c r="H365" i="6" s="1"/>
  <c r="C611" i="6" l="1"/>
  <c r="D611" i="6" s="1"/>
  <c r="B611" i="6"/>
  <c r="A612" i="6"/>
  <c r="G365" i="6"/>
  <c r="E366" i="6" s="1"/>
  <c r="B612" i="6" l="1"/>
  <c r="A613" i="6"/>
  <c r="C612" i="6"/>
  <c r="D612" i="6" s="1"/>
  <c r="F366" i="6"/>
  <c r="H366" i="6" s="1"/>
  <c r="A614" i="6" l="1"/>
  <c r="C613" i="6"/>
  <c r="D613" i="6" s="1"/>
  <c r="B613" i="6"/>
  <c r="G366" i="6"/>
  <c r="E367" i="6" s="1"/>
  <c r="C614" i="6" l="1"/>
  <c r="D614" i="6" s="1"/>
  <c r="B614" i="6"/>
  <c r="A615" i="6"/>
  <c r="F367" i="6"/>
  <c r="H367" i="6" s="1"/>
  <c r="A616" i="6" l="1"/>
  <c r="B615" i="6"/>
  <c r="C615" i="6"/>
  <c r="D615" i="6" s="1"/>
  <c r="G367" i="6"/>
  <c r="E368" i="6" s="1"/>
  <c r="C616" i="6" l="1"/>
  <c r="D616" i="6" s="1"/>
  <c r="B616" i="6"/>
  <c r="A617" i="6"/>
  <c r="F368" i="6"/>
  <c r="H368" i="6" s="1"/>
  <c r="C617" i="6" l="1"/>
  <c r="D617" i="6" s="1"/>
  <c r="B617" i="6"/>
  <c r="A618" i="6"/>
  <c r="G368" i="6"/>
  <c r="E369" i="6" s="1"/>
  <c r="B618" i="6" l="1"/>
  <c r="A619" i="6"/>
  <c r="C618" i="6"/>
  <c r="D618" i="6" s="1"/>
  <c r="F369" i="6"/>
  <c r="H369" i="6" s="1"/>
  <c r="G369" i="6" l="1"/>
  <c r="E370" i="6" s="1"/>
  <c r="B619" i="6"/>
  <c r="A620" i="6"/>
  <c r="C619" i="6"/>
  <c r="D619" i="6" s="1"/>
  <c r="C620" i="6" l="1"/>
  <c r="D620" i="6" s="1"/>
  <c r="B620" i="6"/>
  <c r="A621" i="6"/>
  <c r="F370" i="6"/>
  <c r="H370" i="6" s="1"/>
  <c r="G370" i="6" l="1"/>
  <c r="E371" i="6" s="1"/>
  <c r="A622" i="6"/>
  <c r="B621" i="6"/>
  <c r="C621" i="6"/>
  <c r="D621" i="6" s="1"/>
  <c r="C622" i="6" l="1"/>
  <c r="D622" i="6" s="1"/>
  <c r="A623" i="6"/>
  <c r="B622" i="6"/>
  <c r="F371" i="6"/>
  <c r="H371" i="6" s="1"/>
  <c r="C623" i="6" l="1"/>
  <c r="D623" i="6" s="1"/>
  <c r="B623" i="6"/>
  <c r="A624" i="6"/>
  <c r="G371" i="6"/>
  <c r="E372" i="6" s="1"/>
  <c r="F372" i="6" s="1"/>
  <c r="H372" i="6" s="1"/>
  <c r="G372" i="6" l="1"/>
  <c r="E373" i="6" s="1"/>
  <c r="A625" i="6"/>
  <c r="B624" i="6"/>
  <c r="C624" i="6"/>
  <c r="D624" i="6" s="1"/>
  <c r="B625" i="6" l="1"/>
  <c r="A626" i="6"/>
  <c r="C625" i="6"/>
  <c r="D625" i="6" s="1"/>
  <c r="F373" i="6"/>
  <c r="H373" i="6" s="1"/>
  <c r="C626" i="6" l="1"/>
  <c r="D626" i="6" s="1"/>
  <c r="B626" i="6"/>
  <c r="A627" i="6"/>
  <c r="E626" i="6"/>
  <c r="G373" i="6"/>
  <c r="E374" i="6" s="1"/>
  <c r="F374" i="6" l="1"/>
  <c r="H374" i="6" s="1"/>
  <c r="C627" i="6"/>
  <c r="D627" i="6" s="1"/>
  <c r="A628" i="6"/>
  <c r="B627" i="6"/>
  <c r="B628" i="6" l="1"/>
  <c r="C628" i="6"/>
  <c r="D628" i="6" s="1"/>
  <c r="A629" i="6"/>
  <c r="G374" i="6"/>
  <c r="E375" i="6" s="1"/>
  <c r="F375" i="6" l="1"/>
  <c r="H375" i="6" s="1"/>
  <c r="A630" i="6"/>
  <c r="C629" i="6"/>
  <c r="D629" i="6" s="1"/>
  <c r="B629" i="6"/>
  <c r="C630" i="6" l="1"/>
  <c r="D630" i="6" s="1"/>
  <c r="A631" i="6"/>
  <c r="B630" i="6"/>
  <c r="G375" i="6"/>
  <c r="E376" i="6" s="1"/>
  <c r="F376" i="6" l="1"/>
  <c r="H376" i="6" s="1"/>
  <c r="A632" i="6"/>
  <c r="B631" i="6"/>
  <c r="C631" i="6"/>
  <c r="D631" i="6" s="1"/>
  <c r="B632" i="6" l="1"/>
  <c r="C632" i="6"/>
  <c r="D632" i="6" s="1"/>
  <c r="A633" i="6"/>
  <c r="G376" i="6"/>
  <c r="E377" i="6" s="1"/>
  <c r="F377" i="6" s="1"/>
  <c r="H377" i="6" s="1"/>
  <c r="G377" i="6" l="1"/>
  <c r="E378" i="6" s="1"/>
  <c r="C633" i="6"/>
  <c r="D633" i="6" s="1"/>
  <c r="B633" i="6"/>
  <c r="A634" i="6"/>
  <c r="A635" i="6" l="1"/>
  <c r="C634" i="6"/>
  <c r="D634" i="6" s="1"/>
  <c r="B634" i="6"/>
  <c r="F378" i="6"/>
  <c r="H378" i="6" s="1"/>
  <c r="G378" i="6" l="1"/>
  <c r="E379" i="6" s="1"/>
  <c r="C635" i="6"/>
  <c r="D635" i="6" s="1"/>
  <c r="B635" i="6"/>
  <c r="A636" i="6"/>
  <c r="C636" i="6" l="1"/>
  <c r="D636" i="6" s="1"/>
  <c r="A637" i="6"/>
  <c r="B636" i="6"/>
  <c r="F379" i="6"/>
  <c r="H379" i="6" s="1"/>
  <c r="B637" i="6" l="1"/>
  <c r="A638" i="6"/>
  <c r="C637" i="6"/>
  <c r="D637" i="6" s="1"/>
  <c r="G379" i="6"/>
  <c r="E380" i="6" s="1"/>
  <c r="A639" i="6" l="1"/>
  <c r="B638" i="6"/>
  <c r="C638" i="6"/>
  <c r="D638" i="6" s="1"/>
  <c r="F380" i="6"/>
  <c r="H380" i="6" s="1"/>
  <c r="C639" i="6" l="1"/>
  <c r="D639" i="6" s="1"/>
  <c r="A640" i="6"/>
  <c r="B639" i="6"/>
  <c r="G380" i="6"/>
  <c r="E381" i="6" s="1"/>
  <c r="C640" i="6" l="1"/>
  <c r="D640" i="6" s="1"/>
  <c r="A641" i="6"/>
  <c r="B640" i="6"/>
  <c r="F381" i="6"/>
  <c r="H381" i="6" s="1"/>
  <c r="B641" i="6" l="1"/>
  <c r="A642" i="6"/>
  <c r="C641" i="6"/>
  <c r="D641" i="6" s="1"/>
  <c r="G381" i="6"/>
  <c r="E382" i="6" s="1"/>
  <c r="C642" i="6" l="1"/>
  <c r="D642" i="6" s="1"/>
  <c r="B642" i="6"/>
  <c r="A643" i="6"/>
  <c r="F382" i="6"/>
  <c r="H382" i="6" s="1"/>
  <c r="C643" i="6" l="1"/>
  <c r="D643" i="6" s="1"/>
  <c r="B643" i="6"/>
  <c r="A644" i="6"/>
  <c r="G382" i="6"/>
  <c r="E383" i="6" s="1"/>
  <c r="F383" i="6" s="1"/>
  <c r="H383" i="6" s="1"/>
  <c r="F384" i="6" s="1"/>
  <c r="G384" i="6" l="1"/>
  <c r="E385" i="6" s="1"/>
  <c r="H384" i="6"/>
  <c r="F385" i="6" s="1"/>
  <c r="H385" i="6" s="1"/>
  <c r="G383" i="6"/>
  <c r="C644" i="6"/>
  <c r="D644" i="6" s="1"/>
  <c r="B644" i="6"/>
  <c r="A645" i="6"/>
  <c r="C645" i="6" l="1"/>
  <c r="D645" i="6" s="1"/>
  <c r="A646" i="6"/>
  <c r="B645" i="6"/>
  <c r="G385" i="6"/>
  <c r="E386" i="6" s="1"/>
  <c r="F386" i="6" s="1"/>
  <c r="H386" i="6" s="1"/>
  <c r="G386" i="6" l="1"/>
  <c r="E387" i="6" s="1"/>
  <c r="B646" i="6"/>
  <c r="C646" i="6"/>
  <c r="D646" i="6" s="1"/>
  <c r="A647" i="6"/>
  <c r="A648" i="6" l="1"/>
  <c r="C647" i="6"/>
  <c r="D647" i="6" s="1"/>
  <c r="B647" i="6"/>
  <c r="F387" i="6"/>
  <c r="H387" i="6" s="1"/>
  <c r="G387" i="6" l="1"/>
  <c r="E388" i="6" s="1"/>
  <c r="C648" i="6"/>
  <c r="D648" i="6" s="1"/>
  <c r="B648" i="6"/>
  <c r="A649" i="6"/>
  <c r="A650" i="6" l="1"/>
  <c r="C649" i="6"/>
  <c r="D649" i="6" s="1"/>
  <c r="B649" i="6"/>
  <c r="F388" i="6"/>
  <c r="H388" i="6" s="1"/>
  <c r="G388" i="6" l="1"/>
  <c r="E389" i="6" s="1"/>
  <c r="A651" i="6"/>
  <c r="C650" i="6"/>
  <c r="D650" i="6" s="1"/>
  <c r="B650" i="6"/>
  <c r="C651" i="6" l="1"/>
  <c r="D651" i="6" s="1"/>
  <c r="A652" i="6"/>
  <c r="B651" i="6"/>
  <c r="F389" i="6"/>
  <c r="H389" i="6" s="1"/>
  <c r="G389" i="6" l="1"/>
  <c r="E390" i="6" s="1"/>
  <c r="B652" i="6"/>
  <c r="C652" i="6"/>
  <c r="D652" i="6" s="1"/>
  <c r="A653" i="6"/>
  <c r="C653" i="6" l="1"/>
  <c r="D653" i="6" s="1"/>
  <c r="B653" i="6"/>
  <c r="A654" i="6"/>
  <c r="F390" i="6"/>
  <c r="H390" i="6" s="1"/>
  <c r="C654" i="6" l="1"/>
  <c r="D654" i="6" s="1"/>
  <c r="A655" i="6"/>
  <c r="B654" i="6"/>
  <c r="G390" i="6"/>
  <c r="E391" i="6" s="1"/>
  <c r="F391" i="6" l="1"/>
  <c r="H391" i="6" s="1"/>
  <c r="B655" i="6"/>
  <c r="A656" i="6"/>
  <c r="C655" i="6"/>
  <c r="D655" i="6" s="1"/>
  <c r="A657" i="6" l="1"/>
  <c r="B656" i="6"/>
  <c r="C656" i="6"/>
  <c r="D656" i="6" s="1"/>
  <c r="G391" i="6"/>
  <c r="E392" i="6" s="1"/>
  <c r="F392" i="6" l="1"/>
  <c r="H392" i="6" s="1"/>
  <c r="C657" i="6"/>
  <c r="D657" i="6" s="1"/>
  <c r="B657" i="6"/>
  <c r="A658" i="6"/>
  <c r="E657" i="6"/>
  <c r="G392" i="6" l="1"/>
  <c r="E393" i="6" s="1"/>
  <c r="B658" i="6"/>
  <c r="C658" i="6"/>
  <c r="D658" i="6" s="1"/>
  <c r="A659" i="6"/>
  <c r="F393" i="6"/>
  <c r="H393" i="6" s="1"/>
  <c r="C659" i="6" l="1"/>
  <c r="D659" i="6" s="1"/>
  <c r="A660" i="6"/>
  <c r="B659" i="6"/>
  <c r="G393" i="6"/>
  <c r="E394" i="6" s="1"/>
  <c r="F394" i="6" s="1"/>
  <c r="H394" i="6" s="1"/>
  <c r="G394" i="6" l="1"/>
  <c r="E395" i="6" s="1"/>
  <c r="C660" i="6"/>
  <c r="D660" i="6" s="1"/>
  <c r="A661" i="6"/>
  <c r="B660" i="6"/>
  <c r="A662" i="6" l="1"/>
  <c r="C661" i="6"/>
  <c r="D661" i="6" s="1"/>
  <c r="B661" i="6"/>
  <c r="F395" i="6"/>
  <c r="H395" i="6" s="1"/>
  <c r="C662" i="6" l="1"/>
  <c r="D662" i="6" s="1"/>
  <c r="B662" i="6"/>
  <c r="A663" i="6"/>
  <c r="G395" i="6"/>
  <c r="E396" i="6" s="1"/>
  <c r="C663" i="6" l="1"/>
  <c r="D663" i="6" s="1"/>
  <c r="A664" i="6"/>
  <c r="B663" i="6"/>
  <c r="F396" i="6"/>
  <c r="H396" i="6" s="1"/>
  <c r="B664" i="6" l="1"/>
  <c r="C664" i="6"/>
  <c r="D664" i="6" s="1"/>
  <c r="A665" i="6"/>
  <c r="G396" i="6"/>
  <c r="E397" i="6" s="1"/>
  <c r="A666" i="6" l="1"/>
  <c r="C665" i="6"/>
  <c r="D665" i="6" s="1"/>
  <c r="B665" i="6"/>
  <c r="F397" i="6"/>
  <c r="H397" i="6" s="1"/>
  <c r="C666" i="6" l="1"/>
  <c r="D666" i="6" s="1"/>
  <c r="A667" i="6"/>
  <c r="B666" i="6"/>
  <c r="G397" i="6"/>
  <c r="E398" i="6" s="1"/>
  <c r="A668" i="6" l="1"/>
  <c r="B667" i="6"/>
  <c r="C667" i="6"/>
  <c r="D667" i="6" s="1"/>
  <c r="F398" i="6"/>
  <c r="H398" i="6" s="1"/>
  <c r="B668" i="6" l="1"/>
  <c r="C668" i="6"/>
  <c r="D668" i="6" s="1"/>
  <c r="A669" i="6"/>
  <c r="G398" i="6"/>
  <c r="E399" i="6" s="1"/>
  <c r="C669" i="6" l="1"/>
  <c r="D669" i="6" s="1"/>
  <c r="B669" i="6"/>
  <c r="A670" i="6"/>
  <c r="F399" i="6"/>
  <c r="H399" i="6" s="1"/>
  <c r="A671" i="6" l="1"/>
  <c r="C670" i="6"/>
  <c r="D670" i="6" s="1"/>
  <c r="B670" i="6"/>
  <c r="G399" i="6"/>
  <c r="E400" i="6" s="1"/>
  <c r="C671" i="6" l="1"/>
  <c r="D671" i="6" s="1"/>
  <c r="B671" i="6"/>
  <c r="A672" i="6"/>
  <c r="F400" i="6"/>
  <c r="H400" i="6" s="1"/>
  <c r="C672" i="6" l="1"/>
  <c r="D672" i="6" s="1"/>
  <c r="A673" i="6"/>
  <c r="B672" i="6"/>
  <c r="G400" i="6"/>
  <c r="E401" i="6" s="1"/>
  <c r="B673" i="6" l="1"/>
  <c r="A674" i="6"/>
  <c r="C673" i="6"/>
  <c r="D673" i="6" s="1"/>
  <c r="F401" i="6"/>
  <c r="H401" i="6" s="1"/>
  <c r="A675" i="6" l="1"/>
  <c r="B674" i="6"/>
  <c r="C674" i="6"/>
  <c r="D674" i="6" s="1"/>
  <c r="G401" i="6"/>
  <c r="E402" i="6" s="1"/>
  <c r="C675" i="6" l="1"/>
  <c r="D675" i="6" s="1"/>
  <c r="A676" i="6"/>
  <c r="B675" i="6"/>
  <c r="F402" i="6"/>
  <c r="H402" i="6" s="1"/>
  <c r="C676" i="6" l="1"/>
  <c r="D676" i="6" s="1"/>
  <c r="A677" i="6"/>
  <c r="B676" i="6"/>
  <c r="G402" i="6"/>
  <c r="E403" i="6" s="1"/>
  <c r="B677" i="6" l="1"/>
  <c r="C677" i="6"/>
  <c r="D677" i="6" s="1"/>
  <c r="A678" i="6"/>
  <c r="F403" i="6"/>
  <c r="H403" i="6" s="1"/>
  <c r="G403" i="6" l="1"/>
  <c r="E404" i="6" s="1"/>
  <c r="C678" i="6"/>
  <c r="D678" i="6" s="1"/>
  <c r="B678" i="6"/>
  <c r="A679" i="6"/>
  <c r="C679" i="6" l="1"/>
  <c r="D679" i="6" s="1"/>
  <c r="A680" i="6"/>
  <c r="B679" i="6"/>
  <c r="F404" i="6"/>
  <c r="H404" i="6" s="1"/>
  <c r="G404" i="6" l="1"/>
  <c r="E405" i="6" s="1"/>
  <c r="F405" i="6" s="1"/>
  <c r="H405" i="6" s="1"/>
  <c r="C680" i="6"/>
  <c r="D680" i="6" s="1"/>
  <c r="B680" i="6"/>
  <c r="A681" i="6"/>
  <c r="C681" i="6" l="1"/>
  <c r="D681" i="6" s="1"/>
  <c r="A682" i="6"/>
  <c r="B681" i="6"/>
  <c r="G405" i="6"/>
  <c r="E406" i="6" s="1"/>
  <c r="B682" i="6" l="1"/>
  <c r="C682" i="6"/>
  <c r="D682" i="6" s="1"/>
  <c r="A683" i="6"/>
  <c r="F406" i="6"/>
  <c r="H406" i="6" s="1"/>
  <c r="G406" i="6" l="1"/>
  <c r="E407" i="6" s="1"/>
  <c r="A684" i="6"/>
  <c r="C683" i="6"/>
  <c r="D683" i="6" s="1"/>
  <c r="B683" i="6"/>
  <c r="C684" i="6" l="1"/>
  <c r="D684" i="6" s="1"/>
  <c r="A685" i="6"/>
  <c r="B684" i="6"/>
  <c r="F407" i="6"/>
  <c r="H407" i="6" s="1"/>
  <c r="A686" i="6" l="1"/>
  <c r="C685" i="6"/>
  <c r="D685" i="6" s="1"/>
  <c r="B685" i="6"/>
  <c r="G407" i="6"/>
  <c r="E408" i="6" s="1"/>
  <c r="F408" i="6" s="1"/>
  <c r="H408" i="6" s="1"/>
  <c r="G408" i="6" l="1"/>
  <c r="E409" i="6" s="1"/>
  <c r="A687" i="6"/>
  <c r="C686" i="6"/>
  <c r="D686" i="6" s="1"/>
  <c r="B686" i="6"/>
  <c r="C687" i="6" l="1"/>
  <c r="D687" i="6" s="1"/>
  <c r="A688" i="6"/>
  <c r="B687" i="6"/>
  <c r="F409" i="6"/>
  <c r="H409" i="6" s="1"/>
  <c r="G409" i="6" l="1"/>
  <c r="E410" i="6" s="1"/>
  <c r="B688" i="6"/>
  <c r="E688" i="6"/>
  <c r="A689" i="6"/>
  <c r="C688" i="6"/>
  <c r="D688" i="6" s="1"/>
  <c r="C689" i="6" l="1"/>
  <c r="D689" i="6" s="1"/>
  <c r="B689" i="6"/>
  <c r="A690" i="6"/>
  <c r="F410" i="6"/>
  <c r="H410" i="6" s="1"/>
  <c r="C690" i="6" l="1"/>
  <c r="D690" i="6" s="1"/>
  <c r="A691" i="6"/>
  <c r="B690" i="6"/>
  <c r="G410" i="6"/>
  <c r="E411" i="6" s="1"/>
  <c r="B691" i="6" l="1"/>
  <c r="A692" i="6"/>
  <c r="C691" i="6"/>
  <c r="D691" i="6" s="1"/>
  <c r="F411" i="6"/>
  <c r="H411" i="6" s="1"/>
  <c r="A693" i="6" l="1"/>
  <c r="C692" i="6"/>
  <c r="D692" i="6" s="1"/>
  <c r="B692" i="6"/>
  <c r="G411" i="6"/>
  <c r="E412" i="6" s="1"/>
  <c r="C693" i="6" l="1"/>
  <c r="D693" i="6" s="1"/>
  <c r="B693" i="6"/>
  <c r="A694" i="6"/>
  <c r="F412" i="6"/>
  <c r="H412" i="6" s="1"/>
  <c r="B694" i="6" l="1"/>
  <c r="C694" i="6"/>
  <c r="D694" i="6" s="1"/>
  <c r="A695" i="6"/>
  <c r="G412" i="6"/>
  <c r="E413" i="6" s="1"/>
  <c r="F413" i="6" s="1"/>
  <c r="H413" i="6" s="1"/>
  <c r="F414" i="6" s="1"/>
  <c r="G414" i="6" l="1"/>
  <c r="E415" i="6" s="1"/>
  <c r="H414" i="6"/>
  <c r="C695" i="6"/>
  <c r="D695" i="6" s="1"/>
  <c r="A696" i="6"/>
  <c r="B695" i="6"/>
  <c r="G413" i="6"/>
  <c r="C696" i="6" l="1"/>
  <c r="D696" i="6" s="1"/>
  <c r="A697" i="6"/>
  <c r="B696" i="6"/>
  <c r="F415" i="6"/>
  <c r="H415" i="6" s="1"/>
  <c r="G415" i="6" l="1"/>
  <c r="E416" i="6" s="1"/>
  <c r="F416" i="6" s="1"/>
  <c r="H416" i="6" s="1"/>
  <c r="A698" i="6"/>
  <c r="B697" i="6"/>
  <c r="C697" i="6"/>
  <c r="D697" i="6" s="1"/>
  <c r="C698" i="6" l="1"/>
  <c r="D698" i="6" s="1"/>
  <c r="B698" i="6"/>
  <c r="A699" i="6"/>
  <c r="G416" i="6"/>
  <c r="E417" i="6" s="1"/>
  <c r="C699" i="6" l="1"/>
  <c r="D699" i="6" s="1"/>
  <c r="A700" i="6"/>
  <c r="B699" i="6"/>
  <c r="F417" i="6"/>
  <c r="H417" i="6" s="1"/>
  <c r="G417" i="6" l="1"/>
  <c r="E418" i="6" s="1"/>
  <c r="B700" i="6"/>
  <c r="C700" i="6"/>
  <c r="D700" i="6" s="1"/>
  <c r="A701" i="6"/>
  <c r="A702" i="6" l="1"/>
  <c r="C701" i="6"/>
  <c r="D701" i="6" s="1"/>
  <c r="B701" i="6"/>
  <c r="F418" i="6"/>
  <c r="H418" i="6" s="1"/>
  <c r="G418" i="6" l="1"/>
  <c r="E419" i="6" s="1"/>
  <c r="F419" i="6" s="1"/>
  <c r="H419" i="6" s="1"/>
  <c r="C702" i="6"/>
  <c r="D702" i="6" s="1"/>
  <c r="B702" i="6"/>
  <c r="A703" i="6"/>
  <c r="A704" i="6" l="1"/>
  <c r="B703" i="6"/>
  <c r="C703" i="6"/>
  <c r="D703" i="6" s="1"/>
  <c r="G419" i="6"/>
  <c r="E420" i="6" s="1"/>
  <c r="B704" i="6" l="1"/>
  <c r="C704" i="6"/>
  <c r="D704" i="6" s="1"/>
  <c r="A705" i="6"/>
  <c r="F420" i="6"/>
  <c r="H420" i="6" s="1"/>
  <c r="C705" i="6" l="1"/>
  <c r="D705" i="6" s="1"/>
  <c r="B705" i="6"/>
  <c r="A706" i="6"/>
  <c r="G420" i="6"/>
  <c r="E421" i="6" s="1"/>
  <c r="A707" i="6" l="1"/>
  <c r="C706" i="6"/>
  <c r="D706" i="6" s="1"/>
  <c r="B706" i="6"/>
  <c r="F421" i="6"/>
  <c r="H421" i="6" s="1"/>
  <c r="C707" i="6" l="1"/>
  <c r="D707" i="6" s="1"/>
  <c r="B707" i="6"/>
  <c r="A708" i="6"/>
  <c r="G421" i="6"/>
  <c r="E422" i="6" s="1"/>
  <c r="C708" i="6" l="1"/>
  <c r="D708" i="6" s="1"/>
  <c r="A709" i="6"/>
  <c r="B708" i="6"/>
  <c r="F422" i="6"/>
  <c r="H422" i="6" s="1"/>
  <c r="B709" i="6" l="1"/>
  <c r="A710" i="6"/>
  <c r="C709" i="6"/>
  <c r="D709" i="6" s="1"/>
  <c r="G422" i="6"/>
  <c r="E423" i="6" s="1"/>
  <c r="A711" i="6" l="1"/>
  <c r="B710" i="6"/>
  <c r="C710" i="6"/>
  <c r="D710" i="6" s="1"/>
  <c r="F423" i="6"/>
  <c r="H423" i="6" s="1"/>
  <c r="C711" i="6" l="1"/>
  <c r="D711" i="6" s="1"/>
  <c r="B711" i="6"/>
  <c r="A712" i="6"/>
  <c r="G423" i="6"/>
  <c r="E424" i="6" s="1"/>
  <c r="B712" i="6" l="1"/>
  <c r="A713" i="6"/>
  <c r="C712" i="6"/>
  <c r="D712" i="6" s="1"/>
  <c r="F424" i="6"/>
  <c r="H424" i="6" s="1"/>
  <c r="B713" i="6" l="1"/>
  <c r="A714" i="6"/>
  <c r="C713" i="6"/>
  <c r="D713" i="6" s="1"/>
  <c r="G424" i="6"/>
  <c r="E425" i="6" s="1"/>
  <c r="C714" i="6" l="1"/>
  <c r="D714" i="6" s="1"/>
  <c r="A715" i="6"/>
  <c r="B714" i="6"/>
  <c r="F425" i="6"/>
  <c r="H425" i="6" s="1"/>
  <c r="B715" i="6" l="1"/>
  <c r="C715" i="6"/>
  <c r="D715" i="6" s="1"/>
  <c r="A716" i="6"/>
  <c r="G425" i="6"/>
  <c r="E426" i="6" s="1"/>
  <c r="A717" i="6" l="1"/>
  <c r="C716" i="6"/>
  <c r="D716" i="6" s="1"/>
  <c r="B716" i="6"/>
  <c r="F426" i="6"/>
  <c r="H426" i="6" s="1"/>
  <c r="C717" i="6" l="1"/>
  <c r="D717" i="6" s="1"/>
  <c r="B717" i="6"/>
  <c r="A718" i="6"/>
  <c r="G426" i="6"/>
  <c r="E427" i="6" s="1"/>
  <c r="B718" i="6" l="1"/>
  <c r="A719" i="6"/>
  <c r="E718" i="6"/>
  <c r="C718" i="6"/>
  <c r="D718" i="6" s="1"/>
  <c r="F427" i="6"/>
  <c r="H427" i="6" s="1"/>
  <c r="B719" i="6" l="1"/>
  <c r="C719" i="6"/>
  <c r="D719" i="6" s="1"/>
  <c r="A720" i="6"/>
  <c r="G427" i="6"/>
  <c r="E428" i="6" s="1"/>
  <c r="C720" i="6" l="1"/>
  <c r="D720" i="6" s="1"/>
  <c r="A721" i="6"/>
  <c r="B720" i="6"/>
  <c r="F428" i="6"/>
  <c r="H428" i="6" s="1"/>
  <c r="G428" i="6" l="1"/>
  <c r="E429" i="6" s="1"/>
  <c r="B721" i="6"/>
  <c r="A722" i="6"/>
  <c r="C721" i="6"/>
  <c r="D721" i="6" s="1"/>
  <c r="A723" i="6" l="1"/>
  <c r="C722" i="6"/>
  <c r="D722" i="6" s="1"/>
  <c r="B722" i="6"/>
  <c r="F429" i="6"/>
  <c r="H429" i="6" s="1"/>
  <c r="G429" i="6" l="1"/>
  <c r="E430" i="6" s="1"/>
  <c r="C723" i="6"/>
  <c r="D723" i="6" s="1"/>
  <c r="B723" i="6"/>
  <c r="A724" i="6"/>
  <c r="B724" i="6" l="1"/>
  <c r="A725" i="6"/>
  <c r="C724" i="6"/>
  <c r="D724" i="6" s="1"/>
  <c r="F430" i="6"/>
  <c r="H430" i="6" s="1"/>
  <c r="G430" i="6" l="1"/>
  <c r="E431" i="6" s="1"/>
  <c r="B725" i="6"/>
  <c r="C725" i="6"/>
  <c r="D725" i="6" s="1"/>
  <c r="A726" i="6"/>
  <c r="C726" i="6" l="1"/>
  <c r="D726" i="6" s="1"/>
  <c r="A727" i="6"/>
  <c r="B726" i="6"/>
  <c r="F431" i="6"/>
  <c r="H431" i="6" s="1"/>
  <c r="G431" i="6" l="1"/>
  <c r="E432" i="6" s="1"/>
  <c r="B727" i="6"/>
  <c r="C727" i="6"/>
  <c r="D727" i="6" s="1"/>
  <c r="A728" i="6"/>
  <c r="A729" i="6" l="1"/>
  <c r="C728" i="6"/>
  <c r="D728" i="6" s="1"/>
  <c r="B728" i="6"/>
  <c r="F432" i="6"/>
  <c r="H432" i="6" s="1"/>
  <c r="G432" i="6" l="1"/>
  <c r="E433" i="6" s="1"/>
  <c r="C729" i="6"/>
  <c r="D729" i="6" s="1"/>
  <c r="B729" i="6"/>
  <c r="A730" i="6"/>
  <c r="B730" i="6" l="1"/>
  <c r="A731" i="6"/>
  <c r="C730" i="6"/>
  <c r="D730" i="6" s="1"/>
  <c r="F433" i="6"/>
  <c r="H433" i="6" s="1"/>
  <c r="G433" i="6" l="1"/>
  <c r="E434" i="6" s="1"/>
  <c r="B731" i="6"/>
  <c r="C731" i="6"/>
  <c r="D731" i="6" s="1"/>
  <c r="A732" i="6"/>
  <c r="C732" i="6" l="1"/>
  <c r="D732" i="6" s="1"/>
  <c r="A733" i="6"/>
  <c r="B732" i="6"/>
  <c r="F434" i="6"/>
  <c r="H434" i="6" s="1"/>
  <c r="B733" i="6" l="1"/>
  <c r="A734" i="6"/>
  <c r="C733" i="6"/>
  <c r="D733" i="6" s="1"/>
  <c r="G434" i="6"/>
  <c r="E435" i="6" s="1"/>
  <c r="B734" i="6" l="1"/>
  <c r="C734" i="6"/>
  <c r="D734" i="6" s="1"/>
  <c r="F435" i="6"/>
  <c r="H435" i="6" s="1"/>
  <c r="S12" i="6" l="1"/>
  <c r="G435" i="6"/>
  <c r="E436" i="6" s="1"/>
  <c r="F436" i="6" l="1"/>
  <c r="H436" i="6" s="1"/>
  <c r="G436" i="6" l="1"/>
  <c r="E437" i="6" s="1"/>
  <c r="F437" i="6" l="1"/>
  <c r="H437" i="6" s="1"/>
  <c r="G437" i="6" l="1"/>
  <c r="E438" i="6" s="1"/>
  <c r="F438" i="6" l="1"/>
  <c r="H438" i="6" s="1"/>
  <c r="G438" i="6" l="1"/>
  <c r="E439" i="6" s="1"/>
  <c r="F439" i="6" l="1"/>
  <c r="H439" i="6" s="1"/>
  <c r="G439" i="6" l="1"/>
  <c r="E440" i="6" s="1"/>
  <c r="F440" i="6" l="1"/>
  <c r="H440" i="6" s="1"/>
  <c r="G440" i="6" l="1"/>
  <c r="E441" i="6" s="1"/>
  <c r="F441" i="6" l="1"/>
  <c r="H441" i="6" s="1"/>
  <c r="G441" i="6" l="1"/>
  <c r="E442" i="6" s="1"/>
  <c r="F442" i="6" l="1"/>
  <c r="H442" i="6" s="1"/>
  <c r="G442" i="6" l="1"/>
  <c r="E443" i="6" s="1"/>
  <c r="F443" i="6" l="1"/>
  <c r="H443" i="6" s="1"/>
  <c r="G443" i="6" l="1"/>
  <c r="E444" i="6" s="1"/>
  <c r="F444" i="6" l="1"/>
  <c r="H444" i="6" s="1"/>
  <c r="F445" i="6" s="1"/>
  <c r="G444" i="6" l="1"/>
  <c r="H445" i="6"/>
  <c r="G445" i="6"/>
  <c r="E446" i="6" s="1"/>
  <c r="F446" i="6" l="1"/>
  <c r="H446" i="6" s="1"/>
  <c r="G446" i="6" l="1"/>
  <c r="E447" i="6" s="1"/>
  <c r="F447" i="6" s="1"/>
  <c r="H447" i="6" s="1"/>
  <c r="G447" i="6" l="1"/>
  <c r="E448" i="6" s="1"/>
  <c r="F448" i="6" l="1"/>
  <c r="H448" i="6" s="1"/>
  <c r="G448" i="6" l="1"/>
  <c r="E449" i="6" s="1"/>
  <c r="F449" i="6" l="1"/>
  <c r="H449" i="6" s="1"/>
  <c r="G449" i="6" l="1"/>
  <c r="E450" i="6" s="1"/>
  <c r="F450" i="6" l="1"/>
  <c r="H450" i="6" s="1"/>
  <c r="G450" i="6" l="1"/>
  <c r="E451" i="6" s="1"/>
  <c r="F451" i="6" l="1"/>
  <c r="H451" i="6" s="1"/>
  <c r="G451" i="6" l="1"/>
  <c r="E452" i="6" s="1"/>
  <c r="F452" i="6" s="1"/>
  <c r="H452" i="6" s="1"/>
  <c r="G452" i="6" l="1"/>
  <c r="E453" i="6" s="1"/>
  <c r="F453" i="6" l="1"/>
  <c r="H453" i="6" s="1"/>
  <c r="G453" i="6" l="1"/>
  <c r="E454" i="6" s="1"/>
  <c r="F454" i="6" s="1"/>
  <c r="H454" i="6" s="1"/>
  <c r="G454" i="6" l="1"/>
  <c r="E455" i="6" s="1"/>
  <c r="G455" i="6" l="1"/>
  <c r="E456" i="6" s="1"/>
  <c r="F455" i="6"/>
  <c r="H455" i="6" s="1"/>
  <c r="F456" i="6" l="1"/>
  <c r="H456" i="6" s="1"/>
  <c r="G456" i="6" l="1"/>
  <c r="E457" i="6" s="1"/>
  <c r="F457" i="6" l="1"/>
  <c r="H457" i="6" s="1"/>
  <c r="G457" i="6" l="1"/>
  <c r="E458" i="6" s="1"/>
  <c r="F458" i="6" l="1"/>
  <c r="H458" i="6" s="1"/>
  <c r="G458" i="6" l="1"/>
  <c r="E459" i="6" s="1"/>
  <c r="F459" i="6" l="1"/>
  <c r="H459" i="6" s="1"/>
  <c r="G459" i="6" l="1"/>
  <c r="E460" i="6" s="1"/>
  <c r="F460" i="6" l="1"/>
  <c r="H460" i="6" s="1"/>
  <c r="G460" i="6" l="1"/>
  <c r="E461" i="6" s="1"/>
  <c r="F461" i="6" s="1"/>
  <c r="H461" i="6" s="1"/>
  <c r="G461" i="6" l="1"/>
  <c r="E462" i="6" s="1"/>
  <c r="F462" i="6" l="1"/>
  <c r="H462" i="6" s="1"/>
  <c r="G462" i="6" l="1"/>
  <c r="E463" i="6" s="1"/>
  <c r="F463" i="6" l="1"/>
  <c r="H463" i="6" s="1"/>
  <c r="G463" i="6" l="1"/>
  <c r="E464" i="6" s="1"/>
  <c r="F464" i="6" l="1"/>
  <c r="H464" i="6" s="1"/>
  <c r="G464" i="6" l="1"/>
  <c r="E465" i="6" s="1"/>
  <c r="F465" i="6" l="1"/>
  <c r="H465" i="6" s="1"/>
  <c r="G465" i="6" l="1"/>
  <c r="E466" i="6" s="1"/>
  <c r="F466" i="6" s="1"/>
  <c r="H466" i="6" s="1"/>
  <c r="G466" i="6" l="1"/>
  <c r="E467" i="6" s="1"/>
  <c r="F467" i="6" l="1"/>
  <c r="H467" i="6" s="1"/>
  <c r="G467" i="6" l="1"/>
  <c r="E468" i="6" s="1"/>
  <c r="F468" i="6" l="1"/>
  <c r="H468" i="6" s="1"/>
  <c r="G468" i="6" l="1"/>
  <c r="E469" i="6" s="1"/>
  <c r="F469" i="6" s="1"/>
  <c r="H469" i="6" s="1"/>
  <c r="G469" i="6" l="1"/>
  <c r="E470" i="6" s="1"/>
  <c r="F470" i="6" l="1"/>
  <c r="H470" i="6" s="1"/>
  <c r="G470" i="6" l="1"/>
  <c r="E471" i="6" s="1"/>
  <c r="F471" i="6" l="1"/>
  <c r="H471" i="6" s="1"/>
  <c r="G471" i="6" l="1"/>
  <c r="E472" i="6" s="1"/>
  <c r="F472" i="6" s="1"/>
  <c r="H472" i="6" s="1"/>
  <c r="G472" i="6" l="1"/>
  <c r="E473" i="6" s="1"/>
  <c r="F473" i="6" s="1"/>
  <c r="H473" i="6" s="1"/>
  <c r="G473" i="6" l="1"/>
  <c r="E474" i="6" s="1"/>
  <c r="F474" i="6" s="1"/>
  <c r="H474" i="6" s="1"/>
  <c r="G474" i="6" l="1"/>
  <c r="E475" i="6" s="1"/>
  <c r="F475" i="6" l="1"/>
  <c r="H475" i="6" s="1"/>
  <c r="F476" i="6" s="1"/>
  <c r="G475" i="6" l="1"/>
  <c r="H476" i="6"/>
  <c r="G476" i="6"/>
  <c r="E477" i="6" s="1"/>
  <c r="F477" i="6" l="1"/>
  <c r="H477" i="6" s="1"/>
  <c r="G477" i="6" l="1"/>
  <c r="E478" i="6" s="1"/>
  <c r="F478" i="6"/>
  <c r="H478" i="6" s="1"/>
  <c r="G478" i="6" l="1"/>
  <c r="E479" i="6" s="1"/>
  <c r="F479" i="6" l="1"/>
  <c r="H479" i="6" s="1"/>
  <c r="G479" i="6" l="1"/>
  <c r="E480" i="6" s="1"/>
  <c r="F480" i="6" l="1"/>
  <c r="H480" i="6" s="1"/>
  <c r="G480" i="6" l="1"/>
  <c r="E481" i="6" s="1"/>
  <c r="F481" i="6" s="1"/>
  <c r="H481" i="6" s="1"/>
  <c r="G481" i="6" l="1"/>
  <c r="E482" i="6" s="1"/>
  <c r="F482" i="6" s="1"/>
  <c r="H482" i="6" s="1"/>
  <c r="G482" i="6" l="1"/>
  <c r="E483" i="6" s="1"/>
  <c r="F483" i="6" l="1"/>
  <c r="H483" i="6" s="1"/>
  <c r="G483" i="6" l="1"/>
  <c r="E484" i="6" s="1"/>
  <c r="F484" i="6" l="1"/>
  <c r="H484" i="6" s="1"/>
  <c r="G484" i="6" l="1"/>
  <c r="E485" i="6" s="1"/>
  <c r="F485" i="6" l="1"/>
  <c r="H485" i="6" s="1"/>
  <c r="G485" i="6" l="1"/>
  <c r="E486" i="6" s="1"/>
  <c r="F486" i="6" l="1"/>
  <c r="H486" i="6" s="1"/>
  <c r="G486" i="6" l="1"/>
  <c r="E487" i="6" s="1"/>
  <c r="F487" i="6" l="1"/>
  <c r="H487" i="6" s="1"/>
  <c r="G487" i="6" l="1"/>
  <c r="E488" i="6" s="1"/>
  <c r="F488" i="6" l="1"/>
  <c r="H488" i="6" s="1"/>
  <c r="G488" i="6" l="1"/>
  <c r="E489" i="6" s="1"/>
  <c r="F489" i="6" s="1"/>
  <c r="H489" i="6" s="1"/>
  <c r="G489" i="6" l="1"/>
  <c r="E490" i="6" s="1"/>
  <c r="F490" i="6" l="1"/>
  <c r="H490" i="6" s="1"/>
  <c r="G490" i="6" l="1"/>
  <c r="E491" i="6" s="1"/>
  <c r="F491" i="6" l="1"/>
  <c r="H491" i="6" s="1"/>
  <c r="G491" i="6" l="1"/>
  <c r="E492" i="6" s="1"/>
  <c r="F492" i="6" s="1"/>
  <c r="H492" i="6" s="1"/>
  <c r="G492" i="6" l="1"/>
  <c r="E493" i="6" s="1"/>
  <c r="F493" i="6" s="1"/>
  <c r="H493" i="6" s="1"/>
  <c r="G493" i="6" l="1"/>
  <c r="E494" i="6" s="1"/>
  <c r="F494" i="6" l="1"/>
  <c r="H494" i="6" s="1"/>
  <c r="G494" i="6" l="1"/>
  <c r="E495" i="6" s="1"/>
  <c r="F495" i="6" s="1"/>
  <c r="H495" i="6" s="1"/>
  <c r="G495" i="6" l="1"/>
  <c r="E496" i="6" s="1"/>
  <c r="F496" i="6" s="1"/>
  <c r="H496" i="6" s="1"/>
  <c r="G496" i="6" l="1"/>
  <c r="E497" i="6" s="1"/>
  <c r="F497" i="6" l="1"/>
  <c r="H497" i="6" s="1"/>
  <c r="G497" i="6" l="1"/>
  <c r="E498" i="6" s="1"/>
  <c r="F498" i="6" l="1"/>
  <c r="H498" i="6" s="1"/>
  <c r="G498" i="6" l="1"/>
  <c r="E499" i="6" s="1"/>
  <c r="F499" i="6" l="1"/>
  <c r="H499" i="6" s="1"/>
  <c r="G499" i="6" l="1"/>
  <c r="E500" i="6" s="1"/>
  <c r="F500" i="6" l="1"/>
  <c r="H500" i="6" s="1"/>
  <c r="G500" i="6" l="1"/>
  <c r="E501" i="6" s="1"/>
  <c r="F501" i="6" l="1"/>
  <c r="H501" i="6" s="1"/>
  <c r="G501" i="6" l="1"/>
  <c r="E502" i="6" s="1"/>
  <c r="F502" i="6" l="1"/>
  <c r="H502" i="6" s="1"/>
  <c r="G502" i="6" l="1"/>
  <c r="E503" i="6" s="1"/>
  <c r="F503" i="6" l="1"/>
  <c r="H503" i="6" s="1"/>
  <c r="F504" i="6" s="1"/>
  <c r="H504" i="6" l="1"/>
  <c r="G504" i="6"/>
  <c r="E505" i="6" s="1"/>
  <c r="G503" i="6"/>
  <c r="F505" i="6" l="1"/>
  <c r="H505" i="6" s="1"/>
  <c r="G505" i="6" l="1"/>
  <c r="E506" i="6" s="1"/>
  <c r="F506" i="6" s="1"/>
  <c r="H506" i="6" s="1"/>
  <c r="G506" i="6" l="1"/>
  <c r="E507" i="6" s="1"/>
  <c r="F507" i="6" l="1"/>
  <c r="H507" i="6" s="1"/>
  <c r="G507" i="6" l="1"/>
  <c r="E508" i="6" s="1"/>
  <c r="F508" i="6" s="1"/>
  <c r="H508" i="6" s="1"/>
  <c r="G508" i="6" l="1"/>
  <c r="E509" i="6" s="1"/>
  <c r="F509" i="6" l="1"/>
  <c r="H509" i="6" s="1"/>
  <c r="G509" i="6" l="1"/>
  <c r="E510" i="6" s="1"/>
  <c r="F510" i="6" l="1"/>
  <c r="H510" i="6" s="1"/>
  <c r="G510" i="6" l="1"/>
  <c r="E511" i="6" s="1"/>
  <c r="F511" i="6" l="1"/>
  <c r="H511" i="6" s="1"/>
  <c r="G511" i="6" l="1"/>
  <c r="E512" i="6" s="1"/>
  <c r="F512" i="6" l="1"/>
  <c r="H512" i="6" s="1"/>
  <c r="G512" i="6" l="1"/>
  <c r="E513" i="6" s="1"/>
  <c r="F513" i="6" s="1"/>
  <c r="H513" i="6" s="1"/>
  <c r="G513" i="6" l="1"/>
  <c r="E514" i="6" s="1"/>
  <c r="F514" i="6" l="1"/>
  <c r="H514" i="6" s="1"/>
  <c r="G514" i="6" l="1"/>
  <c r="E515" i="6" s="1"/>
  <c r="F515" i="6" s="1"/>
  <c r="H515" i="6" s="1"/>
  <c r="G515" i="6" l="1"/>
  <c r="E516" i="6" s="1"/>
  <c r="F516" i="6" s="1"/>
  <c r="H516" i="6" s="1"/>
  <c r="G516" i="6" l="1"/>
  <c r="E517" i="6" s="1"/>
  <c r="F517" i="6" l="1"/>
  <c r="H517" i="6" s="1"/>
  <c r="G517" i="6" l="1"/>
  <c r="E518" i="6" s="1"/>
  <c r="F518" i="6" l="1"/>
  <c r="H518" i="6" s="1"/>
  <c r="G518" i="6" l="1"/>
  <c r="E519" i="6" s="1"/>
  <c r="F519" i="6" l="1"/>
  <c r="H519" i="6" s="1"/>
  <c r="G519" i="6" l="1"/>
  <c r="E520" i="6" s="1"/>
  <c r="F520" i="6" l="1"/>
  <c r="H520" i="6" s="1"/>
  <c r="G520" i="6" l="1"/>
  <c r="E521" i="6" s="1"/>
  <c r="F521" i="6" l="1"/>
  <c r="H521" i="6" s="1"/>
  <c r="G521" i="6" l="1"/>
  <c r="E522" i="6" s="1"/>
  <c r="F522" i="6" l="1"/>
  <c r="H522" i="6" s="1"/>
  <c r="G522" i="6" l="1"/>
  <c r="E523" i="6" s="1"/>
  <c r="F523" i="6" l="1"/>
  <c r="H523" i="6" s="1"/>
  <c r="G523" i="6" l="1"/>
  <c r="E524" i="6" s="1"/>
  <c r="F524" i="6" l="1"/>
  <c r="H524" i="6" s="1"/>
  <c r="G524" i="6" l="1"/>
  <c r="E525" i="6" s="1"/>
  <c r="F525" i="6" l="1"/>
  <c r="H525" i="6" s="1"/>
  <c r="G525" i="6" l="1"/>
  <c r="E526" i="6" s="1"/>
  <c r="F526" i="6" l="1"/>
  <c r="H526" i="6" s="1"/>
  <c r="G526" i="6" l="1"/>
  <c r="E527" i="6" s="1"/>
  <c r="F527" i="6" l="1"/>
  <c r="H527" i="6" s="1"/>
  <c r="G527" i="6" l="1"/>
  <c r="E528" i="6" s="1"/>
  <c r="F528" i="6" l="1"/>
  <c r="H528" i="6" s="1"/>
  <c r="G528" i="6" l="1"/>
  <c r="E529" i="6" s="1"/>
  <c r="F529" i="6" l="1"/>
  <c r="H529" i="6" s="1"/>
  <c r="G529" i="6" l="1"/>
  <c r="E530" i="6" s="1"/>
  <c r="F530" i="6" l="1"/>
  <c r="H530" i="6" s="1"/>
  <c r="G530" i="6" l="1"/>
  <c r="E531" i="6" s="1"/>
  <c r="F531" i="6" l="1"/>
  <c r="H531" i="6" s="1"/>
  <c r="G531" i="6" l="1"/>
  <c r="E532" i="6" s="1"/>
  <c r="F532" i="6" l="1"/>
  <c r="H532" i="6" s="1"/>
  <c r="G532" i="6" l="1"/>
  <c r="E533" i="6" s="1"/>
  <c r="F533" i="6" l="1"/>
  <c r="H533" i="6" s="1"/>
  <c r="G533" i="6" l="1"/>
  <c r="E534" i="6" s="1"/>
  <c r="F534" i="6" l="1"/>
  <c r="H534" i="6" s="1"/>
  <c r="F535" i="6" s="1"/>
  <c r="G535" i="6" l="1"/>
  <c r="E536" i="6" s="1"/>
  <c r="H535" i="6"/>
  <c r="F536" i="6" s="1"/>
  <c r="H536" i="6" s="1"/>
  <c r="G534" i="6"/>
  <c r="G536" i="6" l="1"/>
  <c r="E537" i="6" s="1"/>
  <c r="F537" i="6" l="1"/>
  <c r="H537" i="6" s="1"/>
  <c r="G537" i="6" l="1"/>
  <c r="E538" i="6" s="1"/>
  <c r="F538" i="6" l="1"/>
  <c r="H538" i="6" s="1"/>
  <c r="G538" i="6" l="1"/>
  <c r="E539" i="6" s="1"/>
  <c r="F539" i="6" s="1"/>
  <c r="H539" i="6" s="1"/>
  <c r="G539" i="6" l="1"/>
  <c r="E540" i="6" s="1"/>
  <c r="F540" i="6" s="1"/>
  <c r="H540" i="6" s="1"/>
  <c r="G540" i="6" l="1"/>
  <c r="E541" i="6" s="1"/>
  <c r="F541" i="6" l="1"/>
  <c r="H541" i="6" s="1"/>
  <c r="G541" i="6" l="1"/>
  <c r="E542" i="6" s="1"/>
  <c r="F542" i="6" l="1"/>
  <c r="H542" i="6" s="1"/>
  <c r="G542" i="6" l="1"/>
  <c r="E543" i="6" s="1"/>
  <c r="F543" i="6" l="1"/>
  <c r="H543" i="6" s="1"/>
  <c r="G543" i="6" l="1"/>
  <c r="E544" i="6" s="1"/>
  <c r="F544" i="6" l="1"/>
  <c r="H544" i="6" s="1"/>
  <c r="G544" i="6" l="1"/>
  <c r="E545" i="6" s="1"/>
  <c r="F545" i="6" l="1"/>
  <c r="H545" i="6" s="1"/>
  <c r="G545" i="6" l="1"/>
  <c r="E546" i="6" s="1"/>
  <c r="F546" i="6" l="1"/>
  <c r="H546" i="6" s="1"/>
  <c r="G546" i="6" l="1"/>
  <c r="E547" i="6" s="1"/>
  <c r="F547" i="6" l="1"/>
  <c r="H547" i="6" s="1"/>
  <c r="G547" i="6" l="1"/>
  <c r="E548" i="6" s="1"/>
  <c r="F548" i="6" l="1"/>
  <c r="H548" i="6" s="1"/>
  <c r="G548" i="6" l="1"/>
  <c r="E549" i="6" s="1"/>
  <c r="F549" i="6" l="1"/>
  <c r="H549" i="6" s="1"/>
  <c r="G549" i="6" l="1"/>
  <c r="E550" i="6" s="1"/>
  <c r="F550" i="6" l="1"/>
  <c r="H550" i="6" s="1"/>
  <c r="G550" i="6" l="1"/>
  <c r="E551" i="6" s="1"/>
  <c r="F551" i="6" l="1"/>
  <c r="H551" i="6" s="1"/>
  <c r="G551" i="6" l="1"/>
  <c r="E552" i="6" s="1"/>
  <c r="F552" i="6" l="1"/>
  <c r="H552" i="6" s="1"/>
  <c r="G552" i="6" l="1"/>
  <c r="E553" i="6" s="1"/>
  <c r="F553" i="6" l="1"/>
  <c r="H553" i="6" s="1"/>
  <c r="G553" i="6" l="1"/>
  <c r="E554" i="6" s="1"/>
  <c r="F554" i="6" l="1"/>
  <c r="H554" i="6" s="1"/>
  <c r="G554" i="6" l="1"/>
  <c r="E555" i="6" s="1"/>
  <c r="F555" i="6" l="1"/>
  <c r="H555" i="6" s="1"/>
  <c r="G555" i="6" l="1"/>
  <c r="E556" i="6" s="1"/>
  <c r="F556" i="6" l="1"/>
  <c r="H556" i="6" s="1"/>
  <c r="G556" i="6" l="1"/>
  <c r="E557" i="6" s="1"/>
  <c r="F557" i="6" l="1"/>
  <c r="H557" i="6" s="1"/>
  <c r="G557" i="6" l="1"/>
  <c r="E558" i="6" s="1"/>
  <c r="F558" i="6" l="1"/>
  <c r="H558" i="6" s="1"/>
  <c r="G558" i="6" l="1"/>
  <c r="E559" i="6" s="1"/>
  <c r="F559" i="6" l="1"/>
  <c r="H559" i="6" s="1"/>
  <c r="G559" i="6" l="1"/>
  <c r="E560" i="6" s="1"/>
  <c r="F560" i="6" l="1"/>
  <c r="H560" i="6" s="1"/>
  <c r="G560" i="6" l="1"/>
  <c r="E561" i="6" s="1"/>
  <c r="F561" i="6" l="1"/>
  <c r="H561" i="6" s="1"/>
  <c r="G561" i="6" l="1"/>
  <c r="E562" i="6" s="1"/>
  <c r="F562" i="6" l="1"/>
  <c r="H562" i="6" s="1"/>
  <c r="G562" i="6" l="1"/>
  <c r="E563" i="6" s="1"/>
  <c r="F563" i="6" l="1"/>
  <c r="H563" i="6" s="1"/>
  <c r="G563" i="6" l="1"/>
  <c r="E564" i="6" s="1"/>
  <c r="F564" i="6" l="1"/>
  <c r="H564" i="6" s="1"/>
  <c r="F565" i="6" s="1"/>
  <c r="H565" i="6" l="1"/>
  <c r="G565" i="6"/>
  <c r="E566" i="6" s="1"/>
  <c r="G564" i="6"/>
  <c r="F566" i="6" l="1"/>
  <c r="H566" i="6" s="1"/>
  <c r="G566" i="6" l="1"/>
  <c r="E567" i="6" s="1"/>
  <c r="F567" i="6" l="1"/>
  <c r="H567" i="6" s="1"/>
  <c r="G567" i="6" l="1"/>
  <c r="E568" i="6" s="1"/>
  <c r="F568" i="6" s="1"/>
  <c r="H568" i="6" s="1"/>
  <c r="G568" i="6" l="1"/>
  <c r="E569" i="6" s="1"/>
  <c r="F569" i="6" l="1"/>
  <c r="H569" i="6" s="1"/>
  <c r="G569" i="6" l="1"/>
  <c r="E570" i="6" s="1"/>
  <c r="F570" i="6" l="1"/>
  <c r="H570" i="6" s="1"/>
  <c r="G570" i="6" l="1"/>
  <c r="E571" i="6" s="1"/>
  <c r="F571" i="6" l="1"/>
  <c r="H571" i="6" s="1"/>
  <c r="G571" i="6" l="1"/>
  <c r="E572" i="6" s="1"/>
  <c r="F572" i="6" l="1"/>
  <c r="H572" i="6" s="1"/>
  <c r="G572" i="6" l="1"/>
  <c r="E573" i="6" s="1"/>
  <c r="F573" i="6" l="1"/>
  <c r="H573" i="6" s="1"/>
  <c r="G573" i="6" l="1"/>
  <c r="E574" i="6" s="1"/>
  <c r="F574" i="6" l="1"/>
  <c r="H574" i="6" s="1"/>
  <c r="G574" i="6" l="1"/>
  <c r="E575" i="6" s="1"/>
  <c r="F575" i="6" l="1"/>
  <c r="H575" i="6" s="1"/>
  <c r="G575" i="6" l="1"/>
  <c r="E576" i="6" s="1"/>
  <c r="F576" i="6" l="1"/>
  <c r="H576" i="6" s="1"/>
  <c r="G576" i="6" l="1"/>
  <c r="E577" i="6" s="1"/>
  <c r="F577" i="6" l="1"/>
  <c r="H577" i="6" s="1"/>
  <c r="G577" i="6" l="1"/>
  <c r="E578" i="6" s="1"/>
  <c r="F578" i="6" l="1"/>
  <c r="H578" i="6" s="1"/>
  <c r="G578" i="6" l="1"/>
  <c r="E579" i="6" s="1"/>
  <c r="F579" i="6" l="1"/>
  <c r="H579" i="6" s="1"/>
  <c r="G579" i="6" l="1"/>
  <c r="E580" i="6" s="1"/>
  <c r="F580" i="6" l="1"/>
  <c r="H580" i="6" s="1"/>
  <c r="G580" i="6" l="1"/>
  <c r="E581" i="6" s="1"/>
  <c r="F581" i="6" l="1"/>
  <c r="H581" i="6" s="1"/>
  <c r="G581" i="6" l="1"/>
  <c r="E582" i="6" s="1"/>
  <c r="F582" i="6" l="1"/>
  <c r="H582" i="6" s="1"/>
  <c r="G582" i="6" l="1"/>
  <c r="E583" i="6" s="1"/>
  <c r="F583" i="6" l="1"/>
  <c r="H583" i="6" s="1"/>
  <c r="G583" i="6" l="1"/>
  <c r="E584" i="6" s="1"/>
  <c r="F584" i="6" l="1"/>
  <c r="H584" i="6" s="1"/>
  <c r="G584" i="6" l="1"/>
  <c r="E585" i="6" s="1"/>
  <c r="F585" i="6" l="1"/>
  <c r="H585" i="6" s="1"/>
  <c r="G585" i="6" l="1"/>
  <c r="E586" i="6" s="1"/>
  <c r="F586" i="6" l="1"/>
  <c r="H586" i="6" s="1"/>
  <c r="G586" i="6" l="1"/>
  <c r="E587" i="6" s="1"/>
  <c r="F587" i="6" l="1"/>
  <c r="H587" i="6" s="1"/>
  <c r="G587" i="6" l="1"/>
  <c r="E588" i="6" s="1"/>
  <c r="F588" i="6" l="1"/>
  <c r="H588" i="6" s="1"/>
  <c r="G588" i="6" l="1"/>
  <c r="E589" i="6" s="1"/>
  <c r="F589" i="6" l="1"/>
  <c r="H589" i="6" s="1"/>
  <c r="G589" i="6" l="1"/>
  <c r="E590" i="6" s="1"/>
  <c r="F590" i="6" l="1"/>
  <c r="H590" i="6" s="1"/>
  <c r="G590" i="6" l="1"/>
  <c r="E591" i="6" s="1"/>
  <c r="F591" i="6" s="1"/>
  <c r="H591" i="6" s="1"/>
  <c r="G591" i="6" l="1"/>
  <c r="E592" i="6" s="1"/>
  <c r="F592" i="6" l="1"/>
  <c r="H592" i="6" s="1"/>
  <c r="G592" i="6" l="1"/>
  <c r="E593" i="6" s="1"/>
  <c r="F593" i="6" l="1"/>
  <c r="H593" i="6" s="1"/>
  <c r="G593" i="6" l="1"/>
  <c r="E594" i="6" s="1"/>
  <c r="F594" i="6" l="1"/>
  <c r="H594" i="6" s="1"/>
  <c r="G594" i="6" l="1"/>
  <c r="E595" i="6" s="1"/>
  <c r="F595" i="6" l="1"/>
  <c r="H595" i="6" s="1"/>
  <c r="F596" i="6" s="1"/>
  <c r="G596" i="6" l="1"/>
  <c r="E597" i="6" s="1"/>
  <c r="H596" i="6"/>
  <c r="F597" i="6" s="1"/>
  <c r="H597" i="6" s="1"/>
  <c r="G595" i="6"/>
  <c r="G597" i="6" l="1"/>
  <c r="E598" i="6" s="1"/>
  <c r="F598" i="6" l="1"/>
  <c r="H598" i="6" s="1"/>
  <c r="G598" i="6" l="1"/>
  <c r="E599" i="6" s="1"/>
  <c r="F599" i="6" l="1"/>
  <c r="H599" i="6" s="1"/>
  <c r="G599" i="6" l="1"/>
  <c r="E600" i="6" s="1"/>
  <c r="F600" i="6" s="1"/>
  <c r="H600" i="6" s="1"/>
  <c r="G600" i="6" l="1"/>
  <c r="E601" i="6" s="1"/>
  <c r="F601" i="6" l="1"/>
  <c r="H601" i="6" s="1"/>
  <c r="G601" i="6" l="1"/>
  <c r="E602" i="6" s="1"/>
  <c r="F602" i="6" l="1"/>
  <c r="H602" i="6" s="1"/>
  <c r="G602" i="6" l="1"/>
  <c r="E603" i="6" s="1"/>
  <c r="F603" i="6" l="1"/>
  <c r="H603" i="6" s="1"/>
  <c r="G603" i="6" l="1"/>
  <c r="E604" i="6" s="1"/>
  <c r="F604" i="6" l="1"/>
  <c r="H604" i="6" s="1"/>
  <c r="G604" i="6" l="1"/>
  <c r="E605" i="6" s="1"/>
  <c r="F605" i="6" l="1"/>
  <c r="H605" i="6" s="1"/>
  <c r="G605" i="6" l="1"/>
  <c r="E606" i="6" s="1"/>
  <c r="F606" i="6" l="1"/>
  <c r="H606" i="6" s="1"/>
  <c r="G606" i="6" l="1"/>
  <c r="E607" i="6" s="1"/>
  <c r="F607" i="6" l="1"/>
  <c r="H607" i="6" s="1"/>
  <c r="G607" i="6" l="1"/>
  <c r="E608" i="6" s="1"/>
  <c r="F608" i="6" l="1"/>
  <c r="H608" i="6" s="1"/>
  <c r="G608" i="6" l="1"/>
  <c r="E609" i="6" s="1"/>
  <c r="F609" i="6" l="1"/>
  <c r="H609" i="6" s="1"/>
  <c r="G609" i="6" l="1"/>
  <c r="E610" i="6" s="1"/>
  <c r="F610" i="6" l="1"/>
  <c r="H610" i="6" s="1"/>
  <c r="G610" i="6" l="1"/>
  <c r="E611" i="6" s="1"/>
  <c r="F611" i="6" l="1"/>
  <c r="H611" i="6" s="1"/>
  <c r="G611" i="6" l="1"/>
  <c r="E612" i="6" s="1"/>
  <c r="F612" i="6" l="1"/>
  <c r="H612" i="6" s="1"/>
  <c r="G612" i="6" l="1"/>
  <c r="E613" i="6" s="1"/>
  <c r="F613" i="6" l="1"/>
  <c r="H613" i="6" s="1"/>
  <c r="G613" i="6" l="1"/>
  <c r="E614" i="6" s="1"/>
  <c r="F614" i="6" l="1"/>
  <c r="H614" i="6" s="1"/>
  <c r="G614" i="6" l="1"/>
  <c r="E615" i="6" s="1"/>
  <c r="F615" i="6"/>
  <c r="H615" i="6" s="1"/>
  <c r="G615" i="6" l="1"/>
  <c r="E616" i="6" s="1"/>
  <c r="F616" i="6" l="1"/>
  <c r="H616" i="6" s="1"/>
  <c r="G616" i="6" l="1"/>
  <c r="E617" i="6" s="1"/>
  <c r="F617" i="6" l="1"/>
  <c r="H617" i="6" s="1"/>
  <c r="G617" i="6" l="1"/>
  <c r="E618" i="6" s="1"/>
  <c r="F618" i="6" l="1"/>
  <c r="H618" i="6" s="1"/>
  <c r="G618" i="6" l="1"/>
  <c r="E619" i="6" s="1"/>
  <c r="F619" i="6" l="1"/>
  <c r="H619" i="6" s="1"/>
  <c r="G619" i="6" l="1"/>
  <c r="E620" i="6" s="1"/>
  <c r="F620" i="6" s="1"/>
  <c r="H620" i="6" s="1"/>
  <c r="G620" i="6" l="1"/>
  <c r="E621" i="6" s="1"/>
  <c r="F621" i="6" l="1"/>
  <c r="H621" i="6" s="1"/>
  <c r="G621" i="6" l="1"/>
  <c r="E622" i="6" s="1"/>
  <c r="F622" i="6" l="1"/>
  <c r="H622" i="6" s="1"/>
  <c r="G622" i="6" l="1"/>
  <c r="E623" i="6" s="1"/>
  <c r="F623" i="6" l="1"/>
  <c r="H623" i="6" s="1"/>
  <c r="G623" i="6" l="1"/>
  <c r="E624" i="6" s="1"/>
  <c r="F624" i="6" l="1"/>
  <c r="H624" i="6" s="1"/>
  <c r="G624" i="6" l="1"/>
  <c r="E625" i="6" s="1"/>
  <c r="F625" i="6" l="1"/>
  <c r="H625" i="6" s="1"/>
  <c r="F626" i="6" s="1"/>
  <c r="G626" i="6" l="1"/>
  <c r="E627" i="6" s="1"/>
  <c r="H626" i="6"/>
  <c r="F627" i="6" s="1"/>
  <c r="H627" i="6" s="1"/>
  <c r="G625" i="6"/>
  <c r="G627" i="6" l="1"/>
  <c r="E628" i="6" s="1"/>
  <c r="F628" i="6" l="1"/>
  <c r="H628" i="6" s="1"/>
  <c r="G628" i="6" l="1"/>
  <c r="E629" i="6" s="1"/>
  <c r="F629" i="6" l="1"/>
  <c r="H629" i="6" s="1"/>
  <c r="G629" i="6" l="1"/>
  <c r="E630" i="6" s="1"/>
  <c r="F630" i="6" l="1"/>
  <c r="H630" i="6" s="1"/>
  <c r="G630" i="6" l="1"/>
  <c r="E631" i="6" s="1"/>
  <c r="F631" i="6" l="1"/>
  <c r="H631" i="6" s="1"/>
  <c r="G631" i="6" l="1"/>
  <c r="E632" i="6" s="1"/>
  <c r="F632" i="6" l="1"/>
  <c r="H632" i="6" s="1"/>
  <c r="G632" i="6" l="1"/>
  <c r="E633" i="6" s="1"/>
  <c r="F633" i="6" l="1"/>
  <c r="H633" i="6" s="1"/>
  <c r="G633" i="6" l="1"/>
  <c r="E634" i="6" s="1"/>
  <c r="F634" i="6" l="1"/>
  <c r="H634" i="6" s="1"/>
  <c r="G634" i="6" l="1"/>
  <c r="E635" i="6" s="1"/>
  <c r="F635" i="6" l="1"/>
  <c r="H635" i="6" s="1"/>
  <c r="G635" i="6" l="1"/>
  <c r="E636" i="6" s="1"/>
  <c r="F636" i="6" l="1"/>
  <c r="H636" i="6" s="1"/>
  <c r="G636" i="6" l="1"/>
  <c r="E637" i="6" s="1"/>
  <c r="F637" i="6" l="1"/>
  <c r="H637" i="6" s="1"/>
  <c r="G637" i="6" l="1"/>
  <c r="E638" i="6" s="1"/>
  <c r="F638" i="6" l="1"/>
  <c r="H638" i="6" s="1"/>
  <c r="G638" i="6" l="1"/>
  <c r="E639" i="6" s="1"/>
  <c r="F639" i="6" l="1"/>
  <c r="H639" i="6" s="1"/>
  <c r="G639" i="6" l="1"/>
  <c r="E640" i="6" s="1"/>
  <c r="F640" i="6" l="1"/>
  <c r="H640" i="6" s="1"/>
  <c r="G640" i="6" l="1"/>
  <c r="E641" i="6" s="1"/>
  <c r="F641" i="6" l="1"/>
  <c r="H641" i="6" s="1"/>
  <c r="G641" i="6" l="1"/>
  <c r="E642" i="6" s="1"/>
  <c r="F642" i="6" l="1"/>
  <c r="H642" i="6" s="1"/>
  <c r="G642" i="6" l="1"/>
  <c r="E643" i="6" s="1"/>
  <c r="F643" i="6" l="1"/>
  <c r="H643" i="6" s="1"/>
  <c r="G643" i="6" l="1"/>
  <c r="E644" i="6" s="1"/>
  <c r="F644" i="6" l="1"/>
  <c r="H644" i="6" s="1"/>
  <c r="G644" i="6" l="1"/>
  <c r="E645" i="6" s="1"/>
  <c r="F645" i="6" l="1"/>
  <c r="H645" i="6" s="1"/>
  <c r="G645" i="6" l="1"/>
  <c r="E646" i="6" s="1"/>
  <c r="F646" i="6" l="1"/>
  <c r="H646" i="6" s="1"/>
  <c r="G646" i="6" l="1"/>
  <c r="E647" i="6" s="1"/>
  <c r="F647" i="6" l="1"/>
  <c r="H647" i="6" s="1"/>
  <c r="G647" i="6" l="1"/>
  <c r="E648" i="6" s="1"/>
  <c r="F648" i="6" l="1"/>
  <c r="H648" i="6" s="1"/>
  <c r="G648" i="6" l="1"/>
  <c r="E649" i="6" s="1"/>
  <c r="F649" i="6" l="1"/>
  <c r="H649" i="6" s="1"/>
  <c r="G649" i="6" l="1"/>
  <c r="E650" i="6" s="1"/>
  <c r="F650" i="6" l="1"/>
  <c r="H650" i="6" s="1"/>
  <c r="G650" i="6" l="1"/>
  <c r="E651" i="6" s="1"/>
  <c r="F651" i="6" l="1"/>
  <c r="H651" i="6" s="1"/>
  <c r="G651" i="6" l="1"/>
  <c r="E652" i="6" s="1"/>
  <c r="F652" i="6" l="1"/>
  <c r="H652" i="6" s="1"/>
  <c r="G652" i="6" l="1"/>
  <c r="E653" i="6" s="1"/>
  <c r="F653" i="6" l="1"/>
  <c r="H653" i="6" s="1"/>
  <c r="G653" i="6" l="1"/>
  <c r="E654" i="6" s="1"/>
  <c r="F654" i="6" l="1"/>
  <c r="H654" i="6" s="1"/>
  <c r="G654" i="6" l="1"/>
  <c r="E655" i="6" s="1"/>
  <c r="F655" i="6" l="1"/>
  <c r="H655" i="6" s="1"/>
  <c r="G655" i="6" l="1"/>
  <c r="E656" i="6" s="1"/>
  <c r="F656" i="6" l="1"/>
  <c r="H656" i="6" s="1"/>
  <c r="F657" i="6" s="1"/>
  <c r="G657" i="6" l="1"/>
  <c r="E658" i="6" s="1"/>
  <c r="H657" i="6"/>
  <c r="F658" i="6" s="1"/>
  <c r="H658" i="6" s="1"/>
  <c r="G656" i="6"/>
  <c r="G658" i="6" l="1"/>
  <c r="E659" i="6" s="1"/>
  <c r="F659" i="6" l="1"/>
  <c r="H659" i="6" s="1"/>
  <c r="G659" i="6" l="1"/>
  <c r="E660" i="6" s="1"/>
  <c r="F660" i="6" l="1"/>
  <c r="H660" i="6" s="1"/>
  <c r="G660" i="6" l="1"/>
  <c r="E661" i="6" s="1"/>
  <c r="F661" i="6" l="1"/>
  <c r="H661" i="6" s="1"/>
  <c r="G661" i="6" l="1"/>
  <c r="E662" i="6" s="1"/>
  <c r="F662" i="6" l="1"/>
  <c r="H662" i="6" s="1"/>
  <c r="G662" i="6" l="1"/>
  <c r="E663" i="6" s="1"/>
  <c r="F663" i="6" l="1"/>
  <c r="H663" i="6" s="1"/>
  <c r="G663" i="6" l="1"/>
  <c r="E664" i="6" s="1"/>
  <c r="F664" i="6" l="1"/>
  <c r="H664" i="6" s="1"/>
  <c r="G664" i="6" l="1"/>
  <c r="E665" i="6" s="1"/>
  <c r="F665" i="6" l="1"/>
  <c r="H665" i="6" s="1"/>
  <c r="G665" i="6" l="1"/>
  <c r="E666" i="6" s="1"/>
  <c r="F666" i="6" l="1"/>
  <c r="H666" i="6" s="1"/>
  <c r="G666" i="6" l="1"/>
  <c r="E667" i="6" s="1"/>
  <c r="F667" i="6" l="1"/>
  <c r="H667" i="6" s="1"/>
  <c r="G667" i="6" l="1"/>
  <c r="E668" i="6" s="1"/>
  <c r="F668" i="6" l="1"/>
  <c r="H668" i="6" s="1"/>
  <c r="G668" i="6" l="1"/>
  <c r="E669" i="6" s="1"/>
  <c r="F669" i="6" l="1"/>
  <c r="H669" i="6" s="1"/>
  <c r="G669" i="6" l="1"/>
  <c r="E670" i="6" s="1"/>
  <c r="F670" i="6" l="1"/>
  <c r="H670" i="6" s="1"/>
  <c r="G670" i="6" l="1"/>
  <c r="E671" i="6" s="1"/>
  <c r="F671" i="6" l="1"/>
  <c r="H671" i="6" s="1"/>
  <c r="G671" i="6" l="1"/>
  <c r="E672" i="6" s="1"/>
  <c r="F672" i="6" l="1"/>
  <c r="H672" i="6" s="1"/>
  <c r="G672" i="6" l="1"/>
  <c r="E673" i="6" s="1"/>
  <c r="F673" i="6" l="1"/>
  <c r="H673" i="6" s="1"/>
  <c r="G673" i="6" l="1"/>
  <c r="E674" i="6" s="1"/>
  <c r="F674" i="6" l="1"/>
  <c r="H674" i="6" s="1"/>
  <c r="G674" i="6" l="1"/>
  <c r="E675" i="6" s="1"/>
  <c r="F675" i="6" l="1"/>
  <c r="H675" i="6" s="1"/>
  <c r="G675" i="6" l="1"/>
  <c r="E676" i="6" s="1"/>
  <c r="F676" i="6" l="1"/>
  <c r="H676" i="6" s="1"/>
  <c r="G676" i="6" l="1"/>
  <c r="E677" i="6" s="1"/>
  <c r="F677" i="6" l="1"/>
  <c r="H677" i="6" s="1"/>
  <c r="G677" i="6" l="1"/>
  <c r="E678" i="6" s="1"/>
  <c r="F678" i="6" l="1"/>
  <c r="H678" i="6" s="1"/>
  <c r="G678" i="6" l="1"/>
  <c r="E679" i="6" s="1"/>
  <c r="F679" i="6" l="1"/>
  <c r="H679" i="6" s="1"/>
  <c r="G679" i="6" l="1"/>
  <c r="E680" i="6" s="1"/>
  <c r="F680" i="6" l="1"/>
  <c r="H680" i="6" s="1"/>
  <c r="G680" i="6" l="1"/>
  <c r="E681" i="6" s="1"/>
  <c r="F681" i="6" l="1"/>
  <c r="H681" i="6" s="1"/>
  <c r="G681" i="6" l="1"/>
  <c r="E682" i="6" s="1"/>
  <c r="F682" i="6" l="1"/>
  <c r="H682" i="6" s="1"/>
  <c r="G682" i="6" l="1"/>
  <c r="E683" i="6" s="1"/>
  <c r="F683" i="6" l="1"/>
  <c r="H683" i="6" s="1"/>
  <c r="G683" i="6" l="1"/>
  <c r="E684" i="6" s="1"/>
  <c r="F684" i="6" l="1"/>
  <c r="H684" i="6" s="1"/>
  <c r="G684" i="6" l="1"/>
  <c r="E685" i="6" s="1"/>
  <c r="F685" i="6" l="1"/>
  <c r="H685" i="6" s="1"/>
  <c r="G685" i="6" l="1"/>
  <c r="E686" i="6" s="1"/>
  <c r="F686" i="6" l="1"/>
  <c r="H686" i="6" s="1"/>
  <c r="G686" i="6" l="1"/>
  <c r="E687" i="6" s="1"/>
  <c r="F687" i="6" l="1"/>
  <c r="H687" i="6" s="1"/>
  <c r="F688" i="6" s="1"/>
  <c r="H688" i="6" l="1"/>
  <c r="G688" i="6"/>
  <c r="E689" i="6" s="1"/>
  <c r="G687" i="6"/>
  <c r="F689" i="6" l="1"/>
  <c r="H689" i="6" s="1"/>
  <c r="G689" i="6" l="1"/>
  <c r="E690" i="6" s="1"/>
  <c r="F690" i="6" l="1"/>
  <c r="H690" i="6" s="1"/>
  <c r="G690" i="6" l="1"/>
  <c r="E691" i="6" s="1"/>
  <c r="F691" i="6" l="1"/>
  <c r="H691" i="6" s="1"/>
  <c r="G691" i="6" l="1"/>
  <c r="E692" i="6" s="1"/>
  <c r="F692" i="6" l="1"/>
  <c r="H692" i="6" s="1"/>
  <c r="G692" i="6" l="1"/>
  <c r="E693" i="6" s="1"/>
  <c r="F693" i="6" l="1"/>
  <c r="H693" i="6" s="1"/>
  <c r="G693" i="6" l="1"/>
  <c r="E694" i="6" s="1"/>
  <c r="F694" i="6" l="1"/>
  <c r="H694" i="6" s="1"/>
  <c r="G694" i="6" l="1"/>
  <c r="E695" i="6" s="1"/>
  <c r="F695" i="6" l="1"/>
  <c r="H695" i="6" s="1"/>
  <c r="G695" i="6" l="1"/>
  <c r="E696" i="6" s="1"/>
  <c r="F696" i="6" l="1"/>
  <c r="H696" i="6" s="1"/>
  <c r="G696" i="6" l="1"/>
  <c r="E697" i="6" s="1"/>
  <c r="F697" i="6" l="1"/>
  <c r="H697" i="6" s="1"/>
  <c r="G697" i="6" l="1"/>
  <c r="E698" i="6" s="1"/>
  <c r="F698" i="6" l="1"/>
  <c r="H698" i="6" s="1"/>
  <c r="G698" i="6" l="1"/>
  <c r="E699" i="6" s="1"/>
  <c r="F699" i="6" l="1"/>
  <c r="H699" i="6" s="1"/>
  <c r="G699" i="6" l="1"/>
  <c r="E700" i="6" s="1"/>
  <c r="F700" i="6" l="1"/>
  <c r="H700" i="6" s="1"/>
  <c r="G700" i="6" l="1"/>
  <c r="E701" i="6" s="1"/>
  <c r="F701" i="6" l="1"/>
  <c r="H701" i="6" s="1"/>
  <c r="G701" i="6" l="1"/>
  <c r="E702" i="6" s="1"/>
  <c r="F702" i="6" l="1"/>
  <c r="H702" i="6" s="1"/>
  <c r="G702" i="6" l="1"/>
  <c r="E703" i="6" s="1"/>
  <c r="F703" i="6" l="1"/>
  <c r="H703" i="6" s="1"/>
  <c r="G703" i="6" l="1"/>
  <c r="E704" i="6" s="1"/>
  <c r="F704" i="6" l="1"/>
  <c r="H704" i="6" s="1"/>
  <c r="G704" i="6" l="1"/>
  <c r="E705" i="6" s="1"/>
  <c r="F705" i="6" l="1"/>
  <c r="H705" i="6" s="1"/>
  <c r="G705" i="6" l="1"/>
  <c r="E706" i="6" s="1"/>
  <c r="F706" i="6" l="1"/>
  <c r="H706" i="6" s="1"/>
  <c r="G706" i="6" l="1"/>
  <c r="E707" i="6" s="1"/>
  <c r="F707" i="6" l="1"/>
  <c r="H707" i="6" s="1"/>
  <c r="G707" i="6" l="1"/>
  <c r="E708" i="6" s="1"/>
  <c r="F708" i="6" l="1"/>
  <c r="H708" i="6" s="1"/>
  <c r="G708" i="6" l="1"/>
  <c r="E709" i="6" s="1"/>
  <c r="F709" i="6" l="1"/>
  <c r="H709" i="6" s="1"/>
  <c r="G709" i="6" l="1"/>
  <c r="E710" i="6" s="1"/>
  <c r="F710" i="6" l="1"/>
  <c r="H710" i="6" s="1"/>
  <c r="G710" i="6" l="1"/>
  <c r="E711" i="6" s="1"/>
  <c r="F711" i="6" l="1"/>
  <c r="H711" i="6" s="1"/>
  <c r="G711" i="6" l="1"/>
  <c r="E712" i="6" s="1"/>
  <c r="F712" i="6" l="1"/>
  <c r="H712" i="6" s="1"/>
  <c r="G712" i="6" l="1"/>
  <c r="E713" i="6" s="1"/>
  <c r="F713" i="6" l="1"/>
  <c r="H713" i="6" s="1"/>
  <c r="G713" i="6" l="1"/>
  <c r="E714" i="6" s="1"/>
  <c r="F714" i="6" l="1"/>
  <c r="H714" i="6" s="1"/>
  <c r="G714" i="6" l="1"/>
  <c r="E715" i="6" s="1"/>
  <c r="F715" i="6" l="1"/>
  <c r="H715" i="6" s="1"/>
  <c r="G715" i="6" l="1"/>
  <c r="E716" i="6" s="1"/>
  <c r="F716" i="6" l="1"/>
  <c r="H716" i="6" s="1"/>
  <c r="G716" i="6" l="1"/>
  <c r="E717" i="6" s="1"/>
  <c r="F717" i="6" l="1"/>
  <c r="H717" i="6" s="1"/>
  <c r="F718" i="6" s="1"/>
  <c r="H718" i="6" l="1"/>
  <c r="G718" i="6"/>
  <c r="E719" i="6" s="1"/>
  <c r="G717" i="6"/>
  <c r="F719" i="6" l="1"/>
  <c r="H719" i="6" s="1"/>
  <c r="G719" i="6" l="1"/>
  <c r="E720" i="6" s="1"/>
  <c r="F720" i="6" l="1"/>
  <c r="H720" i="6" s="1"/>
  <c r="G720" i="6" l="1"/>
  <c r="E721" i="6" s="1"/>
  <c r="F721" i="6" l="1"/>
  <c r="H721" i="6" s="1"/>
  <c r="G721" i="6" l="1"/>
  <c r="E722" i="6" s="1"/>
  <c r="F722" i="6" l="1"/>
  <c r="H722" i="6" s="1"/>
  <c r="G722" i="6" l="1"/>
  <c r="E723" i="6" s="1"/>
  <c r="F723" i="6" l="1"/>
  <c r="H723" i="6" s="1"/>
  <c r="G723" i="6" l="1"/>
  <c r="E724" i="6" s="1"/>
  <c r="F724" i="6" l="1"/>
  <c r="H724" i="6" s="1"/>
  <c r="G724" i="6" l="1"/>
  <c r="E725" i="6" s="1"/>
  <c r="F725" i="6" s="1"/>
  <c r="H725" i="6" s="1"/>
  <c r="G725" i="6" l="1"/>
  <c r="E726" i="6" s="1"/>
  <c r="F726" i="6" l="1"/>
  <c r="H726" i="6" s="1"/>
  <c r="G726" i="6" l="1"/>
  <c r="E727" i="6" s="1"/>
  <c r="F727" i="6" l="1"/>
  <c r="H727" i="6" s="1"/>
  <c r="G727" i="6" l="1"/>
  <c r="E728" i="6" s="1"/>
  <c r="F728" i="6" l="1"/>
  <c r="H728" i="6" s="1"/>
  <c r="H729" i="6" l="1"/>
  <c r="G728" i="6"/>
  <c r="E729" i="6" s="1"/>
  <c r="F729" i="6" l="1"/>
  <c r="G729" i="6" s="1"/>
  <c r="E730" i="6" s="1"/>
  <c r="H730" i="6"/>
  <c r="F730" i="6" l="1"/>
  <c r="G730" i="6" s="1"/>
  <c r="E731" i="6" s="1"/>
  <c r="F731" i="6" l="1"/>
  <c r="H731" i="6" s="1"/>
  <c r="G731" i="6" l="1"/>
  <c r="E732" i="6" s="1"/>
  <c r="F732" i="6" l="1"/>
  <c r="H732" i="6" s="1"/>
  <c r="G732" i="6" l="1"/>
  <c r="E733" i="6" s="1"/>
  <c r="F733" i="6" l="1"/>
  <c r="H733" i="6" s="1"/>
  <c r="G733" i="6" l="1"/>
  <c r="E734" i="6" s="1"/>
  <c r="F734" i="6" l="1"/>
  <c r="H734" i="6" s="1"/>
  <c r="S8" i="6" l="1"/>
  <c r="S9" i="6"/>
  <c r="G734" i="6"/>
  <c r="S10" i="6" s="1"/>
  <c r="A7" i="1" l="1"/>
  <c r="J2" i="5"/>
</calcChain>
</file>

<file path=xl/sharedStrings.xml><?xml version="1.0" encoding="utf-8"?>
<sst xmlns="http://schemas.openxmlformats.org/spreadsheetml/2006/main" count="409" uniqueCount="314">
  <si>
    <t>🌟 AUTHOR ECOSYSTEM • EXECUTIVE DASHBOARD</t>
  </si>
  <si>
    <t>Real-time strategic overview of your writing career milestones, fictional universes, active pacing, and habit momentum.</t>
  </si>
  <si>
    <t>LIFETIME CAREER WORDS</t>
  </si>
  <si>
    <t>TRAILING 30D VELOCITY</t>
  </si>
  <si>
    <t>Words / Day (Actual Pace)</t>
  </si>
  <si>
    <t>📌 CURRENT ACTIVE BOOKS SPOTLIGHT  (unfinished books, soonest deadline first)</t>
  </si>
  <si>
    <t>Book Title</t>
  </si>
  <si>
    <t>Universe</t>
  </si>
  <si>
    <t>Stage</t>
  </si>
  <si>
    <t>Draft Target Words</t>
  </si>
  <si>
    <t>Total Work Words</t>
  </si>
  <si>
    <t>Draft Progress %</t>
  </si>
  <si>
    <t>Days Left</t>
  </si>
  <si>
    <t>Draft Words/Day Needed</t>
  </si>
  <si>
    <t>Draft Words</t>
  </si>
  <si>
    <t>💡 QUICK USER GUIDE &amp; BEST PRACTICES</t>
  </si>
  <si>
    <t>1. Adding Projects</t>
  </si>
  <si>
    <t>Add projects in 'My Books' or run `python scripts/arcanum workbook sync`: Year, Type, Universe, Stage, Continuity Compilers, World Bible Lore, and all 15 charts across the 8 sheets auto-update dynamically!</t>
  </si>
  <si>
    <t>2. Series Dropdown</t>
  </si>
  <si>
    <t>Add series in 'Universes &amp; Series': Universe auto-populates, and the Series Canon &amp; Word Volume charts below the table update automatically.</t>
  </si>
  <si>
    <t>3. Daily Logging</t>
  </si>
  <si>
    <t>In 'Daily Writing Log', select a Date and Book Title — Stage at Session auto-populates from 'My Books', and Creative Phase &amp; Weekly Rhythm charts update live.</t>
  </si>
  <si>
    <t>4. Phase-Aware Effort</t>
  </si>
  <si>
    <t>Effort multipliers in 'Config' weight each session by its logged stage (100% for drafting/in-phase outlining, 50% for worldbuilding, 20% for in-phase revision, 0% for premature revision during drafting).</t>
  </si>
  <si>
    <t>5. Central Settings</t>
  </si>
  <si>
    <t>Adjust the daily effort goal, lifetime word milestone, annual production target, and phase-effort weights in 'Config'. The monthly target automatically scales to the exact number of days in the current month.</t>
  </si>
  <si>
    <t>📈 EXECUTIVE VISUAL TELEMETRY • 30D VELOCITY, ACTIVE SPOTLIGHT &amp; MULTI-YEAR CAPACITY</t>
  </si>
  <si>
    <t>⚙️ ECOSYSTEM CONFIGURATION &amp; CENTRAL SETTINGS</t>
  </si>
  <si>
    <t>System Reference Date (Centralized TODAY() for all pace &amp; projection formulas)</t>
  </si>
  <si>
    <t>Variable Name</t>
  </si>
  <si>
    <t>Value</t>
  </si>
  <si>
    <t>Unit / Description</t>
  </si>
  <si>
    <t>Book Types</t>
  </si>
  <si>
    <t>Project Stages</t>
  </si>
  <si>
    <t>Universes</t>
  </si>
  <si>
    <t>Words</t>
  </si>
  <si>
    <t>Share</t>
  </si>
  <si>
    <t>Daily Effort Goal Target</t>
  </si>
  <si>
    <t>Weighted effort points per day</t>
  </si>
  <si>
    <t>Novel</t>
  </si>
  <si>
    <t>Concept</t>
  </si>
  <si>
    <t>Reliquary</t>
  </si>
  <si>
    <t>Career Lifetime Milestone Target</t>
  </si>
  <si>
    <t>Total Lifetime Words goal</t>
  </si>
  <si>
    <t>Novella</t>
  </si>
  <si>
    <t>Pre-Draft Outline</t>
  </si>
  <si>
    <t>Standalone</t>
  </si>
  <si>
    <t>Remaining</t>
  </si>
  <si>
    <t>Current Annual Production Target</t>
  </si>
  <si>
    <t>Target words for current year</t>
  </si>
  <si>
    <t>Novelette</t>
  </si>
  <si>
    <t>Drafting</t>
  </si>
  <si>
    <t>Eldoria-Cosmos</t>
  </si>
  <si>
    <t>Streak Grace Days / Month</t>
  </si>
  <si>
    <t>Forgiven missed days per month (assumption: 3)</t>
  </si>
  <si>
    <t>Short Story</t>
  </si>
  <si>
    <t>Pre-Revision Outline</t>
  </si>
  <si>
    <t>Other Universe</t>
  </si>
  <si>
    <t>Effort Multiplier (Phase Weight)</t>
  </si>
  <si>
    <t>Weight</t>
  </si>
  <si>
    <t>Rule / Application Logic</t>
  </si>
  <si>
    <t>Anthology / Omnibus</t>
  </si>
  <si>
    <t>Revision</t>
  </si>
  <si>
    <t>Drafting Prose (First Draft)</t>
  </si>
  <si>
    <t>Always 100% effort credit toward daily goal</t>
  </si>
  <si>
    <t>Beta Review</t>
  </si>
  <si>
    <t>Pre-Draft Outlining</t>
  </si>
  <si>
    <t>Full 100% credit when book is in Pre-Draft Outline stage</t>
  </si>
  <si>
    <t>Proofing</t>
  </si>
  <si>
    <t>Pre-Revision Outlining</t>
  </si>
  <si>
    <t>Full 100% credit when book is in Pre-Revision Outline stage</t>
  </si>
  <si>
    <t>Querying</t>
  </si>
  <si>
    <t>Off-Phase Outlining</t>
  </si>
  <si>
    <t>Half credit if outlining outside designated outline stages</t>
  </si>
  <si>
    <t>Publishing</t>
  </si>
  <si>
    <t>Worldbuilding / Lore Notes</t>
  </si>
  <si>
    <t>50% credit (2 worldbuilding words = 1 effort point)</t>
  </si>
  <si>
    <t>Published</t>
  </si>
  <si>
    <t>Revisions (during Revision Stage)</t>
  </si>
  <si>
    <t>20% credit when book is in Revision stage (5 revised wds = 1 pt)</t>
  </si>
  <si>
    <t>Revisions (outside Revision Stage)</t>
  </si>
  <si>
    <t>Zero effort credit during drafting (prevents premature editing!)</t>
  </si>
  <si>
    <t>Daily Habit Progress</t>
  </si>
  <si>
    <t>Effort Points</t>
  </si>
  <si>
    <t>Earned Today</t>
  </si>
  <si>
    <t>Remaining Today</t>
  </si>
  <si>
    <t>🩺 DATA INTEGRITY CHECKS</t>
  </si>
  <si>
    <t>Issues</t>
  </si>
  <si>
    <t>What it means / how to fix</t>
  </si>
  <si>
    <t>Log rows with unknown Book Title</t>
  </si>
  <si>
    <t>Title not found in 'My Books' (typo or renamed book) - its words are not counted toward any book</t>
  </si>
  <si>
    <t>Duplicate Book Titles</t>
  </si>
  <si>
    <t>Titles must be unique - duplicates double-count words</t>
  </si>
  <si>
    <t>Log rows missing a Stage</t>
  </si>
  <si>
    <t>Stage drives effort weights (outlining / revision) - pick one in the Stage column</t>
  </si>
  <si>
    <t>Log rows with words dated in the future</t>
  </si>
  <si>
    <t>Future-dated word counts do not count toward today / streak / velocity (0-word planning rows are ignored)</t>
  </si>
  <si>
    <t>Log rows missing Date or Book</t>
  </si>
  <si>
    <t>Words without a date and a book are invisible to the dashboard</t>
  </si>
  <si>
    <t>Words not credited to any book</t>
  </si>
  <si>
    <t>Should be 0. Non-zero = orphaned log rows (see first check)</t>
  </si>
  <si>
    <t>Series catalog errors or unknown series</t>
  </si>
  <si>
    <t>Flags if 'My Books' uses an unknown Series or if cataloged books exceed Planned Books in 'Universes &amp; Series'</t>
  </si>
  <si>
    <t>Active books past deadline (Overdue)</t>
  </si>
  <si>
    <t>Unfinished books in 'My Books' whose deadline has passed — extend deadline or prioritize</t>
  </si>
  <si>
    <t>Overall status</t>
  </si>
  <si>
    <t>🌌 UNIVERSES &amp; SERIES • CANON PORTFOLIO</t>
  </si>
  <si>
    <t>Manage shared fictional universes alongside standalone stories and track lifetime wordcounts across each series.</t>
  </si>
  <si>
    <t>Series Title</t>
  </si>
  <si>
    <t>Planned Books</t>
  </si>
  <si>
    <t>Completed Books</t>
  </si>
  <si>
    <t>Books In Progress</t>
  </si>
  <si>
    <t>Series Premise / Notes</t>
  </si>
  <si>
    <t>Catalog Check</t>
  </si>
  <si>
    <t>Sand Sea Saga</t>
  </si>
  <si>
    <t>Cosmere inspired dark-epic fantasy</t>
  </si>
  <si>
    <t>Gothic Fantasy Series</t>
  </si>
  <si>
    <t>Bloodborne inspired grim-epic fantasy</t>
  </si>
  <si>
    <t>Classic Quest Fantasy</t>
  </si>
  <si>
    <t>Golden age quest fantasy</t>
  </si>
  <si>
    <t>Stormbreaker Chronicles</t>
  </si>
  <si>
    <t>Comedic adventures of a mercenary company</t>
  </si>
  <si>
    <t>The Silver Chronicles</t>
  </si>
  <si>
    <t>Sovereign multi-POV epic fantasy showcase (templates/demo-cosmos/Eldoria-Cosmos)</t>
  </si>
  <si>
    <t>Silver Chronicles</t>
  </si>
  <si>
    <t>Auto-registered series from sprint log (The Silver Chronicles)</t>
  </si>
  <si>
    <t>Total Canon Portfolio</t>
  </si>
  <si>
    <t>📊 SERIES CANON ARCHITECTURE &amp; WORD VOLUME ANALYTICS (AUTO-UPDATES AS SERIES &amp; BOOKS ARE ADDED)</t>
  </si>
  <si>
    <t>📖 MY BOOKS • MULTI-YEAR PROJECT PIPELINE</t>
  </si>
  <si>
    <t>Total Work Words includes worldbuilding, outlining, first-draft and revision output. Draft target progress, required pace, status and forecast use First Draft Words only; revision words are not counted a second time. Check final manuscript length in the manuscript file.</t>
  </si>
  <si>
    <t>Year</t>
  </si>
  <si>
    <t>Type</t>
  </si>
  <si>
    <t>Series</t>
  </si>
  <si>
    <t>Current Stage</t>
  </si>
  <si>
    <t>Draft Progress Bar</t>
  </si>
  <si>
    <t>Start Date</t>
  </si>
  <si>
    <t>Deadline</t>
  </si>
  <si>
    <t>Required Draft Words/Day</t>
  </si>
  <si>
    <t>Recent Draft Speed (30D)</t>
  </si>
  <si>
    <t>Forecasted Draft Target</t>
  </si>
  <si>
    <t>Status</t>
  </si>
  <si>
    <t>Prisoner of Sand Sea</t>
  </si>
  <si>
    <t>Gothic Fantasy 1</t>
  </si>
  <si>
    <t>Quest Fantasy 1</t>
  </si>
  <si>
    <t>Ruler of Sand Sea</t>
  </si>
  <si>
    <t>Company of the Storm</t>
  </si>
  <si>
    <t>2026-10-01</t>
  </si>
  <si>
    <t>2027-06-01</t>
  </si>
  <si>
    <t>Total Pipeline Portfolio</t>
  </si>
  <si>
    <t>📊 PIPELINE ANALYTICS • DYNAMIC BOOK TARGETS, REQUIRED DAILY PACE &amp; STAGE FUNNEL (AUTO-UPDATING)</t>
  </si>
  <si>
    <t>✍️ DAILY WRITING LOG • SESSIONS &amp; HABIT TRACKER</t>
  </si>
  <si>
    <t>🔥 Writing Streak</t>
  </si>
  <si>
    <t>🎯 Goal-Met Days</t>
  </si>
  <si>
    <t>🎯 Current Month Total</t>
  </si>
  <si>
    <t>🏁 Monthly Target</t>
  </si>
  <si>
    <t>📈 30D Avg Velocity</t>
  </si>
  <si>
    <t>Log each writing session. Multiple rows per day are supported! Total Words adds to book progress; Effort Points tracks your daily productivity goal.</t>
  </si>
  <si>
    <t>Date</t>
  </si>
  <si>
    <t>Stage at Session</t>
  </si>
  <si>
    <t>Worldbuilding Words</t>
  </si>
  <si>
    <t>Outlining Words</t>
  </si>
  <si>
    <t>First Draft Words</t>
  </si>
  <si>
    <t>Revision Words</t>
  </si>
  <si>
    <t>Total Words Added</t>
  </si>
  <si>
    <t>Daily Effort Points</t>
  </si>
  <si>
    <t>Daily Target</t>
  </si>
  <si>
    <t>Goal Met? (once/day)</t>
  </si>
  <si>
    <t>Time Spent (Mins)</t>
  </si>
  <si>
    <t>Words / Hour</t>
  </si>
  <si>
    <t>Notes / Scene Breakdown</t>
  </si>
  <si>
    <t>Drafted Ch 1-2 + worldbuilt High Eldorian lexicon</t>
  </si>
  <si>
    <t>2026-10-12</t>
  </si>
  <si>
    <t>Completed Ch 3 convergence scene; premature editing of Ch 1 zero-weighted (0.0x)</t>
  </si>
  <si>
    <t>2026-10-13</t>
  </si>
  <si>
    <t>Drafted Chapters 1-3; premature revision blocked (0.0x)</t>
  </si>
  <si>
    <t>Total Logged Sessions</t>
  </si>
  <si>
    <t>📊 WRITING HABIT ANALYTICS • CREATIVE PHASE MIX &amp; WEEKLY RHYTHM (AUTO-UPDATES WITH EVERY LOGGED SESSION)</t>
  </si>
  <si>
    <t>🧮 CALCULATION ENGINE • do not edit (feeds streak, 30-day chart, spotlight)</t>
  </si>
  <si>
    <t>Block 1: 730d streak ledger. Block 2: 30d velocity. Block 3-4: Spotlight &amp; KPIs. Blocks 5-11 (Cols U-AZ): Dynamic auto-updating chart tables for Books, Series, Annual Load, Stages, Phase Mix &amp; Weekly Rhythm.</t>
  </si>
  <si>
    <t>Words Added</t>
  </si>
  <si>
    <t>Goal Met (1/0)</t>
  </si>
  <si>
    <t>Grace Used Before</t>
  </si>
  <si>
    <t>Miss Forgiven (1/0)</t>
  </si>
  <si>
    <t>Grace Used (Month)</t>
  </si>
  <si>
    <t>Streak</t>
  </si>
  <si>
    <t>Date (last 30d)</t>
  </si>
  <si>
    <t>Spotlight Sort Key</t>
  </si>
  <si>
    <t>Slot</t>
  </si>
  <si>
    <t>My Books Row</t>
  </si>
  <si>
    <t>Headline Metric</t>
  </si>
  <si>
    <t>Spotlight Book</t>
  </si>
  <si>
    <t>Drafted Words</t>
  </si>
  <si>
    <t>Remaining Target Words</t>
  </si>
  <si>
    <t>Required Words/Day</t>
  </si>
  <si>
    <t>30D Speed (Words/Day)</t>
  </si>
  <si>
    <t>Book Row Key</t>
  </si>
  <si>
    <t>Catalog Slot</t>
  </si>
  <si>
    <t>Matched Row</t>
  </si>
  <si>
    <t>Cataloged Book Title</t>
  </si>
  <si>
    <t>Series Row Key</t>
  </si>
  <si>
    <t>Series Slot</t>
  </si>
  <si>
    <t>Future Unscheduled Books</t>
  </si>
  <si>
    <t>Cataloged Target Words</t>
  </si>
  <si>
    <t>Production Year</t>
  </si>
  <si>
    <t>Scheduled Target</t>
  </si>
  <si>
    <t>Actual Logged</t>
  </si>
  <si>
    <t>Annual Goal</t>
  </si>
  <si>
    <t>Log Row Weekday (1=Mon)</t>
  </si>
  <si>
    <t>Compiler Pillar</t>
  </si>
  <si>
    <t>Active Findings</t>
  </si>
  <si>
    <t>Books Audited</t>
  </si>
  <si>
    <t>Monthly Words Target</t>
  </si>
  <si>
    <t>EPI-* (POV Firewall)</t>
  </si>
  <si>
    <t>Month Total (words)</t>
  </si>
  <si>
    <t>TIME-* (Timeline/Routes)</t>
  </si>
  <si>
    <t>Year-to-Date (words)</t>
  </si>
  <si>
    <t>CON-* (Conlang Linter)</t>
  </si>
  <si>
    <t>Current Streak (days)</t>
  </si>
  <si>
    <t>LED-* (Resource Ledger)</t>
  </si>
  <si>
    <t>Best Streak (last 730d)</t>
  </si>
  <si>
    <t>BRD-* (POV Droughts)</t>
  </si>
  <si>
    <t>Grace Days Left This Month</t>
  </si>
  <si>
    <t>30D Avg Words / Day</t>
  </si>
  <si>
    <t>Total Goal-Met Days (730d)</t>
  </si>
  <si>
    <t>Project Stage</t>
  </si>
  <si>
    <t>Books in Stage</t>
  </si>
  <si>
    <t>Target Words (k)</t>
  </si>
  <si>
    <t>Cataloged Book</t>
  </si>
  <si>
    <t>Indexed Vault Docs</t>
  </si>
  <si>
    <t>Excised Scraps</t>
  </si>
  <si>
    <t>Total Career Effort Points</t>
  </si>
  <si>
    <t>Avg Words / Hour (Logged)</t>
  </si>
  <si>
    <t>World Bible Domain</t>
  </si>
  <si>
    <t>Canonical Entities</t>
  </si>
  <si>
    <t>Characters</t>
  </si>
  <si>
    <t>Locations &amp; Routes</t>
  </si>
  <si>
    <t>Magic &amp; Technology</t>
  </si>
  <si>
    <t>Creative Pillar</t>
  </si>
  <si>
    <t>Raw Words Logged</t>
  </si>
  <si>
    <t>Weighted Effort Points</t>
  </si>
  <si>
    <t>Conlang Lexemes</t>
  </si>
  <si>
    <t>Worldbuilding</t>
  </si>
  <si>
    <t>Factions &amp; Lineages</t>
  </si>
  <si>
    <t>Outlining</t>
  </si>
  <si>
    <t>Artifacts &amp; Bestiary</t>
  </si>
  <si>
    <t>First Draft Prose</t>
  </si>
  <si>
    <t>History &amp; Cosmology</t>
  </si>
  <si>
    <t>Revisions</t>
  </si>
  <si>
    <t>Series / World</t>
  </si>
  <si>
    <t>Total Lore Entities</t>
  </si>
  <si>
    <t>Wikilink Edges</t>
  </si>
  <si>
    <t>Day of Week</t>
  </si>
  <si>
    <t>Mon</t>
  </si>
  <si>
    <t>Tue</t>
  </si>
  <si>
    <t>Wed</t>
  </si>
  <si>
    <t>Thu</t>
  </si>
  <si>
    <t>Fri</t>
  </si>
  <si>
    <t>Sat</t>
  </si>
  <si>
    <t>Sun</t>
  </si>
  <si>
    <t>🛡️ ARS ARCANUM • DETERMINISTIC CONTINUITY &amp; COMPILER TELEMETRY</t>
  </si>
  <si>
    <t>Auto-linked to 'My Books' &amp; synchronized by `arcanum workbook sync` (`scripts/lib/workbook_sync.py`). Tracks EPI-*, TIME-*, CON-*, LED-*, BRD-*, and REV-* across all manuscripts.</t>
  </si>
  <si>
    <t>CONTINUITY COMPILER GATE</t>
  </si>
  <si>
    <t>INDEXED VAULT DOCUMENTS</t>
  </si>
  <si>
    <t>ACTIVE COMPILER FINDINGS</t>
  </si>
  <si>
    <t>EXCISED REVISION SCRAPS</t>
  </si>
  <si>
    <t>All 5 Deterministic Compilers</t>
  </si>
  <si>
    <t>EPI · TIME · CON · LED · BRD</t>
  </si>
  <si>
    <t>⚡ Synced via VaultContinuityRunner</t>
  </si>
  <si>
    <t>📦 Cache: .arcanum_cache.json (v3)</t>
  </si>
  <si>
    <t>✂️ Cuts &gt;= 50 wds -&gt; Scraps/</t>
  </si>
  <si>
    <t>📌 BOOK &amp; VAULT CONTINUITY COMPILER MATRIX (AUTO-POPULATES FROM 'MY BOOKS' &amp; CLI RUNNER)</t>
  </si>
  <si>
    <t>Book Title [Auto]</t>
  </si>
  <si>
    <t>Universe [Auto]</t>
  </si>
  <si>
    <t>Stage [Auto]</t>
  </si>
  <si>
    <t>Indexed Docs</t>
  </si>
  <si>
    <t>EPI-* (POV Leaks)</t>
  </si>
  <si>
    <t>TIME-* (Routes)</t>
  </si>
  <si>
    <t>CON-* (Conlang)</t>
  </si>
  <si>
    <t>LED-* (Resources)</t>
  </si>
  <si>
    <t>BRD-* (Droughts)</t>
  </si>
  <si>
    <t>Total Findings [Auto]</t>
  </si>
  <si>
    <t>Draft Churn %</t>
  </si>
  <si>
    <t>Scraps Saved</t>
  </si>
  <si>
    <t>Compiler Gate Status [Auto]</t>
  </si>
  <si>
    <t>Total Continuity Portfolio</t>
  </si>
  <si>
    <t>📊 CONTINUITY COMPILER ANALYTICS • FINDINGS BY PILLAR &amp; INDEXED VAULT COVERAGE</t>
  </si>
  <si>
    <t>🏛️ ARS ARCANUM • WORLD BIBLE, CONLANG &amp; CANON ENTITY REGISTRY</t>
  </si>
  <si>
    <t>Auto-linked to 'Universes &amp; Series' &amp; populated by `arcanum workbook sync`. Tracks Characters, Locations, Magic/Tech, PolyGlot Conlangs, Factions, Artifacts, History, and Wikilinks.</t>
  </si>
  <si>
    <t>TOTAL WORLD BIBLE ENTITIES</t>
  </si>
  <si>
    <t>POLYGLOT CONLANG LEXEMES</t>
  </si>
  <si>
    <t>WIKILINK GRAPH EDGES</t>
  </si>
  <si>
    <t>ACTIVE LORE VAULTS</t>
  </si>
  <si>
    <t>Across All 10 World Bible Domains</t>
  </si>
  <si>
    <t>Validated via CON-401 / CON-402</t>
  </si>
  <si>
    <t>Cross-Referenced [[Entity]] Links</t>
  </si>
  <si>
    <t>Linked to Universes &amp; Series</t>
  </si>
  <si>
    <t>📚 Codex Ready (`arcanum codex`)</t>
  </si>
  <si>
    <t>🗣️ PolyGlot (.pgd / .xml) Synced</t>
  </si>
  <si>
    <t>🕸️ Code-Fence-Safe Extraction</t>
  </si>
  <si>
    <t>🪐 Custom Planetary Calendars</t>
  </si>
  <si>
    <t>📌 WORLD BIBLE &amp; CONLANG ENTITY BREAKDOWN (AUTO-POPULATES FROM 'UNIVERSES &amp; SERIES' &amp; VAULT INDEX)</t>
  </si>
  <si>
    <t>Series / World Vault [Auto]</t>
  </si>
  <si>
    <t>Magic &amp; Tech</t>
  </si>
  <si>
    <t>Wikilinks ([[...]])</t>
  </si>
  <si>
    <t>Planetary Calendar Spec</t>
  </si>
  <si>
    <t>World Bible Health [Auto]</t>
  </si>
  <si>
    <t>Reliquary Solar (10m × 36d = 360d)</t>
  </si>
  <si>
    <t>Reliquary Lunar Reckoning (354d)</t>
  </si>
  <si>
    <t>Reliquary Standard Reckoning (360d)</t>
  </si>
  <si>
    <t>Mercenary Campaign Reckoning (360d)</t>
  </si>
  <si>
    <t>Eldorian Celestial (10m × 36d = 360d)</t>
  </si>
  <si>
    <t>Standard Reckoning (360d)</t>
  </si>
  <si>
    <t>Total World Bible Portfolio</t>
  </si>
  <si>
    <t>📊 WORLD BIBLE ANALYTICS • LORE DOMAIN COMPOSITION &amp; WIKILINK GRAPH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</si>
</sst>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yyyy\-mm\-dd"/>
    <numFmt numFmtId="166" formatCode="#,##0,\k"/>
    <numFmt numFmtId="167" formatCode="dd\-mmm\-yyyy"/>
    <numFmt numFmtId="168" formatCode="mmm\ d&quot;, &quot;yyyy"/>
    <numFmt numFmtId="169" formatCode="#,##0&quot; Days&quot;"/>
    <numFmt numFmtId="170" formatCode="0.00000"/>
  </numFmts>
  <fonts count="45" x14ac:knownFonts="1">
    <font>
      <sz val="11"/>
      <color rgb="FF000000"/>
      <name val="Calibri"/>
      <charset val="1"/>
    </font>
    <font>
      <b/>
      <sz val="15"/>
      <color rgb="FF301B92"/>
      <name val="Calibri"/>
      <charset val="1"/>
    </font>
    <font>
      <i/>
      <sz val="10"/>
      <color rgb="FF465469"/>
      <name val="Calibri"/>
      <charset val="1"/>
    </font>
    <font>
      <b/>
      <sz val="9"/>
      <color rgb="FFFFFFFF"/>
      <name val="Calibri"/>
      <charset val="1"/>
    </font>
    <font>
      <b/>
      <sz val="16"/>
      <color rgb="FFE65100"/>
      <name val="Calibri"/>
      <charset val="1"/>
    </font>
    <font>
      <sz val="9"/>
      <color rgb="FF5E35B0"/>
      <name val="Calibri"/>
      <charset val="1"/>
    </font>
    <font>
      <b/>
      <sz val="9"/>
      <color rgb="FF59337F"/>
      <name val="Calibri"/>
      <charset val="1"/>
    </font>
    <font>
      <b/>
      <sz val="10"/>
      <color rgb="FFFFFFFF"/>
      <name val="Calibri"/>
      <charset val="1"/>
    </font>
    <font>
      <b/>
      <sz val="10"/>
      <color rgb="FF1F2937"/>
      <name val="Calibri"/>
      <charset val="1"/>
    </font>
    <font>
      <sz val="10"/>
      <color rgb="FF1F2937"/>
      <name val="Calibri"/>
      <charset val="1"/>
    </font>
    <font>
      <b/>
      <sz val="11"/>
      <color rgb="FFFFFFFF"/>
      <name val="Quattrocento Sans"/>
      <charset val="1"/>
    </font>
    <font>
      <b/>
      <sz val="10"/>
      <color rgb="FF1E3989"/>
      <name val="Quattrocento Sans"/>
      <charset val="1"/>
    </font>
    <font>
      <sz val="9"/>
      <color rgb="FF1F2937"/>
      <name val="Calibri"/>
      <charset val="1"/>
    </font>
    <font>
      <b/>
      <sz val="14"/>
      <color rgb="FF301B92"/>
      <name val="Calibri"/>
      <charset val="1"/>
    </font>
    <font>
      <b/>
      <sz val="10"/>
      <color rgb="FF301B92"/>
      <name val="Calibri"/>
      <charset val="1"/>
    </font>
    <font>
      <b/>
      <sz val="10"/>
      <color rgb="FF000000"/>
      <name val="Quattrocento Sans"/>
      <charset val="1"/>
    </font>
    <font>
      <sz val="10"/>
      <color rgb="FF000000"/>
      <name val="Quattrocento Sans"/>
      <charset val="1"/>
    </font>
    <font>
      <b/>
      <sz val="14"/>
      <color rgb="FF49138B"/>
      <name val="Calibri"/>
      <charset val="1"/>
    </font>
    <font>
      <i/>
      <sz val="10"/>
      <color rgb="FF595959"/>
      <name val="Calibri"/>
      <charset val="1"/>
    </font>
    <font>
      <b/>
      <sz val="10"/>
      <color rgb="FF49138B"/>
      <name val="Calibri"/>
      <charset val="1"/>
    </font>
    <font>
      <b/>
      <sz val="14"/>
      <color rgb="FFBE360B"/>
      <name val="Calibri"/>
      <charset val="1"/>
    </font>
    <font>
      <b/>
      <sz val="10"/>
      <color rgb="FFB8330A"/>
      <name val="Calibri"/>
      <charset val="1"/>
    </font>
    <font>
      <b/>
      <sz val="14"/>
      <color rgb="FFE65100"/>
      <name val="Calibri"/>
      <charset val="1"/>
    </font>
    <font>
      <b/>
      <sz val="9"/>
      <color rgb="FF49138B"/>
      <name val="Calibri"/>
      <charset val="1"/>
    </font>
    <font>
      <i/>
      <sz val="9"/>
      <color rgb="FF595959"/>
      <name val="Calibri"/>
      <charset val="1"/>
    </font>
    <font>
      <b/>
      <sz val="11"/>
      <color rgb="FF33194C"/>
      <name val="Calibri"/>
      <charset val="1"/>
    </font>
    <font>
      <sz val="10"/>
      <color rgb="FF111827"/>
      <name val="Calibri"/>
      <charset val="1"/>
    </font>
    <font>
      <b/>
      <sz val="10"/>
      <color rgb="FF111827"/>
      <name val="Calibri"/>
      <charset val="1"/>
    </font>
    <font>
      <b/>
      <sz val="10"/>
      <color rgb="FF9A3412"/>
      <name val="Calibri"/>
      <charset val="1"/>
    </font>
    <font>
      <b/>
      <sz val="13"/>
      <color rgb="FF301B92"/>
      <name val="Calibri"/>
      <charset val="1"/>
    </font>
    <font>
      <i/>
      <sz val="9"/>
      <color rgb="FF465469"/>
      <name val="Calibri"/>
      <charset val="1"/>
    </font>
    <font>
      <sz val="10"/>
      <color rgb="FF111827"/>
      <name val="Calibri"/>
    </font>
    <font>
      <b/>
      <sz val="10"/>
      <color rgb="FFFFFFFF"/>
      <name val="Calibri"/>
    </font>
    <font>
      <b/>
      <sz val="15"/>
      <color rgb="FF115E59"/>
      <name val="Calibri"/>
    </font>
    <font>
      <i/>
      <sz val="10"/>
      <color rgb="FF334155"/>
      <name val="Calibri"/>
    </font>
    <font>
      <b/>
      <sz val="15"/>
      <color rgb="FF0F766E"/>
      <name val="Calibri"/>
    </font>
    <font>
      <sz val="9"/>
      <color rgb="FF115E59"/>
      <name val="Calibri"/>
    </font>
    <font>
      <b/>
      <sz val="9"/>
      <color rgb="FF134E4A"/>
      <name val="Calibri"/>
    </font>
    <font>
      <b/>
      <sz val="10"/>
      <color rgb="FF111827"/>
      <name val="Calibri"/>
    </font>
    <font>
      <b/>
      <sz val="10"/>
      <color rgb="FF115E59"/>
      <name val="Calibri"/>
    </font>
    <font>
      <b/>
      <sz val="15"/>
      <color rgb="FF312E81"/>
      <name val="Calibri"/>
    </font>
    <font>
      <b/>
      <sz val="15"/>
      <color rgb="FF3730A3"/>
      <name val="Calibri"/>
    </font>
    <font>
      <sz val="9"/>
      <color rgb="FF312E81"/>
      <name val="Calibri"/>
    </font>
    <font>
      <b/>
      <sz val="9"/>
      <color rgb="FF1E1B4B"/>
      <name val="Calibri"/>
    </font>
    <font>
      <b/>
      <sz val="10"/>
      <color rgb="FF312E8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ECE7F6"/>
        <bgColor rgb="FFF3E4F5"/>
      </patternFill>
    </fill>
    <fill>
      <patternFill patternType="solid">
        <fgColor rgb="FF49138B"/>
        <bgColor rgb="FF301B92"/>
      </patternFill>
    </fill>
    <fill>
      <patternFill patternType="solid">
        <fgColor rgb="FFFFFFFF"/>
        <bgColor rgb="FFFFFBF5"/>
      </patternFill>
    </fill>
    <fill>
      <patternFill patternType="solid">
        <fgColor rgb="FFF5EDF8"/>
        <bgColor rgb="FFF9F4FC"/>
      </patternFill>
    </fill>
    <fill>
      <patternFill patternType="solid">
        <fgColor rgb="FF1E3989"/>
        <bgColor rgb="FF301B92"/>
      </patternFill>
    </fill>
    <fill>
      <patternFill patternType="solid">
        <fgColor rgb="FFF8F9FB"/>
        <bgColor rgb="FFF8F5FB"/>
      </patternFill>
    </fill>
    <fill>
      <patternFill patternType="solid">
        <fgColor rgb="FFF0F5F8"/>
        <bgColor rgb="FFF8F5FB"/>
      </patternFill>
    </fill>
    <fill>
      <patternFill patternType="solid">
        <fgColor rgb="FF6A1B9A"/>
        <bgColor rgb="FF7A1FA1"/>
      </patternFill>
    </fill>
    <fill>
      <patternFill patternType="solid">
        <fgColor rgb="FFF3E4F5"/>
        <bgColor rgb="FFECE7F6"/>
      </patternFill>
    </fill>
    <fill>
      <patternFill patternType="solid">
        <fgColor rgb="FFF8F5FB"/>
        <bgColor rgb="FFF9F4FC"/>
      </patternFill>
    </fill>
    <fill>
      <patternFill patternType="solid">
        <fgColor rgb="FF3B1E54"/>
        <bgColor rgb="FF33194C"/>
      </patternFill>
    </fill>
    <fill>
      <patternFill patternType="solid">
        <fgColor rgb="FFFAE9E7"/>
        <bgColor rgb="FFFEE2E2"/>
      </patternFill>
    </fill>
    <fill>
      <patternFill patternType="solid">
        <fgColor rgb="FFB8330A"/>
        <bgColor rgb="FFBE360B"/>
      </patternFill>
    </fill>
    <fill>
      <patternFill patternType="solid">
        <fgColor rgb="FFFDF8F6"/>
        <bgColor rgb="FFFFFBF5"/>
      </patternFill>
    </fill>
    <fill>
      <patternFill patternType="solid">
        <fgColor rgb="FF7C2D12"/>
        <bgColor rgb="FF9A3412"/>
      </patternFill>
    </fill>
    <fill>
      <patternFill patternType="solid">
        <fgColor rgb="FFFFF3DF"/>
        <bgColor rgb="FFFEF3C7"/>
      </patternFill>
    </fill>
    <fill>
      <patternFill patternType="solid">
        <fgColor rgb="FFF9F4FC"/>
        <bgColor rgb="FFF8F5FB"/>
      </patternFill>
    </fill>
    <fill>
      <patternFill patternType="solid">
        <fgColor rgb="FFD74314"/>
        <bgColor rgb="FFE65100"/>
      </patternFill>
    </fill>
    <fill>
      <patternFill patternType="solid">
        <fgColor rgb="FFFFFBF5"/>
        <bgColor rgb="FFFDF8F6"/>
      </patternFill>
    </fill>
    <fill>
      <patternFill patternType="solid">
        <fgColor rgb="FFFDE68A"/>
        <bgColor rgb="FFFEF3C7"/>
      </patternFill>
    </fill>
    <fill>
      <patternFill patternType="solid">
        <fgColor rgb="FF9A3412"/>
        <bgColor rgb="FF92400E"/>
      </patternFill>
    </fill>
    <fill>
      <patternFill patternType="solid">
        <fgColor rgb="FF1E293B"/>
        <bgColor rgb="FF1F2937"/>
      </patternFill>
    </fill>
    <fill>
      <patternFill patternType="solid">
        <fgColor rgb="FF1E293B"/>
        <bgColor rgb="FF1E293B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  <fill>
      <patternFill patternType="solid">
        <fgColor rgb="FFE6FFFA"/>
        <bgColor rgb="FFE6FFFA"/>
      </patternFill>
    </fill>
    <fill>
      <patternFill patternType="solid">
        <fgColor rgb="FFF0FDFA"/>
        <bgColor rgb="FFF0FDFA"/>
      </patternFill>
    </fill>
    <fill>
      <patternFill patternType="solid">
        <fgColor rgb="FFE0E7FF"/>
        <bgColor rgb="FFE0E7FF"/>
      </patternFill>
    </fill>
    <fill>
      <patternFill patternType="solid">
        <fgColor rgb="FF3730A3"/>
        <bgColor rgb="FF3730A3"/>
      </patternFill>
    </fill>
    <fill>
      <patternFill patternType="solid">
        <fgColor rgb="FFEEF2FF"/>
        <bgColor rgb="FFEEF2FF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  <diagonal/>
    </border>
    <border>
      <left style="thin">
        <color rgb="FFCAD4E0"/>
      </left>
      <right/>
      <top style="thin">
        <color rgb="FFCAD4E0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49138B"/>
      </top>
      <bottom style="double">
        <color rgb="FF49138B"/>
      </bottom>
      <diagonal/>
    </border>
    <border>
      <left style="thin">
        <color rgb="FFD9D9D9"/>
      </left>
      <right style="thin">
        <color rgb="FFD9D9D9"/>
      </right>
      <top style="thin">
        <color rgb="FF4A154B"/>
      </top>
      <bottom style="double">
        <color rgb="FF4A154B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AD4E0"/>
      </top>
      <bottom style="thin">
        <color rgb="FFE1E8EF"/>
      </bottom>
      <diagonal/>
    </border>
    <border>
      <left/>
      <right/>
      <top style="thin">
        <color rgb="FFD3D3D3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left" vertical="center" wrapText="1"/>
    </xf>
    <xf numFmtId="0" fontId="11" fillId="8" borderId="8" xfId="0" applyFont="1" applyFill="1" applyBorder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9" xfId="0" applyFont="1" applyBorder="1"/>
    <xf numFmtId="3" fontId="15" fillId="0" borderId="9" xfId="0" applyNumberFormat="1" applyFont="1" applyBorder="1" applyAlignment="1">
      <alignment horizontal="right" vertical="center"/>
    </xf>
    <xf numFmtId="0" fontId="16" fillId="0" borderId="9" xfId="0" applyFont="1" applyBorder="1"/>
    <xf numFmtId="0" fontId="12" fillId="4" borderId="1" xfId="0" applyFont="1" applyFill="1" applyBorder="1" applyAlignment="1">
      <alignment horizontal="left" vertical="center"/>
    </xf>
    <xf numFmtId="3" fontId="12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2" fontId="15" fillId="0" borderId="9" xfId="0" applyNumberFormat="1" applyFont="1" applyBorder="1" applyAlignment="1">
      <alignment horizontal="right" vertical="center"/>
    </xf>
    <xf numFmtId="0" fontId="16" fillId="0" borderId="10" xfId="0" applyFont="1" applyBorder="1"/>
    <xf numFmtId="0" fontId="0" fillId="0" borderId="0" xfId="0" applyAlignment="1">
      <alignment wrapText="1"/>
    </xf>
    <xf numFmtId="164" fontId="3" fillId="9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3" fontId="12" fillId="4" borderId="1" xfId="0" applyNumberFormat="1" applyFont="1" applyFill="1" applyBorder="1" applyAlignment="1">
      <alignment horizontal="right"/>
    </xf>
    <xf numFmtId="164" fontId="12" fillId="4" borderId="1" xfId="0" applyNumberFormat="1" applyFont="1" applyFill="1" applyBorder="1" applyAlignment="1">
      <alignment horizontal="right"/>
    </xf>
    <xf numFmtId="0" fontId="12" fillId="7" borderId="1" xfId="0" applyFont="1" applyFill="1" applyBorder="1" applyAlignment="1">
      <alignment horizontal="left"/>
    </xf>
    <xf numFmtId="3" fontId="12" fillId="7" borderId="1" xfId="0" applyNumberFormat="1" applyFont="1" applyFill="1" applyBorder="1" applyAlignment="1">
      <alignment horizontal="right"/>
    </xf>
    <xf numFmtId="164" fontId="12" fillId="7" borderId="1" xfId="0" applyNumberFormat="1" applyFont="1" applyFill="1" applyBorder="1" applyAlignment="1">
      <alignment horizontal="right"/>
    </xf>
    <xf numFmtId="0" fontId="14" fillId="5" borderId="11" xfId="0" applyFont="1" applyFill="1" applyBorder="1" applyAlignment="1">
      <alignment horizontal="left" vertical="center"/>
    </xf>
    <xf numFmtId="3" fontId="14" fillId="5" borderId="1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164" fontId="9" fillId="11" borderId="1" xfId="0" applyNumberFormat="1" applyFont="1" applyFill="1" applyBorder="1" applyAlignment="1">
      <alignment horizontal="right" vertical="center"/>
    </xf>
    <xf numFmtId="0" fontId="19" fillId="5" borderId="11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center" vertical="center"/>
    </xf>
    <xf numFmtId="3" fontId="19" fillId="5" borderId="11" xfId="0" applyNumberFormat="1" applyFont="1" applyFill="1" applyBorder="1" applyAlignment="1">
      <alignment horizontal="right" vertical="center"/>
    </xf>
    <xf numFmtId="164" fontId="19" fillId="5" borderId="11" xfId="0" applyNumberFormat="1" applyFont="1" applyFill="1" applyBorder="1" applyAlignment="1">
      <alignment horizontal="right" vertical="center"/>
    </xf>
    <xf numFmtId="1" fontId="0" fillId="0" borderId="0" xfId="0" applyNumberFormat="1"/>
    <xf numFmtId="165" fontId="0" fillId="0" borderId="0" xfId="0" applyNumberFormat="1"/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right" vertical="center"/>
    </xf>
    <xf numFmtId="0" fontId="8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3" fontId="9" fillId="15" borderId="1" xfId="0" applyNumberFormat="1" applyFont="1" applyFill="1" applyBorder="1" applyAlignment="1">
      <alignment horizontal="right" vertical="center"/>
    </xf>
    <xf numFmtId="164" fontId="9" fillId="15" borderId="1" xfId="0" applyNumberFormat="1" applyFont="1" applyFill="1" applyBorder="1" applyAlignment="1">
      <alignment horizontal="right" vertical="center"/>
    </xf>
    <xf numFmtId="165" fontId="9" fillId="15" borderId="1" xfId="0" applyNumberFormat="1" applyFont="1" applyFill="1" applyBorder="1" applyAlignment="1">
      <alignment horizontal="center" vertical="center"/>
    </xf>
    <xf numFmtId="1" fontId="21" fillId="13" borderId="11" xfId="0" applyNumberFormat="1" applyFont="1" applyFill="1" applyBorder="1" applyAlignment="1">
      <alignment horizontal="left" vertical="center"/>
    </xf>
    <xf numFmtId="0" fontId="21" fillId="13" borderId="11" xfId="0" applyFont="1" applyFill="1" applyBorder="1" applyAlignment="1">
      <alignment horizontal="left" vertical="center"/>
    </xf>
    <xf numFmtId="3" fontId="21" fillId="13" borderId="11" xfId="0" applyNumberFormat="1" applyFont="1" applyFill="1" applyBorder="1" applyAlignment="1">
      <alignment horizontal="right" vertical="center"/>
    </xf>
    <xf numFmtId="164" fontId="21" fillId="13" borderId="11" xfId="0" applyNumberFormat="1" applyFont="1" applyFill="1" applyBorder="1" applyAlignment="1">
      <alignment horizontal="right" vertical="center"/>
    </xf>
    <xf numFmtId="167" fontId="21" fillId="13" borderId="11" xfId="0" applyNumberFormat="1" applyFont="1" applyFill="1" applyBorder="1" applyAlignment="1">
      <alignment horizontal="left" vertical="center"/>
    </xf>
    <xf numFmtId="168" fontId="21" fillId="13" borderId="11" xfId="0" applyNumberFormat="1" applyFont="1" applyFill="1" applyBorder="1" applyAlignment="1">
      <alignment horizontal="left" vertical="center"/>
    </xf>
    <xf numFmtId="0" fontId="21" fillId="13" borderId="11" xfId="0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9" fontId="25" fillId="18" borderId="1" xfId="0" applyNumberFormat="1" applyFont="1" applyFill="1" applyBorder="1" applyAlignment="1">
      <alignment horizontal="right" vertical="center"/>
    </xf>
    <xf numFmtId="3" fontId="25" fillId="18" borderId="1" xfId="0" applyNumberFormat="1" applyFont="1" applyFill="1" applyBorder="1" applyAlignment="1">
      <alignment horizontal="right" vertical="center"/>
    </xf>
    <xf numFmtId="165" fontId="7" fillId="19" borderId="3" xfId="0" applyNumberFormat="1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left" vertical="center"/>
    </xf>
    <xf numFmtId="0" fontId="7" fillId="19" borderId="4" xfId="0" applyFont="1" applyFill="1" applyBorder="1" applyAlignment="1">
      <alignment horizontal="center" vertical="center" wrapText="1"/>
    </xf>
    <xf numFmtId="3" fontId="7" fillId="19" borderId="4" xfId="0" applyNumberFormat="1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left" vertical="center"/>
    </xf>
    <xf numFmtId="165" fontId="26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3" fontId="26" fillId="4" borderId="1" xfId="0" applyNumberFormat="1" applyFont="1" applyFill="1" applyBorder="1" applyAlignment="1">
      <alignment horizontal="right" vertical="center"/>
    </xf>
    <xf numFmtId="3" fontId="27" fillId="4" borderId="1" xfId="0" applyNumberFormat="1" applyFont="1" applyFill="1" applyBorder="1" applyAlignment="1">
      <alignment horizontal="right" vertical="center"/>
    </xf>
    <xf numFmtId="0" fontId="26" fillId="4" borderId="1" xfId="0" applyFont="1" applyFill="1" applyBorder="1" applyAlignment="1">
      <alignment horizontal="left" vertical="center"/>
    </xf>
    <xf numFmtId="165" fontId="26" fillId="20" borderId="1" xfId="0" applyNumberFormat="1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3" fontId="26" fillId="20" borderId="1" xfId="0" applyNumberFormat="1" applyFont="1" applyFill="1" applyBorder="1" applyAlignment="1">
      <alignment horizontal="right" vertical="center"/>
    </xf>
    <xf numFmtId="3" fontId="27" fillId="20" borderId="1" xfId="0" applyNumberFormat="1" applyFont="1" applyFill="1" applyBorder="1" applyAlignment="1">
      <alignment horizontal="right" vertical="center"/>
    </xf>
    <xf numFmtId="0" fontId="26" fillId="20" borderId="1" xfId="0" applyFont="1" applyFill="1" applyBorder="1" applyAlignment="1">
      <alignment horizontal="left" vertical="center"/>
    </xf>
    <xf numFmtId="0" fontId="28" fillId="21" borderId="12" xfId="0" applyFont="1" applyFill="1" applyBorder="1" applyAlignment="1">
      <alignment horizontal="left" vertical="center"/>
    </xf>
    <xf numFmtId="0" fontId="28" fillId="21" borderId="12" xfId="0" applyFont="1" applyFill="1" applyBorder="1" applyAlignment="1">
      <alignment horizontal="center" vertical="center"/>
    </xf>
    <xf numFmtId="3" fontId="28" fillId="21" borderId="12" xfId="0" applyNumberFormat="1" applyFont="1" applyFill="1" applyBorder="1" applyAlignment="1">
      <alignment horizontal="right" vertical="center"/>
    </xf>
    <xf numFmtId="0" fontId="28" fillId="21" borderId="12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/>
    </xf>
    <xf numFmtId="165" fontId="16" fillId="0" borderId="0" xfId="0" applyNumberFormat="1" applyFont="1"/>
    <xf numFmtId="3" fontId="16" fillId="0" borderId="0" xfId="0" applyNumberFormat="1" applyFont="1"/>
    <xf numFmtId="1" fontId="16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26" fillId="0" borderId="1" xfId="0" applyFont="1" applyBorder="1"/>
    <xf numFmtId="3" fontId="26" fillId="0" borderId="1" xfId="0" applyNumberFormat="1" applyFont="1" applyBorder="1"/>
    <xf numFmtId="0" fontId="31" fillId="0" borderId="0" xfId="0" applyFont="1"/>
    <xf numFmtId="0" fontId="32" fillId="24" borderId="17" xfId="0" applyFont="1" applyFill="1" applyBorder="1" applyAlignment="1">
      <alignment horizontal="center" vertical="center"/>
    </xf>
    <xf numFmtId="0" fontId="31" fillId="0" borderId="17" xfId="0" applyFont="1" applyBorder="1"/>
    <xf numFmtId="3" fontId="31" fillId="0" borderId="17" xfId="0" applyNumberFormat="1" applyFont="1" applyBorder="1"/>
    <xf numFmtId="0" fontId="32" fillId="26" borderId="17" xfId="0" applyFont="1" applyFill="1" applyBorder="1" applyAlignment="1">
      <alignment horizontal="left" vertical="center" wrapText="1"/>
    </xf>
    <xf numFmtId="0" fontId="32" fillId="26" borderId="17" xfId="0" applyFont="1" applyFill="1" applyBorder="1" applyAlignment="1">
      <alignment horizontal="center" vertical="center" wrapText="1"/>
    </xf>
    <xf numFmtId="0" fontId="38" fillId="29" borderId="17" xfId="0" applyFont="1" applyFill="1" applyBorder="1" applyAlignment="1">
      <alignment horizontal="left" vertical="center"/>
    </xf>
    <xf numFmtId="0" fontId="31" fillId="29" borderId="17" xfId="0" applyFont="1" applyFill="1" applyBorder="1" applyAlignment="1">
      <alignment horizontal="left" vertical="center"/>
    </xf>
    <xf numFmtId="0" fontId="31" fillId="29" borderId="17" xfId="0" applyFont="1" applyFill="1" applyBorder="1" applyAlignment="1">
      <alignment horizontal="center" vertical="center"/>
    </xf>
    <xf numFmtId="3" fontId="31" fillId="29" borderId="17" xfId="0" applyNumberFormat="1" applyFont="1" applyFill="1" applyBorder="1" applyAlignment="1">
      <alignment horizontal="right" vertical="center"/>
    </xf>
    <xf numFmtId="3" fontId="38" fillId="29" borderId="17" xfId="0" applyNumberFormat="1" applyFont="1" applyFill="1" applyBorder="1" applyAlignment="1">
      <alignment horizontal="right" vertical="center"/>
    </xf>
    <xf numFmtId="164" fontId="31" fillId="29" borderId="17" xfId="0" applyNumberFormat="1" applyFont="1" applyFill="1" applyBorder="1" applyAlignment="1">
      <alignment horizontal="right" vertical="center"/>
    </xf>
    <xf numFmtId="0" fontId="38" fillId="27" borderId="17" xfId="0" applyFont="1" applyFill="1" applyBorder="1" applyAlignment="1">
      <alignment horizontal="left" vertical="center"/>
    </xf>
    <xf numFmtId="0" fontId="31" fillId="27" borderId="17" xfId="0" applyFont="1" applyFill="1" applyBorder="1" applyAlignment="1">
      <alignment horizontal="left" vertical="center"/>
    </xf>
    <xf numFmtId="0" fontId="31" fillId="27" borderId="17" xfId="0" applyFont="1" applyFill="1" applyBorder="1" applyAlignment="1">
      <alignment horizontal="center" vertical="center"/>
    </xf>
    <xf numFmtId="3" fontId="31" fillId="27" borderId="17" xfId="0" applyNumberFormat="1" applyFont="1" applyFill="1" applyBorder="1" applyAlignment="1">
      <alignment horizontal="right" vertical="center"/>
    </xf>
    <xf numFmtId="3" fontId="38" fillId="27" borderId="17" xfId="0" applyNumberFormat="1" applyFont="1" applyFill="1" applyBorder="1" applyAlignment="1">
      <alignment horizontal="right" vertical="center"/>
    </xf>
    <xf numFmtId="164" fontId="31" fillId="27" borderId="17" xfId="0" applyNumberFormat="1" applyFont="1" applyFill="1" applyBorder="1" applyAlignment="1">
      <alignment horizontal="right" vertical="center"/>
    </xf>
    <xf numFmtId="0" fontId="39" fillId="28" borderId="18" xfId="0" applyFont="1" applyFill="1" applyBorder="1" applyAlignment="1">
      <alignment horizontal="left" vertical="center"/>
    </xf>
    <xf numFmtId="3" fontId="39" fillId="28" borderId="18" xfId="0" applyNumberFormat="1" applyFont="1" applyFill="1" applyBorder="1" applyAlignment="1">
      <alignment horizontal="right" vertical="center"/>
    </xf>
    <xf numFmtId="164" fontId="39" fillId="28" borderId="18" xfId="0" applyNumberFormat="1" applyFont="1" applyFill="1" applyBorder="1" applyAlignment="1">
      <alignment horizontal="right" vertical="center"/>
    </xf>
    <xf numFmtId="0" fontId="39" fillId="28" borderId="18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left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8" fillId="32" borderId="17" xfId="0" applyFont="1" applyFill="1" applyBorder="1" applyAlignment="1">
      <alignment horizontal="left" vertical="center"/>
    </xf>
    <xf numFmtId="0" fontId="31" fillId="32" borderId="17" xfId="0" applyFont="1" applyFill="1" applyBorder="1" applyAlignment="1">
      <alignment horizontal="left" vertical="center"/>
    </xf>
    <xf numFmtId="3" fontId="31" fillId="32" borderId="17" xfId="0" applyNumberFormat="1" applyFont="1" applyFill="1" applyBorder="1" applyAlignment="1">
      <alignment horizontal="right" vertical="center"/>
    </xf>
    <xf numFmtId="0" fontId="31" fillId="32" borderId="17" xfId="0" applyFont="1" applyFill="1" applyBorder="1" applyAlignment="1">
      <alignment horizontal="center" vertical="center"/>
    </xf>
    <xf numFmtId="0" fontId="44" fillId="32" borderId="18" xfId="0" applyFont="1" applyFill="1" applyBorder="1" applyAlignment="1">
      <alignment horizontal="left" vertical="center"/>
    </xf>
    <xf numFmtId="3" fontId="44" fillId="32" borderId="18" xfId="0" applyNumberFormat="1" applyFont="1" applyFill="1" applyBorder="1" applyAlignment="1">
      <alignment horizontal="right" vertical="center"/>
    </xf>
    <xf numFmtId="0" fontId="44" fillId="32" borderId="18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0" fillId="0" borderId="15" xfId="0" applyBorder="1"/>
    <xf numFmtId="0" fontId="5" fillId="5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3" fontId="4" fillId="4" borderId="1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0" fillId="0" borderId="16" xfId="0" applyBorder="1"/>
    <xf numFmtId="0" fontId="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" fillId="16" borderId="0" xfId="0" applyFont="1" applyFill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22" fillId="17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6" fillId="28" borderId="17" xfId="0" applyFont="1" applyFill="1" applyBorder="1" applyAlignment="1">
      <alignment horizontal="center" vertical="center"/>
    </xf>
    <xf numFmtId="0" fontId="32" fillId="26" borderId="0" xfId="0" applyFont="1" applyFill="1" applyAlignment="1">
      <alignment horizontal="left" vertical="center"/>
    </xf>
    <xf numFmtId="0" fontId="37" fillId="28" borderId="17" xfId="0" applyFont="1" applyFill="1" applyBorder="1" applyAlignment="1">
      <alignment horizontal="center" vertical="center"/>
    </xf>
    <xf numFmtId="49" fontId="35" fillId="27" borderId="17" xfId="0" applyNumberFormat="1" applyFont="1" applyFill="1" applyBorder="1" applyAlignment="1">
      <alignment horizontal="center" vertical="center"/>
    </xf>
    <xf numFmtId="3" fontId="35" fillId="27" borderId="17" xfId="0" applyNumberFormat="1" applyFont="1" applyFill="1" applyBorder="1" applyAlignment="1">
      <alignment horizontal="center" vertical="center"/>
    </xf>
    <xf numFmtId="0" fontId="32" fillId="26" borderId="17" xfId="0" applyFont="1" applyFill="1" applyBorder="1" applyAlignment="1">
      <alignment horizontal="center" vertical="center"/>
    </xf>
    <xf numFmtId="0" fontId="33" fillId="25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2" fillId="32" borderId="17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center" vertical="center"/>
    </xf>
    <xf numFmtId="0" fontId="43" fillId="32" borderId="17" xfId="0" applyFont="1" applyFill="1" applyBorder="1" applyAlignment="1">
      <alignment horizontal="center" vertical="center"/>
    </xf>
    <xf numFmtId="3" fontId="41" fillId="27" borderId="17" xfId="0" applyNumberFormat="1" applyFont="1" applyFill="1" applyBorder="1" applyAlignment="1">
      <alignment horizontal="center" vertical="center"/>
    </xf>
    <xf numFmtId="0" fontId="32" fillId="31" borderId="0" xfId="0" applyFont="1" applyFill="1" applyAlignment="1">
      <alignment horizontal="left" vertical="center"/>
    </xf>
    <xf numFmtId="0" fontId="40" fillId="30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rgb="FFECFDF5"/>
        </patternFill>
      </fill>
    </dxf>
    <dxf>
      <font>
        <b/>
        <sz val="9"/>
        <color rgb="FF991B1B"/>
        <name val="Calibri"/>
        <charset val="1"/>
      </font>
      <fill>
        <patternFill>
          <bgColor rgb="FFFEE2E2"/>
        </patternFill>
      </fill>
    </dxf>
    <dxf>
      <font>
        <b/>
        <sz val="9"/>
        <color rgb="FF92400E"/>
        <name val="Calibri"/>
        <charset val="1"/>
      </font>
      <fill>
        <patternFill>
          <bgColor rgb="FFFEF3C7"/>
        </patternFill>
      </fill>
    </dxf>
    <dxf>
      <font>
        <b/>
        <sz val="9"/>
        <color rgb="FF166534"/>
        <name val="Calibri"/>
        <charset val="1"/>
      </font>
      <fill>
        <patternFill>
          <bgColor rgb="FFDCFCE7"/>
        </patternFill>
      </fill>
    </dxf>
    <dxf>
      <font>
        <b/>
        <sz val="10"/>
        <color rgb="FF92400E"/>
        <name val="Calibri"/>
        <charset val="1"/>
      </font>
      <fill>
        <patternFill>
          <bgColor rgb="FFFEF3C7"/>
        </patternFill>
      </fill>
    </dxf>
    <dxf>
      <font>
        <b/>
        <sz val="10"/>
        <color rgb="FF166534"/>
        <name val="Calibri"/>
        <charset val="1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BE360B"/>
      <rgbColor rgb="FF00FF00"/>
      <rgbColor rgb="FF49138B"/>
      <rgbColor rgb="FFFFF3DF"/>
      <rgbColor rgb="FFFF00FF"/>
      <rgbColor rgb="FFF8F9FB"/>
      <rgbColor rgb="FF991B1B"/>
      <rgbColor rgb="FF166534"/>
      <rgbColor rgb="FF301B92"/>
      <rgbColor rgb="FFD74314"/>
      <rgbColor rgb="FF6A1B9A"/>
      <rgbColor rgb="FF465469"/>
      <rgbColor rgb="FFD3D3D3"/>
      <rgbColor rgb="FF7F7F7F"/>
      <rgbColor rgb="FFA5A5A5"/>
      <rgbColor rgb="FF92400E"/>
      <rgbColor rgb="FFFEF3C7"/>
      <rgbColor rgb="FFDCFCE7"/>
      <rgbColor rgb="FF4A154B"/>
      <rgbColor rgb="FFED7D31"/>
      <rgbColor rgb="FF5E35B0"/>
      <rgbColor rgb="FFCAD4E0"/>
      <rgbColor rgb="FF3B1E54"/>
      <rgbColor rgb="FFFF00FF"/>
      <rgbColor rgb="FFFAE9E7"/>
      <rgbColor rgb="FFF9F4FC"/>
      <rgbColor rgb="FF7A1FA1"/>
      <rgbColor rgb="FFB8330A"/>
      <rgbColor rgb="FF008080"/>
      <rgbColor rgb="FF59337F"/>
      <rgbColor rgb="FFFFFBF5"/>
      <rgbColor rgb="FFECFDF5"/>
      <rgbColor rgb="FFE1E8EF"/>
      <rgbColor rgb="FFFDE68A"/>
      <rgbColor rgb="FFD9D9D9"/>
      <rgbColor rgb="FFF3E4F5"/>
      <rgbColor rgb="FFECE7F6"/>
      <rgbColor rgb="FFFEE2E2"/>
      <rgbColor rgb="FF4472C4"/>
      <rgbColor rgb="FFF8F5FB"/>
      <rgbColor rgb="FFF0F5F8"/>
      <rgbColor rgb="FFF5EDF8"/>
      <rgbColor rgb="FFE65100"/>
      <rgbColor rgb="FFF57B00"/>
      <rgbColor rgb="FF595959"/>
      <rgbColor rgb="FF8B8B8B"/>
      <rgbColor rgb="FF1E293B"/>
      <rgbColor rgb="FFFDF8F6"/>
      <rgbColor rgb="FF111827"/>
      <rgbColor rgb="FF33194C"/>
      <rgbColor rgb="FF9A3412"/>
      <rgbColor rgb="FF7C2D12"/>
      <rgbColor rgb="FF1E398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Trailing 30-Day Word Count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Calc!$K$4</c:f>
              <c:strCache>
                <c:ptCount val="1"/>
                <c:pt idx="0">
                  <c:v>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Calc!$J$5:$J$34</c:f>
              <c:numCache>
                <c:formatCode>yyyy\-mm\-dd</c:formatCode>
                <c:ptCount val="30"/>
                <c:pt idx="0">
                  <c:v>46283</c:v>
                </c:pt>
                <c:pt idx="1">
                  <c:v>46284</c:v>
                </c:pt>
                <c:pt idx="2">
                  <c:v>46285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46291</c:v>
                </c:pt>
                <c:pt idx="9">
                  <c:v>46292</c:v>
                </c:pt>
                <c:pt idx="10">
                  <c:v>46293</c:v>
                </c:pt>
                <c:pt idx="11">
                  <c:v>46294</c:v>
                </c:pt>
                <c:pt idx="12">
                  <c:v>46295</c:v>
                </c:pt>
                <c:pt idx="13">
                  <c:v>46296</c:v>
                </c:pt>
                <c:pt idx="14">
                  <c:v>46297</c:v>
                </c:pt>
                <c:pt idx="15">
                  <c:v>46298</c:v>
                </c:pt>
                <c:pt idx="16">
                  <c:v>46299</c:v>
                </c:pt>
                <c:pt idx="17">
                  <c:v>46300</c:v>
                </c:pt>
                <c:pt idx="18">
                  <c:v>46301</c:v>
                </c:pt>
                <c:pt idx="19">
                  <c:v>46302</c:v>
                </c:pt>
                <c:pt idx="20">
                  <c:v>46303</c:v>
                </c:pt>
                <c:pt idx="21">
                  <c:v>46304</c:v>
                </c:pt>
                <c:pt idx="22">
                  <c:v>46305</c:v>
                </c:pt>
                <c:pt idx="23">
                  <c:v>46306</c:v>
                </c:pt>
                <c:pt idx="24">
                  <c:v>46307</c:v>
                </c:pt>
                <c:pt idx="25">
                  <c:v>46308</c:v>
                </c:pt>
                <c:pt idx="26">
                  <c:v>46309</c:v>
                </c:pt>
                <c:pt idx="27">
                  <c:v>46310</c:v>
                </c:pt>
                <c:pt idx="28">
                  <c:v>46311</c:v>
                </c:pt>
                <c:pt idx="29">
                  <c:v>46312</c:v>
                </c:pt>
              </c:numCache>
            </c:numRef>
          </c:cat>
          <c:val>
            <c:numRef>
              <c:f>Calc!$K$5:$K$34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2450</c:v>
                </c:pt>
                <c:pt idx="25">
                  <c:v>2400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2-4E46-98D5-72EECFC2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99820"/>
        <c:axId val="22485180"/>
      </c:barChart>
      <c:dateAx>
        <c:axId val="91799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yyyy\-mm\-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85180"/>
        <c:crosses val="autoZero"/>
        <c:auto val="1"/>
        <c:lblOffset val="100"/>
        <c:baseTimeUnit val="days"/>
      </c:dateAx>
      <c:valAx>
        <c:axId val="2248518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9982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 Spotlight Book: Draft vs Remaining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Config!$J$4</c:f>
              <c:strCache>
                <c:ptCount val="1"/>
                <c:pt idx="0">
                  <c:v>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19-497D-924F-5F47E0CA4F9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5519-497D-924F-5F47E0CA4F94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519-497D-924F-5F47E0CA4F94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519-497D-924F-5F47E0CA4F9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Config!$I$5:$I$6</c:f>
              <c:strCache>
                <c:ptCount val="2"/>
                <c:pt idx="0">
                  <c:v>Draft Words</c:v>
                </c:pt>
                <c:pt idx="1">
                  <c:v>Remaining</c:v>
                </c:pt>
              </c:strCache>
            </c:strRef>
          </c:cat>
          <c:val>
            <c:numRef>
              <c:f>Config!$J$5:$J$6</c:f>
              <c:numCache>
                <c:formatCode>#,##0</c:formatCode>
                <c:ptCount val="2"/>
                <c:pt idx="0">
                  <c:v>0</c:v>
                </c:pt>
                <c:pt idx="1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9-497D-924F-5F47E0CA4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Spotlight Books: Drafted vs. Remaining Words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Calc!$V$4</c:f>
              <c:strCache>
                <c:ptCount val="1"/>
                <c:pt idx="0">
                  <c:v>Drafted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Calc!$U$5:$U$12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Calc!$V$5:$V$12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9-47B8-8DAA-DB9AA447ACAE}"/>
            </c:ext>
          </c:extLst>
        </c:ser>
        <c:ser>
          <c:idx val="1"/>
          <c:order val="1"/>
          <c:tx>
            <c:strRef>
              <c:f>Calc!$W$4</c:f>
              <c:strCache>
                <c:ptCount val="1"/>
                <c:pt idx="0">
                  <c:v>Remaining Target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Calc!$U$5:$U$12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Calc!$W$5:$W$12</c:f>
              <c:numCache>
                <c:formatCode>#,##0</c:formatCode>
                <c:ptCount val="8"/>
                <c:pt idx="0">
                  <c:v>200000</c:v>
                </c:pt>
                <c:pt idx="1">
                  <c:v>150000</c:v>
                </c:pt>
                <c:pt idx="2">
                  <c:v>200000</c:v>
                </c:pt>
                <c:pt idx="3">
                  <c:v>200000</c:v>
                </c:pt>
                <c:pt idx="4">
                  <c:v>150000</c:v>
                </c:pt>
                <c:pt idx="5">
                  <c:v>114300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9-47B8-8DAA-DB9AA447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23023"/>
        <c:axId val="75218961"/>
      </c:barChart>
      <c:catAx>
        <c:axId val="595230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Spotlight Book (Ranked by Deadline)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18961"/>
        <c:crosses val="autoZero"/>
        <c:auto val="1"/>
        <c:lblAlgn val="ctr"/>
        <c:lblOffset val="100"/>
        <c:noMultiLvlLbl val="0"/>
      </c:catAx>
      <c:valAx>
        <c:axId val="7521896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230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Multi-Year Pipeline Load vs. Annual Target (2026–2030)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Calc!$AW$4</c:f>
              <c:strCache>
                <c:ptCount val="1"/>
                <c:pt idx="0">
                  <c:v>Scheduled Target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Calc!$AW$5:$AW$9</c:f>
              <c:numCache>
                <c:formatCode>#,##0</c:formatCode>
                <c:ptCount val="5"/>
                <c:pt idx="0">
                  <c:v>120000</c:v>
                </c:pt>
                <c:pt idx="1">
                  <c:v>350000</c:v>
                </c:pt>
                <c:pt idx="2">
                  <c:v>550000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2-4AE2-91B9-E521E8AA0E31}"/>
            </c:ext>
          </c:extLst>
        </c:ser>
        <c:ser>
          <c:idx val="1"/>
          <c:order val="1"/>
          <c:tx>
            <c:strRef>
              <c:f>Calc!$AX$4</c:f>
              <c:strCache>
                <c:ptCount val="1"/>
                <c:pt idx="0">
                  <c:v>Actual Logged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Calc!$AX$5:$AX$9</c:f>
              <c:numCache>
                <c:formatCode>#,##0</c:formatCode>
                <c:ptCount val="5"/>
                <c:pt idx="0">
                  <c:v>0</c:v>
                </c:pt>
                <c:pt idx="1">
                  <c:v>2600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2-4AE2-91B9-E521E8AA0E31}"/>
            </c:ext>
          </c:extLst>
        </c:ser>
        <c:ser>
          <c:idx val="2"/>
          <c:order val="2"/>
          <c:tx>
            <c:strRef>
              <c:f>Calc!$AY$4</c:f>
              <c:strCache>
                <c:ptCount val="1"/>
                <c:pt idx="0">
                  <c:v>Annual Goal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Calc!$AY$5:$AY$9</c:f>
              <c:numCache>
                <c:formatCode>#,##0</c:formatCode>
                <c:ptCount val="5"/>
                <c:pt idx="0">
                  <c:v>730000</c:v>
                </c:pt>
                <c:pt idx="1">
                  <c:v>730000</c:v>
                </c:pt>
                <c:pt idx="2">
                  <c:v>730000</c:v>
                </c:pt>
                <c:pt idx="3">
                  <c:v>730000</c:v>
                </c:pt>
                <c:pt idx="4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B2-4AE2-91B9-E521E8AA0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38434"/>
        <c:axId val="45882788"/>
      </c:barChart>
      <c:catAx>
        <c:axId val="841384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Production 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82788"/>
        <c:crosses val="autoZero"/>
        <c:auto val="1"/>
        <c:lblAlgn val="ctr"/>
        <c:lblOffset val="100"/>
        <c:noMultiLvlLbl val="0"/>
      </c:catAx>
      <c:valAx>
        <c:axId val="4588278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3843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Series Canon Architecture: Completed vs. In-Progress vs. Future Planned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Calc!$AP$4</c:f>
              <c:strCache>
                <c:ptCount val="1"/>
                <c:pt idx="0">
                  <c:v>Completed Books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Calc!$AP$5:$AP$10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2-4D33-B9AD-AC79839CE489}"/>
            </c:ext>
          </c:extLst>
        </c:ser>
        <c:ser>
          <c:idx val="1"/>
          <c:order val="1"/>
          <c:tx>
            <c:strRef>
              <c:f>Calc!$AQ$4</c:f>
              <c:strCache>
                <c:ptCount val="1"/>
                <c:pt idx="0">
                  <c:v>Books In Progress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Calc!$AQ$5:$AQ$10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2-4D33-B9AD-AC79839CE489}"/>
            </c:ext>
          </c:extLst>
        </c:ser>
        <c:ser>
          <c:idx val="2"/>
          <c:order val="2"/>
          <c:tx>
            <c:strRef>
              <c:f>Calc!$AR$4</c:f>
              <c:strCache>
                <c:ptCount val="1"/>
                <c:pt idx="0">
                  <c:v>Future Unscheduled Books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Calc!$AR$5:$AR$10</c:f>
              <c:numCache>
                <c:formatCode>#,##0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2-4D33-B9AD-AC79839CE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22759"/>
        <c:axId val="47095350"/>
      </c:barChart>
      <c:catAx>
        <c:axId val="4842275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95350"/>
        <c:crosses val="autoZero"/>
        <c:auto val="1"/>
        <c:lblAlgn val="ctr"/>
        <c:lblOffset val="100"/>
        <c:noMultiLvlLbl val="0"/>
      </c:catAx>
      <c:valAx>
        <c:axId val="4709535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2275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Cataloged Target Words vs. Actual Work Words by Series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Calc!$AS$4</c:f>
              <c:strCache>
                <c:ptCount val="1"/>
                <c:pt idx="0">
                  <c:v>Cataloged Target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Calc!$AS$5:$AS$10</c:f>
              <c:numCache>
                <c:formatCode>#,##0</c:formatCode>
                <c:ptCount val="6"/>
                <c:pt idx="0">
                  <c:v>400000</c:v>
                </c:pt>
                <c:pt idx="1">
                  <c:v>150000</c:v>
                </c:pt>
                <c:pt idx="2">
                  <c:v>200000</c:v>
                </c:pt>
                <c:pt idx="3">
                  <c:v>150000</c:v>
                </c:pt>
                <c:pt idx="4">
                  <c:v>120000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8-4A9C-B3B7-7F225092CB12}"/>
            </c:ext>
          </c:extLst>
        </c:ser>
        <c:ser>
          <c:idx val="1"/>
          <c:order val="1"/>
          <c:tx>
            <c:strRef>
              <c:f>Calc!$AT$4</c:f>
              <c:strCache>
                <c:ptCount val="1"/>
                <c:pt idx="0">
                  <c:v>Total Work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Calc!$AT$5:$AT$10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7450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8-4A9C-B3B7-7F225092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59629"/>
        <c:axId val="51348823"/>
      </c:barChart>
      <c:catAx>
        <c:axId val="83859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48823"/>
        <c:crosses val="autoZero"/>
        <c:auto val="1"/>
        <c:lblAlgn val="ctr"/>
        <c:lblOffset val="100"/>
        <c:noMultiLvlLbl val="0"/>
      </c:catAx>
      <c:valAx>
        <c:axId val="5134882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5962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Draft Target vs. Actual Words by Book (Dynamic Pipeline)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Calc!$AF$4</c:f>
              <c:strCache>
                <c:ptCount val="1"/>
                <c:pt idx="0">
                  <c:v>Draft Target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Calc!$AF$5:$AF$12</c:f>
              <c:numCache>
                <c:formatCode>#,##0</c:formatCode>
                <c:ptCount val="8"/>
                <c:pt idx="0">
                  <c:v>200000</c:v>
                </c:pt>
                <c:pt idx="1">
                  <c:v>150000</c:v>
                </c:pt>
                <c:pt idx="2">
                  <c:v>200000</c:v>
                </c:pt>
                <c:pt idx="3">
                  <c:v>200000</c:v>
                </c:pt>
                <c:pt idx="4">
                  <c:v>150000</c:v>
                </c:pt>
                <c:pt idx="5">
                  <c:v>120000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D-45DB-8B79-F1CDB7745760}"/>
            </c:ext>
          </c:extLst>
        </c:ser>
        <c:ser>
          <c:idx val="1"/>
          <c:order val="1"/>
          <c:tx>
            <c:strRef>
              <c:f>Calc!$AG$4</c:f>
              <c:strCache>
                <c:ptCount val="1"/>
                <c:pt idx="0">
                  <c:v>Total Work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Calc!$AG$5:$AG$12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7450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D-45DB-8B79-F1CDB7745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49816"/>
        <c:axId val="11839186"/>
      </c:barChart>
      <c:catAx>
        <c:axId val="30349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39186"/>
        <c:crosses val="autoZero"/>
        <c:auto val="1"/>
        <c:lblAlgn val="ctr"/>
        <c:lblOffset val="100"/>
        <c:noMultiLvlLbl val="0"/>
      </c:catAx>
      <c:valAx>
        <c:axId val="118391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4981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Required Daily Draft Pace vs. 30D Speed (Words/Day)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Calc!$AI$4</c:f>
              <c:strCache>
                <c:ptCount val="1"/>
                <c:pt idx="0">
                  <c:v>Required Draft Words/Day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Calc!$AI$5:$AI$12</c:f>
              <c:numCache>
                <c:formatCode>#,##0</c:formatCode>
                <c:ptCount val="8"/>
                <c:pt idx="0">
                  <c:v>1105</c:v>
                </c:pt>
                <c:pt idx="1">
                  <c:v>816</c:v>
                </c:pt>
                <c:pt idx="2">
                  <c:v>1653</c:v>
                </c:pt>
                <c:pt idx="3">
                  <c:v>1627</c:v>
                </c:pt>
                <c:pt idx="4">
                  <c:v>1230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2-413C-A993-FCDCDEBEEC20}"/>
            </c:ext>
          </c:extLst>
        </c:ser>
        <c:ser>
          <c:idx val="1"/>
          <c:order val="1"/>
          <c:tx>
            <c:strRef>
              <c:f>Calc!$AJ$4</c:f>
              <c:strCache>
                <c:ptCount val="1"/>
                <c:pt idx="0">
                  <c:v>Recent Draft Speed (30D)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Calc!$AJ$5:$AJ$12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2-413C-A993-FCDCDEBEE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9518"/>
        <c:axId val="89541108"/>
      </c:barChart>
      <c:catAx>
        <c:axId val="4269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41108"/>
        <c:crosses val="autoZero"/>
        <c:auto val="1"/>
        <c:lblAlgn val="ctr"/>
        <c:lblOffset val="100"/>
        <c:noMultiLvlLbl val="0"/>
      </c:catAx>
      <c:valAx>
        <c:axId val="895411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951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Book Pipeline by Project Stage (Stage Funnel)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Calc!$AW$12</c:f>
              <c:strCache>
                <c:ptCount val="1"/>
                <c:pt idx="0">
                  <c:v>Books in Stage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Calc!$AV$13:$AV$22</c:f>
              <c:strCache>
                <c:ptCount val="10"/>
                <c:pt idx="0">
                  <c:v>Concept</c:v>
                </c:pt>
                <c:pt idx="1">
                  <c:v>Pre-Draft Outline</c:v>
                </c:pt>
                <c:pt idx="2">
                  <c:v>Drafting</c:v>
                </c:pt>
                <c:pt idx="3">
                  <c:v>Pre-Revision Outline</c:v>
                </c:pt>
                <c:pt idx="4">
                  <c:v>Revision</c:v>
                </c:pt>
                <c:pt idx="5">
                  <c:v>Beta Review</c:v>
                </c:pt>
                <c:pt idx="6">
                  <c:v>Proofing</c:v>
                </c:pt>
                <c:pt idx="7">
                  <c:v>Querying</c:v>
                </c:pt>
                <c:pt idx="8">
                  <c:v>Publishing</c:v>
                </c:pt>
                <c:pt idx="9">
                  <c:v>Published</c:v>
                </c:pt>
              </c:strCache>
            </c:strRef>
          </c:cat>
          <c:val>
            <c:numRef>
              <c:f>Calc!$AW$13:$AW$22</c:f>
              <c:numCache>
                <c:formatCode>#,##0</c:formatCode>
                <c:ptCount val="10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C-4723-8CA0-76FF7DD0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7066"/>
        <c:axId val="39427878"/>
      </c:barChart>
      <c:catAx>
        <c:axId val="188670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27878"/>
        <c:crosses val="autoZero"/>
        <c:auto val="1"/>
        <c:lblAlgn val="ctr"/>
        <c:lblOffset val="100"/>
        <c:noMultiLvlLbl val="0"/>
      </c:catAx>
      <c:valAx>
        <c:axId val="39427878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6706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Creative Phase Mix: Raw Words vs. Weighted Effort Points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Calc!$AW$25</c:f>
              <c:strCache>
                <c:ptCount val="1"/>
                <c:pt idx="0">
                  <c:v>Raw Words Logged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Calc!$AV$26:$AV$29</c:f>
              <c:strCache>
                <c:ptCount val="4"/>
                <c:pt idx="0">
                  <c:v>Worldbuilding</c:v>
                </c:pt>
                <c:pt idx="1">
                  <c:v>Outlining</c:v>
                </c:pt>
                <c:pt idx="2">
                  <c:v>First Draft Prose</c:v>
                </c:pt>
                <c:pt idx="3">
                  <c:v>Revisions</c:v>
                </c:pt>
              </c:strCache>
            </c:strRef>
          </c:cat>
          <c:val>
            <c:numRef>
              <c:f>Calc!$AW$26:$AW$29</c:f>
              <c:numCache>
                <c:formatCode>#,##0</c:formatCode>
                <c:ptCount val="4"/>
                <c:pt idx="0">
                  <c:v>800</c:v>
                </c:pt>
                <c:pt idx="1">
                  <c:v>200</c:v>
                </c:pt>
                <c:pt idx="2">
                  <c:v>5700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5-4390-A298-F276332FC7A5}"/>
            </c:ext>
          </c:extLst>
        </c:ser>
        <c:ser>
          <c:idx val="1"/>
          <c:order val="1"/>
          <c:tx>
            <c:strRef>
              <c:f>Calc!$AX$25</c:f>
              <c:strCache>
                <c:ptCount val="1"/>
                <c:pt idx="0">
                  <c:v>Weighted Effort Points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Calc!$AV$26:$AV$29</c:f>
              <c:strCache>
                <c:ptCount val="4"/>
                <c:pt idx="0">
                  <c:v>Worldbuilding</c:v>
                </c:pt>
                <c:pt idx="1">
                  <c:v>Outlining</c:v>
                </c:pt>
                <c:pt idx="2">
                  <c:v>First Draft Prose</c:v>
                </c:pt>
                <c:pt idx="3">
                  <c:v>Revisions</c:v>
                </c:pt>
              </c:strCache>
            </c:strRef>
          </c:cat>
          <c:val>
            <c:numRef>
              <c:f>Calc!$AX$26:$AX$29</c:f>
              <c:numCache>
                <c:formatCode>#,##0</c:formatCode>
                <c:ptCount val="4"/>
                <c:pt idx="0">
                  <c:v>400</c:v>
                </c:pt>
                <c:pt idx="1">
                  <c:v>100</c:v>
                </c:pt>
                <c:pt idx="2">
                  <c:v>5700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5-4390-A298-F276332FC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68035"/>
        <c:axId val="91027403"/>
      </c:barChart>
      <c:catAx>
        <c:axId val="370680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Creative Writing Pillar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27403"/>
        <c:crosses val="autoZero"/>
        <c:auto val="1"/>
        <c:lblAlgn val="ctr"/>
        <c:lblOffset val="100"/>
        <c:noMultiLvlLbl val="0"/>
      </c:catAx>
      <c:valAx>
        <c:axId val="910274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Points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6803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Writing Rhythm: Output, Effort &amp; Time by Weekday (Mon–Sun)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Calc!$AW$32</c:f>
              <c:strCache>
                <c:ptCount val="1"/>
                <c:pt idx="0">
                  <c:v>Words Added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Calc!$AW$33:$AW$39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4-4AA0-B66D-001F4B7D3A6B}"/>
            </c:ext>
          </c:extLst>
        </c:ser>
        <c:ser>
          <c:idx val="1"/>
          <c:order val="1"/>
          <c:tx>
            <c:strRef>
              <c:f>Calc!$AX$32</c:f>
              <c:strCache>
                <c:ptCount val="1"/>
                <c:pt idx="0">
                  <c:v>Effort Points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Calc!$AX$33:$AX$39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4-4AA0-B66D-001F4B7D3A6B}"/>
            </c:ext>
          </c:extLst>
        </c:ser>
        <c:ser>
          <c:idx val="2"/>
          <c:order val="2"/>
          <c:tx>
            <c:strRef>
              <c:f>Calc!$AY$32</c:f>
              <c:strCache>
                <c:ptCount val="1"/>
                <c:pt idx="0">
                  <c:v>Time Spent (Mins)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Calc!$AY$33:$AY$39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4-4AA0-B66D-001F4B7D3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9744"/>
        <c:axId val="79626956"/>
      </c:barChart>
      <c:catAx>
        <c:axId val="71219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26956"/>
        <c:crosses val="autoZero"/>
        <c:auto val="1"/>
        <c:lblAlgn val="ctr"/>
        <c:lblOffset val="100"/>
        <c:noMultiLvlLbl val="0"/>
      </c:catAx>
      <c:valAx>
        <c:axId val="7962695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/ Mins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1974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Active Continuity Findings by Compiler Pillar (EPI, TIME, CON, LED, BRD)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Calc!$BB$4</c:f>
              <c:strCache>
                <c:ptCount val="1"/>
                <c:pt idx="0">
                  <c:v>Active Findings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Calc!$BA$5:$BA$9</c:f>
              <c:strCache>
                <c:ptCount val="5"/>
                <c:pt idx="0">
                  <c:v>EPI-* (POV Firewall)</c:v>
                </c:pt>
                <c:pt idx="1">
                  <c:v>TIME-* (Timeline/Routes)</c:v>
                </c:pt>
                <c:pt idx="2">
                  <c:v>CON-* (Conlang Linter)</c:v>
                </c:pt>
                <c:pt idx="3">
                  <c:v>LED-* (Resource Ledger)</c:v>
                </c:pt>
                <c:pt idx="4">
                  <c:v>BRD-* (POV Droughts)</c:v>
                </c:pt>
              </c:strCache>
            </c:strRef>
          </c:cat>
          <c:val>
            <c:numRef>
              <c:f>Calc!$BB$5:$BB$9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D-466D-9EAE-03860F9F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Continuity Compiler Pillar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Findings 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Indexed Vault Documents &amp; Excised Revision Scraps by Book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Calc!$BB$12</c:f>
              <c:strCache>
                <c:ptCount val="1"/>
                <c:pt idx="0">
                  <c:v>Indexed Vault Docs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Calc!$BA$13:$BA$18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Calc!$BB$13:$BB$18</c:f>
              <c:numCache>
                <c:formatCode>#,##0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0F0-9D20-819B0F088BA5}"/>
            </c:ext>
          </c:extLst>
        </c:ser>
        <c:ser>
          <c:idx val="1"/>
          <c:order val="1"/>
          <c:tx>
            <c:strRef>
              <c:f>Calc!$BC$12</c:f>
              <c:strCache>
                <c:ptCount val="1"/>
                <c:pt idx="0">
                  <c:v>Excised Scraps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Calc!$BA$13:$BA$18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Calc!$BC$13:$BC$18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2-40F0-9D20-819B0F08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 / Vault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World Bible Lore Entities by Domain (All Universes)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Calc!$BB$21</c:f>
              <c:strCache>
                <c:ptCount val="1"/>
                <c:pt idx="0">
                  <c:v>Canonical Entities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Calc!$BA$22:$BA$28</c:f>
              <c:strCache>
                <c:ptCount val="7"/>
                <c:pt idx="0">
                  <c:v>Characters</c:v>
                </c:pt>
                <c:pt idx="1">
                  <c:v>Locations &amp; Routes</c:v>
                </c:pt>
                <c:pt idx="2">
                  <c:v>Magic &amp; Technology</c:v>
                </c:pt>
                <c:pt idx="3">
                  <c:v>Conlang Lexemes</c:v>
                </c:pt>
                <c:pt idx="4">
                  <c:v>Factions &amp; Lineages</c:v>
                </c:pt>
                <c:pt idx="5">
                  <c:v>Artifacts &amp; Bestiary</c:v>
                </c:pt>
                <c:pt idx="6">
                  <c:v>History &amp; Cosmology</c:v>
                </c:pt>
              </c:strCache>
            </c:strRef>
          </c:cat>
          <c:val>
            <c:numRef>
              <c:f>Calc!$BB$22:$BB$28</c:f>
              <c:numCache>
                <c:formatCode>#,##0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10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F-40F6-830E-F44A13009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Lore Domain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Entities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Canon Lore Entities vs. Cross-Referenced Wikilinks by Series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Calc!$BB$31</c:f>
              <c:strCache>
                <c:ptCount val="1"/>
                <c:pt idx="0">
                  <c:v>Total Lore Entities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Calc!$BA$32:$BA$36</c:f>
              <c:strCache>
                <c:ptCount val="5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</c:strCache>
            </c:strRef>
          </c:cat>
          <c:val>
            <c:numRef>
              <c:f>Calc!$BB$32:$BB$36</c:f>
              <c:numCache>
                <c:formatCode>#,##0</c:formatCode>
                <c:ptCount val="5"/>
                <c:pt idx="0">
                  <c:v>34</c:v>
                </c:pt>
                <c:pt idx="1">
                  <c:v>15</c:v>
                </c:pt>
                <c:pt idx="2">
                  <c:v>15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4-4649-ACB7-A495442A0F30}"/>
            </c:ext>
          </c:extLst>
        </c:ser>
        <c:ser>
          <c:idx val="1"/>
          <c:order val="1"/>
          <c:tx>
            <c:strRef>
              <c:f>Calc!$BC$31</c:f>
              <c:strCache>
                <c:ptCount val="1"/>
                <c:pt idx="0">
                  <c:v>Wikilink Edges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Calc!$BA$32:$BA$36</c:f>
              <c:strCache>
                <c:ptCount val="5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</c:strCache>
            </c:strRef>
          </c:cat>
          <c:val>
            <c:numRef>
              <c:f>Calc!$BC$32:$BC$36</c:f>
              <c:numCache>
                <c:formatCode>#,##0</c:formatCode>
                <c:ptCount val="5"/>
                <c:pt idx="0">
                  <c:v>28</c:v>
                </c:pt>
                <c:pt idx="1">
                  <c:v>16</c:v>
                </c:pt>
                <c:pt idx="2">
                  <c:v>15</c:v>
                </c:pt>
                <c:pt idx="3">
                  <c:v>19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4-4649-ACB7-A495442A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Series / World Vault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4</xdr:col>
      <xdr:colOff>1263240</xdr:colOff>
      <xdr:row>43</xdr:row>
      <xdr:rowOff>89280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513000</xdr:colOff>
      <xdr:row>43</xdr:row>
      <xdr:rowOff>89280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183600</xdr:colOff>
      <xdr:row>60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8</xdr:col>
      <xdr:colOff>873360</xdr:colOff>
      <xdr:row>60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3</xdr:col>
      <xdr:colOff>1240920</xdr:colOff>
      <xdr:row>41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7</xdr:col>
      <xdr:colOff>528480</xdr:colOff>
      <xdr:row>41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274319</xdr:rowOff>
    </xdr:from>
    <xdr:to>
      <xdr:col>5</xdr:col>
      <xdr:colOff>1341120</xdr:colOff>
      <xdr:row>44</xdr:row>
      <xdr:rowOff>210920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12</xdr:col>
      <xdr:colOff>736560</xdr:colOff>
      <xdr:row>43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7619</xdr:colOff>
      <xdr:row>27</xdr:row>
      <xdr:rowOff>7620</xdr:rowOff>
    </xdr:from>
    <xdr:to>
      <xdr:col>18</xdr:col>
      <xdr:colOff>515784</xdr:colOff>
      <xdr:row>43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4</xdr:col>
      <xdr:colOff>2820</xdr:colOff>
      <xdr:row>48</xdr:row>
      <xdr:rowOff>185040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37</xdr:row>
      <xdr:rowOff>0</xdr:rowOff>
    </xdr:from>
    <xdr:to>
      <xdr:col>11</xdr:col>
      <xdr:colOff>513000</xdr:colOff>
      <xdr:row>48</xdr:row>
      <xdr:rowOff>185040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9138B"/>
    <pageSetUpPr fitToPage="1"/>
  </sheetPr>
  <dimension ref="A1:I1000"/>
  <sheetViews>
    <sheetView topLeftCell="A9" zoomScaleNormal="100" zoomScalePageLayoutView="60" workbookViewId="0">
      <selection sqref="A1:I1"/>
    </sheetView>
  </sheetViews>
  <sheetFormatPr defaultColWidth="14.44140625" defaultRowHeight="14.4" x14ac:dyDescent="0.3"/>
  <cols>
    <col min="1" max="1" width="24" customWidth="1"/>
    <col min="2" max="3" width="16" customWidth="1"/>
    <col min="4" max="5" width="18" customWidth="1"/>
    <col min="6" max="7" width="16" customWidth="1"/>
    <col min="8" max="8" width="22" customWidth="1"/>
    <col min="9" max="9" width="15" customWidth="1"/>
  </cols>
  <sheetData>
    <row r="1" spans="1:9" ht="27.75" customHeight="1" x14ac:dyDescent="0.3">
      <c r="A1" s="159" t="s">
        <v>0</v>
      </c>
      <c r="B1" s="155"/>
      <c r="C1" s="155"/>
      <c r="D1" s="155"/>
      <c r="E1" s="155"/>
      <c r="F1" s="155"/>
      <c r="G1" s="155"/>
      <c r="H1" s="155"/>
      <c r="I1" s="155"/>
    </row>
    <row r="2" spans="1:9" ht="19.5" customHeight="1" x14ac:dyDescent="0.3">
      <c r="A2" s="154" t="s">
        <v>1</v>
      </c>
      <c r="B2" s="155"/>
      <c r="C2" s="155"/>
      <c r="D2" s="155"/>
      <c r="E2" s="155"/>
      <c r="F2" s="155"/>
      <c r="G2" s="155"/>
      <c r="H2" s="155"/>
      <c r="I2" s="155"/>
    </row>
    <row r="3" spans="1:9" ht="6" customHeight="1" x14ac:dyDescent="0.3"/>
    <row r="4" spans="1:9" ht="19.5" customHeight="1" x14ac:dyDescent="0.3">
      <c r="A4" s="152" t="s">
        <v>2</v>
      </c>
      <c r="B4" s="147"/>
      <c r="C4" s="152" t="str">
        <f>UPPER(Config!$G$5)&amp;" UNIVERSE"</f>
        <v>RELIQUARY UNIVERSE</v>
      </c>
      <c r="D4" s="147"/>
      <c r="E4" s="152" t="str">
        <f>UPPER(Config!$G$6)&amp;" PROJECTS"</f>
        <v>STANDALONE PROJECTS</v>
      </c>
      <c r="F4" s="147"/>
      <c r="G4" s="152" t="s">
        <v>3</v>
      </c>
      <c r="H4" s="148"/>
      <c r="I4" s="147"/>
    </row>
    <row r="5" spans="1:9" ht="27.75" customHeight="1" x14ac:dyDescent="0.3">
      <c r="A5" s="149">
        <f>SUM('My Books'!$H$5:$H$24)</f>
        <v>7450</v>
      </c>
      <c r="B5" s="147"/>
      <c r="C5" s="149">
        <f>SUMIF('My Books'!$D$5:$D$24,Config!$G$5,'My Books'!$H$5:$H$24)</f>
        <v>0</v>
      </c>
      <c r="D5" s="147"/>
      <c r="E5" s="149">
        <f>SUMIF('My Books'!$D$5:$D$24,Config!$G$6,'My Books'!$H$5:$H$24)</f>
        <v>0</v>
      </c>
      <c r="F5" s="147"/>
      <c r="G5" s="149">
        <f ca="1">Calc!$S$11</f>
        <v>162</v>
      </c>
      <c r="H5" s="148"/>
      <c r="I5" s="147"/>
    </row>
    <row r="6" spans="1:9" ht="18" customHeight="1" x14ac:dyDescent="0.3">
      <c r="A6" s="146" t="str">
        <f>"(" &amp; TEXT(IF(Config!$B$6&gt;0, A5/Config!$B$6, 0), "0.0%") &amp; " of " &amp; TEXT(Config!$B$6/1000000, "#,##0") &amp; "M Milestone)"</f>
        <v>(0.0% of 15M Milestone)</v>
      </c>
      <c r="B6" s="147"/>
      <c r="C6" s="146" t="str">
        <f>"(" &amp; TEXT(IF(A5&gt;0, C5/A5, 0), "0.0%") &amp; " of Total Output)"</f>
        <v>(0.0% of Total Output)</v>
      </c>
      <c r="D6" s="147"/>
      <c r="E6" s="146" t="str">
        <f>"(" &amp; TEXT(IF(A5&gt;0, E5/A5, 0), "0.0%") &amp; " of Total Output)"</f>
        <v>(0.0% of Total Output)</v>
      </c>
      <c r="F6" s="147"/>
      <c r="G6" s="146" t="s">
        <v>4</v>
      </c>
      <c r="H6" s="148"/>
      <c r="I6" s="147"/>
    </row>
    <row r="7" spans="1:9" ht="19.5" customHeight="1" x14ac:dyDescent="0.3">
      <c r="A7" s="156" t="str">
        <f ca="1">"🔥 Streak: "&amp;Calc!$S$8&amp;IF(Calc!$S$8=1," day"," days")&amp;" · "&amp;Calc!$S$10&amp;" grace left"</f>
        <v>🔥 Streak: 2 days · 0 grace left</v>
      </c>
      <c r="B7" s="147"/>
      <c r="C7" s="156" t="str">
        <f ca="1">"🎯 Month Total: "&amp;TEXT(Calc!$S$6,"#,##0")&amp;" wds"</f>
        <v>🎯 Month Total: 0 wds</v>
      </c>
      <c r="D7" s="147"/>
      <c r="E7" s="156" t="str">
        <f ca="1">"🏁 Month Target: "&amp;TEXT(Calc!$S$5,"#,##0")&amp;" wds"</f>
        <v>🏁 Month Target: 62,000 wds</v>
      </c>
      <c r="F7" s="147"/>
      <c r="G7" s="156" t="str">
        <f ca="1">"📅 YTD: "&amp;TEXT(Calc!$S$7,"#,##0")&amp;" / "&amp;TEXT(Config!$B$7,"#,##0")&amp;" ("&amp;TEXT(IF(Config!$B$7&gt;0,Calc!$S$7/Config!$B$7,0),"0%")&amp;")"</f>
        <v>📅 YTD: 0 / 730,000 (0%)</v>
      </c>
      <c r="H7" s="148"/>
      <c r="I7" s="147"/>
    </row>
    <row r="8" spans="1:9" ht="21.75" customHeight="1" x14ac:dyDescent="0.3">
      <c r="A8" s="157" t="s">
        <v>5</v>
      </c>
      <c r="B8" s="158"/>
      <c r="C8" s="158"/>
      <c r="D8" s="158"/>
      <c r="E8" s="158"/>
      <c r="F8" s="158"/>
      <c r="G8" s="158"/>
      <c r="H8" s="158"/>
      <c r="I8" s="158"/>
    </row>
    <row r="9" spans="1:9" ht="15" customHeight="1" x14ac:dyDescent="0.3">
      <c r="A9" s="1" t="s">
        <v>6</v>
      </c>
      <c r="B9" s="2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4" t="s">
        <v>13</v>
      </c>
      <c r="I9" s="5" t="s">
        <v>14</v>
      </c>
    </row>
    <row r="10" spans="1:9" ht="19.5" customHeight="1" x14ac:dyDescent="0.3">
      <c r="A10" s="6" t="str">
        <f>IF(Calc!$P$5=0,"",INDEX('My Books'!$B$1:$B$24,Calc!$P$5))</f>
        <v>Prisoner of Sand Sea</v>
      </c>
      <c r="B10" s="7" t="str">
        <f>IF(Calc!$P$5=0,"",INDEX('My Books'!$D$1:$D$24,Calc!$P$5))</f>
        <v>Reliquary</v>
      </c>
      <c r="C10" s="8" t="str">
        <f>IF(Calc!$P$5=0,"",INDEX('My Books'!$F$1:$F$24,Calc!$P$5))</f>
        <v>Concept</v>
      </c>
      <c r="D10" s="9">
        <f>IF(Calc!$P$5=0,"",INDEX('My Books'!$G$1:$G$24,Calc!$P$5))</f>
        <v>200000</v>
      </c>
      <c r="E10" s="9">
        <f>IF(Calc!$P$5=0,"",INDEX('My Books'!$H$1:$H$24,Calc!$P$5))</f>
        <v>0</v>
      </c>
      <c r="F10" s="10">
        <f>IF(Calc!$P$5=0,"",INDEX('My Books'!$I$1:$I$24,Calc!$P$5))</f>
        <v>0</v>
      </c>
      <c r="G10" s="9">
        <f ca="1">IF(Calc!$P$5=0,"",INDEX('My Books'!$M$1:$M$24,Calc!$P$5))</f>
        <v>257</v>
      </c>
      <c r="H10" s="9">
        <f ca="1">IF(Calc!$P$5=0,"",INDEX('My Books'!$N$1:$N$24,Calc!$P$5))</f>
        <v>1105</v>
      </c>
      <c r="I10" s="9">
        <f>IF(Calc!$P$5=0,"",INDEX('My Books'!$Q$1:$Q$24,Calc!$P$5))</f>
        <v>0</v>
      </c>
    </row>
    <row r="11" spans="1:9" ht="19.5" customHeight="1" x14ac:dyDescent="0.3">
      <c r="A11" s="11" t="str">
        <f>IF(Calc!$P$6=0,"",INDEX('My Books'!$B$1:$B$24,Calc!$P$6))</f>
        <v>Gothic Fantasy 1</v>
      </c>
      <c r="B11" s="12" t="str">
        <f>IF(Calc!$P$6=0,"",INDEX('My Books'!$D$1:$D$24,Calc!$P$6))</f>
        <v>Reliquary</v>
      </c>
      <c r="C11" s="13" t="str">
        <f>IF(Calc!$P$6=0,"",INDEX('My Books'!$F$1:$F$24,Calc!$P$6))</f>
        <v>Concept</v>
      </c>
      <c r="D11" s="14">
        <f>IF(Calc!$P$6=0,"",INDEX('My Books'!$G$1:$G$24,Calc!$P$6))</f>
        <v>150000</v>
      </c>
      <c r="E11" s="14">
        <f>IF(Calc!$P$6=0,"",INDEX('My Books'!$H$1:$H$24,Calc!$P$6))</f>
        <v>0</v>
      </c>
      <c r="F11" s="15">
        <f>IF(Calc!$P$6=0,"",INDEX('My Books'!$I$1:$I$24,Calc!$P$6))</f>
        <v>0</v>
      </c>
      <c r="G11" s="14">
        <f ca="1">IF(Calc!$P$6=0,"",INDEX('My Books'!$M$1:$M$24,Calc!$P$6))</f>
        <v>441</v>
      </c>
      <c r="H11" s="14">
        <f ca="1">IF(Calc!$P$6=0,"",INDEX('My Books'!$N$1:$N$24,Calc!$P$6))</f>
        <v>816</v>
      </c>
      <c r="I11" s="14">
        <f>IF(Calc!$P$6=0,"",INDEX('My Books'!$Q$1:$Q$24,Calc!$P$6))</f>
        <v>0</v>
      </c>
    </row>
    <row r="12" spans="1:9" ht="19.5" customHeight="1" x14ac:dyDescent="0.3">
      <c r="A12" s="6" t="str">
        <f>IF(Calc!$P$7=0,"",INDEX('My Books'!$B$1:$B$24,Calc!$P$7))</f>
        <v>Quest Fantasy 1</v>
      </c>
      <c r="B12" s="7" t="str">
        <f>IF(Calc!$P$7=0,"",INDEX('My Books'!$D$1:$D$24,Calc!$P$7))</f>
        <v>Reliquary</v>
      </c>
      <c r="C12" s="8" t="str">
        <f>IF(Calc!$P$7=0,"",INDEX('My Books'!$F$1:$F$24,Calc!$P$7))</f>
        <v>Concept</v>
      </c>
      <c r="D12" s="9">
        <f>IF(Calc!$P$7=0,"",INDEX('My Books'!$G$1:$G$24,Calc!$P$7))</f>
        <v>200000</v>
      </c>
      <c r="E12" s="9">
        <f>IF(Calc!$P$7=0,"",INDEX('My Books'!$H$1:$H$24,Calc!$P$7))</f>
        <v>0</v>
      </c>
      <c r="F12" s="10">
        <f>IF(Calc!$P$7=0,"",INDEX('My Books'!$I$1:$I$24,Calc!$P$7))</f>
        <v>0</v>
      </c>
      <c r="G12" s="9">
        <f ca="1">IF(Calc!$P$7=0,"",INDEX('My Books'!$M$1:$M$24,Calc!$P$7))</f>
        <v>562</v>
      </c>
      <c r="H12" s="9">
        <f ca="1">IF(Calc!$P$7=0,"",INDEX('My Books'!$N$1:$N$24,Calc!$P$7))</f>
        <v>1653</v>
      </c>
      <c r="I12" s="9">
        <f>IF(Calc!$P$7=0,"",INDEX('My Books'!$Q$1:$Q$24,Calc!$P$7))</f>
        <v>0</v>
      </c>
    </row>
    <row r="13" spans="1:9" ht="19.5" customHeight="1" x14ac:dyDescent="0.3">
      <c r="A13" s="11" t="str">
        <f>IF(Calc!$P$8=0,"",INDEX('My Books'!$B$1:$B$24,Calc!$P$8))</f>
        <v>Ruler of Sand Sea</v>
      </c>
      <c r="B13" s="12" t="str">
        <f>IF(Calc!$P$8=0,"",INDEX('My Books'!$D$1:$D$24,Calc!$P$8))</f>
        <v>Reliquary</v>
      </c>
      <c r="C13" s="13" t="str">
        <f>IF(Calc!$P$8=0,"",INDEX('My Books'!$F$1:$F$24,Calc!$P$8))</f>
        <v>Concept</v>
      </c>
      <c r="D13" s="14">
        <f>IF(Calc!$P$8=0,"",INDEX('My Books'!$G$1:$G$24,Calc!$P$8))</f>
        <v>200000</v>
      </c>
      <c r="E13" s="14">
        <f>IF(Calc!$P$8=0,"",INDEX('My Books'!$H$1:$H$24,Calc!$P$8))</f>
        <v>0</v>
      </c>
      <c r="F13" s="15">
        <f>IF(Calc!$P$8=0,"",INDEX('My Books'!$I$1:$I$24,Calc!$P$8))</f>
        <v>0</v>
      </c>
      <c r="G13" s="14">
        <f ca="1">IF(Calc!$P$8=0,"",INDEX('My Books'!$M$1:$M$24,Calc!$P$8))</f>
        <v>685</v>
      </c>
      <c r="H13" s="14">
        <f ca="1">IF(Calc!$P$8=0,"",INDEX('My Books'!$N$1:$N$24,Calc!$P$8))</f>
        <v>1627</v>
      </c>
      <c r="I13" s="14">
        <f>IF(Calc!$P$8=0,"",INDEX('My Books'!$Q$1:$Q$24,Calc!$P$8))</f>
        <v>0</v>
      </c>
    </row>
    <row r="14" spans="1:9" ht="19.5" customHeight="1" x14ac:dyDescent="0.3">
      <c r="A14" s="6" t="str">
        <f>IF(Calc!$P$9=0,"",INDEX('My Books'!$B$1:$B$24,Calc!$P$9))</f>
        <v>Company of the Storm</v>
      </c>
      <c r="B14" s="7" t="str">
        <f>IF(Calc!$P$9=0,"",INDEX('My Books'!$D$1:$D$24,Calc!$P$9))</f>
        <v>Reliquary</v>
      </c>
      <c r="C14" s="8" t="str">
        <f>IF(Calc!$P$9=0,"",INDEX('My Books'!$F$1:$F$24,Calc!$P$9))</f>
        <v>Concept</v>
      </c>
      <c r="D14" s="9">
        <f>IF(Calc!$P$9=0,"",INDEX('My Books'!$G$1:$G$24,Calc!$P$9))</f>
        <v>150000</v>
      </c>
      <c r="E14" s="9">
        <f>IF(Calc!$P$9=0,"",INDEX('My Books'!$H$1:$H$24,Calc!$P$9))</f>
        <v>0</v>
      </c>
      <c r="F14" s="10">
        <f>IF(Calc!$P$9=0,"",INDEX('My Books'!$I$1:$I$24,Calc!$P$9))</f>
        <v>0</v>
      </c>
      <c r="G14" s="9">
        <f ca="1">IF(Calc!$P$9=0,"",INDEX('My Books'!$M$1:$M$24,Calc!$P$9))</f>
        <v>807</v>
      </c>
      <c r="H14" s="9">
        <f ca="1">IF(Calc!$P$9=0,"",INDEX('My Books'!$N$1:$N$24,Calc!$P$9))</f>
        <v>1230</v>
      </c>
      <c r="I14" s="9">
        <f>IF(Calc!$P$9=0,"",INDEX('My Books'!$Q$1:$Q$24,Calc!$P$9))</f>
        <v>0</v>
      </c>
    </row>
    <row r="15" spans="1:9" ht="19.5" customHeight="1" x14ac:dyDescent="0.3">
      <c r="A15" s="11" t="str">
        <f>IF(Calc!$P$10=0,"",INDEX('My Books'!$B$1:$B$24,Calc!$P$10))</f>
        <v>The Silver Chronicles</v>
      </c>
      <c r="B15" s="12" t="str">
        <f>IF(Calc!$P$10=0,"",INDEX('My Books'!$D$1:$D$24,Calc!$P$10))</f>
        <v>Eldoria-Cosmos</v>
      </c>
      <c r="C15" s="13" t="str">
        <f>IF(Calc!$P$10=0,"",INDEX('My Books'!$F$1:$F$24,Calc!$P$10))</f>
        <v>Drafting</v>
      </c>
      <c r="D15" s="14">
        <f>IF(Calc!$P$10=0,"",INDEX('My Books'!$G$1:$G$24,Calc!$P$10))</f>
        <v>120000</v>
      </c>
      <c r="E15" s="14">
        <f>IF(Calc!$P$10=0,"",INDEX('My Books'!$H$1:$H$24,Calc!$P$10))</f>
        <v>7450</v>
      </c>
      <c r="F15" s="15">
        <f>IF(Calc!$P$10=0,"",INDEX('My Books'!$I$1:$I$24,Calc!$P$10))</f>
        <v>4.7500000000000001E-2</v>
      </c>
      <c r="G15" s="14">
        <f ca="1">IF(Calc!$P$10=0,"",INDEX('My Books'!$M$1:$M$24,Calc!$P$10))</f>
        <v>227</v>
      </c>
      <c r="H15" s="14">
        <f>IF(Calc!$P$10=0,"",INDEX('My Books'!$N$1:$N$24,Calc!$P$10))</f>
        <v>0</v>
      </c>
      <c r="I15" s="14">
        <f>IF(Calc!$P$10=0,"",INDEX('My Books'!$Q$1:$Q$24,Calc!$P$10))</f>
        <v>5700</v>
      </c>
    </row>
    <row r="16" spans="1:9" ht="19.5" customHeight="1" x14ac:dyDescent="0.3">
      <c r="A16" s="6" t="str">
        <f>IF(Calc!$P$11=0,"",INDEX('My Books'!$B$1:$B$24,Calc!$P$11))</f>
        <v/>
      </c>
      <c r="B16" s="7" t="str">
        <f>IF(Calc!$P$11=0,"",INDEX('My Books'!$D$1:$D$24,Calc!$P$11))</f>
        <v/>
      </c>
      <c r="C16" s="8" t="str">
        <f>IF(Calc!$P$11=0,"",INDEX('My Books'!$F$1:$F$24,Calc!$P$11))</f>
        <v/>
      </c>
      <c r="D16" s="9" t="str">
        <f>IF(Calc!$P$11=0,"",INDEX('My Books'!$G$1:$G$24,Calc!$P$11))</f>
        <v/>
      </c>
      <c r="E16" s="9" t="str">
        <f>IF(Calc!$P$11=0,"",INDEX('My Books'!$H$1:$H$24,Calc!$P$11))</f>
        <v/>
      </c>
      <c r="F16" s="10" t="str">
        <f>IF(Calc!$P$11=0,"",INDEX('My Books'!$I$1:$I$24,Calc!$P$11))</f>
        <v/>
      </c>
      <c r="G16" s="9" t="str">
        <f>IF(Calc!$P$11=0,"",INDEX('My Books'!$M$1:$M$24,Calc!$P$11))</f>
        <v/>
      </c>
      <c r="H16" s="9" t="str">
        <f>IF(Calc!$P$11=0,"",INDEX('My Books'!$N$1:$N$24,Calc!$P$11))</f>
        <v/>
      </c>
      <c r="I16" s="9" t="str">
        <f>IF(Calc!$P$11=0,"",INDEX('My Books'!$Q$1:$Q$24,Calc!$P$11))</f>
        <v/>
      </c>
    </row>
    <row r="17" spans="1:9" ht="19.5" customHeight="1" x14ac:dyDescent="0.3">
      <c r="A17" s="11" t="str">
        <f>IF(Calc!$P$12=0,"",INDEX('My Books'!$B$1:$B$24,Calc!$P$12))</f>
        <v/>
      </c>
      <c r="B17" s="12" t="str">
        <f>IF(Calc!$P$12=0,"",INDEX('My Books'!$D$1:$D$24,Calc!$P$12))</f>
        <v/>
      </c>
      <c r="C17" s="13" t="str">
        <f>IF(Calc!$P$12=0,"",INDEX('My Books'!$F$1:$F$24,Calc!$P$12))</f>
        <v/>
      </c>
      <c r="D17" s="14" t="str">
        <f>IF(Calc!$P$12=0,"",INDEX('My Books'!$G$1:$G$24,Calc!$P$12))</f>
        <v/>
      </c>
      <c r="E17" s="14" t="str">
        <f>IF(Calc!$P$12=0,"",INDEX('My Books'!$H$1:$H$24,Calc!$P$12))</f>
        <v/>
      </c>
      <c r="F17" s="15" t="str">
        <f>IF(Calc!$P$12=0,"",INDEX('My Books'!$I$1:$I$24,Calc!$P$12))</f>
        <v/>
      </c>
      <c r="G17" s="14" t="str">
        <f>IF(Calc!$P$12=0,"",INDEX('My Books'!$M$1:$M$24,Calc!$P$12))</f>
        <v/>
      </c>
      <c r="H17" s="14" t="str">
        <f>IF(Calc!$P$12=0,"",INDEX('My Books'!$N$1:$N$24,Calc!$P$12))</f>
        <v/>
      </c>
      <c r="I17" s="14" t="str">
        <f>IF(Calc!$P$12=0,"",INDEX('My Books'!$Q$1:$Q$24,Calc!$P$12))</f>
        <v/>
      </c>
    </row>
    <row r="18" spans="1:9" ht="16.5" customHeight="1" x14ac:dyDescent="0.3">
      <c r="A18" s="150" t="s">
        <v>15</v>
      </c>
      <c r="B18" s="145"/>
      <c r="C18" s="145"/>
      <c r="D18" s="145"/>
      <c r="E18" s="145"/>
      <c r="F18" s="145"/>
      <c r="G18" s="145"/>
      <c r="H18" s="145"/>
      <c r="I18" s="145"/>
    </row>
    <row r="19" spans="1:9" ht="27.75" customHeight="1" x14ac:dyDescent="0.3">
      <c r="A19" s="16" t="s">
        <v>16</v>
      </c>
      <c r="B19" s="153" t="s">
        <v>17</v>
      </c>
      <c r="C19" s="148"/>
      <c r="D19" s="148"/>
      <c r="E19" s="148"/>
      <c r="F19" s="148"/>
      <c r="G19" s="148"/>
      <c r="H19" s="148"/>
      <c r="I19" s="147"/>
    </row>
    <row r="20" spans="1:9" ht="27.75" customHeight="1" x14ac:dyDescent="0.3">
      <c r="A20" s="16" t="s">
        <v>18</v>
      </c>
      <c r="B20" s="151" t="s">
        <v>19</v>
      </c>
      <c r="C20" s="148"/>
      <c r="D20" s="148"/>
      <c r="E20" s="148"/>
      <c r="F20" s="148"/>
      <c r="G20" s="148"/>
      <c r="H20" s="148"/>
      <c r="I20" s="147"/>
    </row>
    <row r="21" spans="1:9" ht="27.75" customHeight="1" x14ac:dyDescent="0.3">
      <c r="A21" s="16" t="s">
        <v>20</v>
      </c>
      <c r="B21" s="153" t="s">
        <v>21</v>
      </c>
      <c r="C21" s="148"/>
      <c r="D21" s="148"/>
      <c r="E21" s="148"/>
      <c r="F21" s="148"/>
      <c r="G21" s="148"/>
      <c r="H21" s="148"/>
      <c r="I21" s="147"/>
    </row>
    <row r="22" spans="1:9" ht="27.75" customHeight="1" x14ac:dyDescent="0.3">
      <c r="A22" s="16" t="s">
        <v>22</v>
      </c>
      <c r="B22" s="151" t="s">
        <v>23</v>
      </c>
      <c r="C22" s="148"/>
      <c r="D22" s="148"/>
      <c r="E22" s="148"/>
      <c r="F22" s="148"/>
      <c r="G22" s="148"/>
      <c r="H22" s="148"/>
      <c r="I22" s="147"/>
    </row>
    <row r="23" spans="1:9" ht="27.75" customHeight="1" x14ac:dyDescent="0.3">
      <c r="A23" s="17" t="s">
        <v>24</v>
      </c>
      <c r="B23" s="153" t="s">
        <v>25</v>
      </c>
      <c r="C23" s="148"/>
      <c r="D23" s="148"/>
      <c r="E23" s="148"/>
      <c r="F23" s="148"/>
      <c r="G23" s="148"/>
      <c r="H23" s="148"/>
      <c r="I23" s="147"/>
    </row>
    <row r="24" spans="1:9" ht="8.25" customHeight="1" x14ac:dyDescent="0.3"/>
    <row r="25" spans="1:9" ht="21.75" customHeight="1" x14ac:dyDescent="0.3">
      <c r="A25" s="144" t="s">
        <v>26</v>
      </c>
      <c r="B25" s="145"/>
      <c r="C25" s="145"/>
      <c r="D25" s="145"/>
      <c r="E25" s="145"/>
      <c r="F25" s="145"/>
      <c r="G25" s="145"/>
      <c r="H25" s="145"/>
      <c r="I25" s="145"/>
    </row>
    <row r="26" spans="1:9" ht="11.25" customHeight="1" x14ac:dyDescent="0.3"/>
    <row r="27" spans="1:9" ht="11.25" customHeight="1" x14ac:dyDescent="0.3"/>
    <row r="28" spans="1:9" ht="11.25" customHeight="1" x14ac:dyDescent="0.3"/>
    <row r="29" spans="1:9" ht="11.25" customHeight="1" x14ac:dyDescent="0.3"/>
    <row r="30" spans="1:9" ht="11.25" customHeight="1" x14ac:dyDescent="0.3"/>
    <row r="31" spans="1:9" ht="11.25" customHeight="1" x14ac:dyDescent="0.3"/>
    <row r="32" spans="1:9" ht="11.25" customHeight="1" x14ac:dyDescent="0.3"/>
    <row r="33" ht="11.25" customHeight="1" x14ac:dyDescent="0.3"/>
    <row r="34" ht="11.25" customHeight="1" x14ac:dyDescent="0.3"/>
    <row r="35" ht="11.25" customHeight="1" x14ac:dyDescent="0.3"/>
    <row r="36" ht="11.25" customHeight="1" x14ac:dyDescent="0.3"/>
    <row r="37" ht="11.25" customHeight="1" x14ac:dyDescent="0.3"/>
    <row r="38" ht="11.25" customHeight="1" x14ac:dyDescent="0.3"/>
    <row r="39" ht="11.25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mergeCells count="26">
    <mergeCell ref="A1:I1"/>
    <mergeCell ref="G7:I7"/>
    <mergeCell ref="C4:D4"/>
    <mergeCell ref="E4:F4"/>
    <mergeCell ref="B21:I21"/>
    <mergeCell ref="A2:I2"/>
    <mergeCell ref="A7:B7"/>
    <mergeCell ref="G5:I5"/>
    <mergeCell ref="G4:I4"/>
    <mergeCell ref="A8:I8"/>
    <mergeCell ref="E6:F6"/>
    <mergeCell ref="A5:B5"/>
    <mergeCell ref="B19:I19"/>
    <mergeCell ref="A4:B4"/>
    <mergeCell ref="C7:D7"/>
    <mergeCell ref="E7:F7"/>
    <mergeCell ref="B20:I20"/>
    <mergeCell ref="A25:I25"/>
    <mergeCell ref="C6:D6"/>
    <mergeCell ref="G6:I6"/>
    <mergeCell ref="C5:D5"/>
    <mergeCell ref="E5:F5"/>
    <mergeCell ref="A18:I18"/>
    <mergeCell ref="B22:I22"/>
    <mergeCell ref="A6:B6"/>
    <mergeCell ref="B23:I23"/>
  </mergeCells>
  <conditionalFormatting sqref="F10:F17">
    <cfRule type="dataBar" priority="2">
      <dataBar>
        <cfvo type="num" val="0"/>
        <cfvo type="num" val="1"/>
        <color rgb="FF6A1B9A"/>
      </dataBar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E35B0"/>
    <pageSetUpPr fitToPage="1"/>
  </sheetPr>
  <dimension ref="A1:O1000"/>
  <sheetViews>
    <sheetView zoomScaleNormal="100" zoomScalePageLayoutView="60" workbookViewId="0">
      <selection activeCell="Q4" sqref="Q4"/>
    </sheetView>
  </sheetViews>
  <sheetFormatPr defaultColWidth="14.44140625" defaultRowHeight="14.4" x14ac:dyDescent="0.3"/>
  <cols>
    <col min="1" max="1" width="34" customWidth="1"/>
    <col min="2" max="2" width="14" customWidth="1"/>
    <col min="3" max="3" width="54.33203125" customWidth="1"/>
    <col min="4" max="4" width="4" customWidth="1"/>
    <col min="5" max="5" width="22" customWidth="1"/>
    <col min="6" max="6" width="24" customWidth="1"/>
    <col min="7" max="7" width="20" customWidth="1"/>
    <col min="8" max="8" width="4" customWidth="1"/>
    <col min="9" max="9" width="28" customWidth="1"/>
    <col min="10" max="10" width="11.44140625" customWidth="1"/>
    <col min="11" max="11" width="8.44140625" customWidth="1"/>
    <col min="12" max="12" width="4" customWidth="1"/>
    <col min="13" max="13" width="28" customWidth="1"/>
    <col min="14" max="14" width="11.44140625" customWidth="1"/>
    <col min="15" max="15" width="8.44140625" customWidth="1"/>
  </cols>
  <sheetData>
    <row r="1" spans="1:15" ht="27.75" customHeight="1" x14ac:dyDescent="0.3">
      <c r="A1" s="160" t="s">
        <v>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1.25" customHeight="1" x14ac:dyDescent="0.3">
      <c r="A2" s="18">
        <f ca="1">TODAY()</f>
        <v>46312</v>
      </c>
      <c r="B2" s="161" t="s">
        <v>28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1.25" customHeight="1" x14ac:dyDescent="0.3"/>
    <row r="4" spans="1:15" ht="11.25" customHeight="1" x14ac:dyDescent="0.3">
      <c r="A4" s="19" t="s">
        <v>29</v>
      </c>
      <c r="B4" s="20" t="s">
        <v>30</v>
      </c>
      <c r="C4" s="19" t="s">
        <v>31</v>
      </c>
      <c r="E4" s="19" t="s">
        <v>32</v>
      </c>
      <c r="F4" s="19" t="s">
        <v>33</v>
      </c>
      <c r="G4" s="19" t="s">
        <v>34</v>
      </c>
      <c r="I4" s="21" t="str">
        <f>IF(Dashboard!$A$10="","Project 1: (empty slot)","Project 1: "&amp;Dashboard!$A$10)</f>
        <v>Project 1: Prisoner of Sand Sea</v>
      </c>
      <c r="J4" s="22" t="s">
        <v>35</v>
      </c>
      <c r="K4" s="22" t="s">
        <v>36</v>
      </c>
      <c r="L4" s="23"/>
      <c r="M4" s="21" t="str">
        <f>IF(Dashboard!$A$14="","Project 5: (empty slot)","Project 5: "&amp;Dashboard!$A$14)</f>
        <v>Project 5: Company of the Storm</v>
      </c>
      <c r="N4" s="22" t="s">
        <v>35</v>
      </c>
      <c r="O4" s="22" t="s">
        <v>36</v>
      </c>
    </row>
    <row r="5" spans="1:15" ht="11.25" customHeight="1" x14ac:dyDescent="0.3">
      <c r="A5" s="24" t="s">
        <v>37</v>
      </c>
      <c r="B5" s="25">
        <v>2000</v>
      </c>
      <c r="C5" s="26" t="s">
        <v>38</v>
      </c>
      <c r="E5" s="26" t="s">
        <v>39</v>
      </c>
      <c r="F5" s="26" t="s">
        <v>40</v>
      </c>
      <c r="G5" s="26" t="s">
        <v>41</v>
      </c>
      <c r="I5" s="27" t="s">
        <v>14</v>
      </c>
      <c r="J5" s="28">
        <f>N(Dashboard!$I$10)</f>
        <v>0</v>
      </c>
      <c r="K5" s="29">
        <f>IF(N(Dashboard!$D$10)&gt;0,J5/Dashboard!$D$10,0)</f>
        <v>0</v>
      </c>
      <c r="L5" s="23"/>
      <c r="M5" s="27" t="s">
        <v>14</v>
      </c>
      <c r="N5" s="28">
        <f>N(Dashboard!$I$14)</f>
        <v>0</v>
      </c>
      <c r="O5" s="29">
        <f>IF(N(Dashboard!$D$14)&gt;0,N5/Dashboard!$D$14,0)</f>
        <v>0</v>
      </c>
    </row>
    <row r="6" spans="1:15" ht="11.25" customHeight="1" x14ac:dyDescent="0.3">
      <c r="A6" s="24" t="s">
        <v>42</v>
      </c>
      <c r="B6" s="25">
        <v>15000000</v>
      </c>
      <c r="C6" s="26" t="s">
        <v>43</v>
      </c>
      <c r="E6" s="26" t="s">
        <v>44</v>
      </c>
      <c r="F6" s="26" t="s">
        <v>45</v>
      </c>
      <c r="G6" s="26" t="s">
        <v>46</v>
      </c>
      <c r="I6" s="30" t="s">
        <v>47</v>
      </c>
      <c r="J6" s="31">
        <f>MAX(0,N(Dashboard!$D$10)-J5)</f>
        <v>200000</v>
      </c>
      <c r="K6" s="32">
        <f>IF(N(Dashboard!$D$10)&gt;0,J6/Dashboard!$D$10,0)</f>
        <v>1</v>
      </c>
      <c r="L6" s="23"/>
      <c r="M6" s="30" t="s">
        <v>47</v>
      </c>
      <c r="N6" s="31">
        <f>MAX(0,N(Dashboard!$D$14)-N5)</f>
        <v>150000</v>
      </c>
      <c r="O6" s="32">
        <f>IF(N(Dashboard!$D$14)&gt;0,N6/Dashboard!$D$14,0)</f>
        <v>1</v>
      </c>
    </row>
    <row r="7" spans="1:15" ht="11.25" customHeight="1" x14ac:dyDescent="0.3">
      <c r="A7" s="24" t="s">
        <v>48</v>
      </c>
      <c r="B7" s="25">
        <v>730000</v>
      </c>
      <c r="C7" s="26" t="s">
        <v>49</v>
      </c>
      <c r="E7" s="26" t="s">
        <v>50</v>
      </c>
      <c r="F7" s="26" t="s">
        <v>51</v>
      </c>
      <c r="G7" s="26" t="s">
        <v>52</v>
      </c>
      <c r="K7" s="33"/>
      <c r="L7" s="23"/>
      <c r="M7" s="23"/>
    </row>
    <row r="8" spans="1:15" ht="11.25" customHeight="1" x14ac:dyDescent="0.3">
      <c r="A8" s="24" t="s">
        <v>53</v>
      </c>
      <c r="B8" s="25">
        <v>3</v>
      </c>
      <c r="C8" s="26" t="s">
        <v>54</v>
      </c>
      <c r="E8" s="26" t="s">
        <v>55</v>
      </c>
      <c r="F8" s="26" t="s">
        <v>56</v>
      </c>
      <c r="G8" s="113" t="s">
        <v>57</v>
      </c>
      <c r="I8" s="21" t="str">
        <f>IF(Dashboard!$A$11="","Project 2: (empty slot)","Project 2: "&amp;Dashboard!$A$11)</f>
        <v>Project 2: Gothic Fantasy 1</v>
      </c>
      <c r="J8" s="22" t="s">
        <v>35</v>
      </c>
      <c r="K8" s="22" t="s">
        <v>36</v>
      </c>
      <c r="L8" s="23"/>
      <c r="M8" s="21" t="str">
        <f>IF(Dashboard!$A$15="","Project 6: (empty slot)","Project 6: "&amp;Dashboard!$A$15)</f>
        <v>Project 6: The Silver Chronicles</v>
      </c>
      <c r="N8" s="22" t="s">
        <v>35</v>
      </c>
      <c r="O8" s="22" t="s">
        <v>36</v>
      </c>
    </row>
    <row r="9" spans="1:15" ht="11.25" customHeight="1" x14ac:dyDescent="0.3">
      <c r="A9" s="19" t="s">
        <v>58</v>
      </c>
      <c r="B9" s="20" t="s">
        <v>59</v>
      </c>
      <c r="C9" s="19" t="s">
        <v>60</v>
      </c>
      <c r="E9" s="26" t="s">
        <v>61</v>
      </c>
      <c r="F9" s="26" t="s">
        <v>62</v>
      </c>
      <c r="I9" s="27" t="s">
        <v>14</v>
      </c>
      <c r="J9" s="28">
        <f>N(Dashboard!$I$11)</f>
        <v>0</v>
      </c>
      <c r="K9" s="29">
        <f>IF(N(Dashboard!$D$11)&gt;0,J9/Dashboard!$D$11,0)</f>
        <v>0</v>
      </c>
      <c r="L9" s="23"/>
      <c r="M9" s="27" t="s">
        <v>14</v>
      </c>
      <c r="N9" s="28">
        <f>N(Dashboard!$I$15)</f>
        <v>5700</v>
      </c>
      <c r="O9" s="29">
        <f>IF(N(Dashboard!$D$15)&gt;0,N9/Dashboard!$D$15,0)</f>
        <v>4.7500000000000001E-2</v>
      </c>
    </row>
    <row r="10" spans="1:15" ht="11.25" customHeight="1" x14ac:dyDescent="0.3">
      <c r="A10" s="24" t="s">
        <v>63</v>
      </c>
      <c r="B10" s="34">
        <v>1</v>
      </c>
      <c r="C10" s="26" t="s">
        <v>64</v>
      </c>
      <c r="F10" s="26" t="s">
        <v>65</v>
      </c>
      <c r="I10" s="30" t="s">
        <v>47</v>
      </c>
      <c r="J10" s="31">
        <f>MAX(0,N(Dashboard!$D$11)-J9)</f>
        <v>150000</v>
      </c>
      <c r="K10" s="32">
        <f>IF(N(Dashboard!$D$11)&gt;0,J10/Dashboard!$D$11,0)</f>
        <v>1</v>
      </c>
      <c r="L10" s="23"/>
      <c r="M10" s="30" t="s">
        <v>47</v>
      </c>
      <c r="N10" s="31">
        <f>MAX(0,N(Dashboard!$D$15)-N9)</f>
        <v>114300</v>
      </c>
      <c r="O10" s="32">
        <f>IF(N(Dashboard!$D$15)&gt;0,N10/Dashboard!$D$15,0)</f>
        <v>0.95250000000000001</v>
      </c>
    </row>
    <row r="11" spans="1:15" ht="11.25" customHeight="1" x14ac:dyDescent="0.3">
      <c r="A11" s="24" t="s">
        <v>66</v>
      </c>
      <c r="B11" s="34">
        <v>1</v>
      </c>
      <c r="C11" s="26" t="s">
        <v>67</v>
      </c>
      <c r="F11" s="26" t="s">
        <v>68</v>
      </c>
      <c r="K11" s="33"/>
      <c r="L11" s="23"/>
      <c r="M11" s="23"/>
    </row>
    <row r="12" spans="1:15" ht="11.25" customHeight="1" x14ac:dyDescent="0.3">
      <c r="A12" s="24" t="s">
        <v>69</v>
      </c>
      <c r="B12" s="34">
        <v>1</v>
      </c>
      <c r="C12" s="26" t="s">
        <v>70</v>
      </c>
      <c r="F12" s="26" t="s">
        <v>71</v>
      </c>
      <c r="I12" s="21" t="str">
        <f>IF(Dashboard!$A$12="","Project 3: (empty slot)","Project 3: "&amp;Dashboard!$A$12)</f>
        <v>Project 3: Quest Fantasy 1</v>
      </c>
      <c r="J12" s="22" t="s">
        <v>35</v>
      </c>
      <c r="K12" s="22" t="s">
        <v>36</v>
      </c>
      <c r="L12" s="23"/>
      <c r="M12" s="21" t="str">
        <f>IF(Dashboard!$A$16="","Project 7: (empty slot)","Project 7: "&amp;Dashboard!$A$16)</f>
        <v>Project 7: (empty slot)</v>
      </c>
      <c r="N12" s="22" t="s">
        <v>35</v>
      </c>
      <c r="O12" s="22" t="s">
        <v>36</v>
      </c>
    </row>
    <row r="13" spans="1:15" ht="11.25" customHeight="1" x14ac:dyDescent="0.3">
      <c r="A13" s="24" t="s">
        <v>72</v>
      </c>
      <c r="B13" s="34">
        <v>0.5</v>
      </c>
      <c r="C13" s="26" t="s">
        <v>73</v>
      </c>
      <c r="F13" s="35" t="s">
        <v>74</v>
      </c>
      <c r="I13" s="27" t="s">
        <v>14</v>
      </c>
      <c r="J13" s="28">
        <f>N(Dashboard!$I$12)</f>
        <v>0</v>
      </c>
      <c r="K13" s="29">
        <f>IF(N(Dashboard!$D$12)&gt;0,J13/Dashboard!$D$12,0)</f>
        <v>0</v>
      </c>
      <c r="M13" s="27" t="s">
        <v>14</v>
      </c>
      <c r="N13" s="28">
        <f>N(Dashboard!$I$16)</f>
        <v>0</v>
      </c>
      <c r="O13" s="29">
        <f>IF(N(Dashboard!$D$16)&gt;0,N13/Dashboard!$D$16,0)</f>
        <v>0</v>
      </c>
    </row>
    <row r="14" spans="1:15" ht="11.25" customHeight="1" x14ac:dyDescent="0.3">
      <c r="A14" s="24" t="s">
        <v>75</v>
      </c>
      <c r="B14" s="34">
        <v>0.5</v>
      </c>
      <c r="C14" s="26" t="s">
        <v>76</v>
      </c>
      <c r="F14" s="36" t="s">
        <v>77</v>
      </c>
      <c r="I14" s="30" t="s">
        <v>47</v>
      </c>
      <c r="J14" s="31">
        <f>MAX(0,N(Dashboard!$D$12)-J13)</f>
        <v>200000</v>
      </c>
      <c r="K14" s="32">
        <f>IF(N(Dashboard!$D$12)&gt;0,J14/Dashboard!$D$12,0)</f>
        <v>1</v>
      </c>
      <c r="M14" s="30" t="s">
        <v>47</v>
      </c>
      <c r="N14" s="31">
        <f>MAX(0,N(Dashboard!$D$16)-N13)</f>
        <v>0</v>
      </c>
      <c r="O14" s="32">
        <f>IF(N(Dashboard!$D$16)&gt;0,N14/Dashboard!$D$16,0)</f>
        <v>0</v>
      </c>
    </row>
    <row r="15" spans="1:15" ht="11.25" customHeight="1" x14ac:dyDescent="0.3">
      <c r="A15" s="24" t="s">
        <v>78</v>
      </c>
      <c r="B15" s="34">
        <v>0.2</v>
      </c>
      <c r="C15" s="26" t="s">
        <v>79</v>
      </c>
      <c r="K15" s="33"/>
    </row>
    <row r="16" spans="1:15" ht="11.25" customHeight="1" x14ac:dyDescent="0.3">
      <c r="A16" s="24" t="s">
        <v>80</v>
      </c>
      <c r="B16" s="34">
        <v>0</v>
      </c>
      <c r="C16" s="26" t="s">
        <v>81</v>
      </c>
      <c r="I16" s="21" t="str">
        <f>IF(Dashboard!$A$13="","Project 4: (empty slot)","Project 4: "&amp;Dashboard!$A$13)</f>
        <v>Project 4: Ruler of Sand Sea</v>
      </c>
      <c r="J16" s="22" t="s">
        <v>35</v>
      </c>
      <c r="K16" s="22" t="s">
        <v>36</v>
      </c>
      <c r="M16" s="21" t="str">
        <f>IF(Dashboard!$A$17="","Project 8: (empty slot)","Project 8: "&amp;Dashboard!$A$17)</f>
        <v>Project 8: (empty slot)</v>
      </c>
      <c r="N16" s="22" t="s">
        <v>35</v>
      </c>
      <c r="O16" s="22" t="s">
        <v>36</v>
      </c>
    </row>
    <row r="17" spans="1:15" ht="11.25" customHeight="1" x14ac:dyDescent="0.3">
      <c r="I17" s="27" t="s">
        <v>14</v>
      </c>
      <c r="J17" s="28">
        <f>N(Dashboard!$I$13)</f>
        <v>0</v>
      </c>
      <c r="K17" s="29">
        <f>IF(N(Dashboard!$D$13)&gt;0,J17/Dashboard!$D$13,0)</f>
        <v>0</v>
      </c>
      <c r="M17" s="27" t="s">
        <v>14</v>
      </c>
      <c r="N17" s="28">
        <f>N(Dashboard!$I$17)</f>
        <v>0</v>
      </c>
      <c r="O17" s="29">
        <f>IF(N(Dashboard!$D$17)&gt;0,N17/Dashboard!$D$17,0)</f>
        <v>0</v>
      </c>
    </row>
    <row r="18" spans="1:15" ht="11.25" customHeight="1" x14ac:dyDescent="0.3">
      <c r="I18" s="30" t="s">
        <v>47</v>
      </c>
      <c r="J18" s="31">
        <f>MAX(0,N(Dashboard!$D$13)-J17)</f>
        <v>200000</v>
      </c>
      <c r="K18" s="32">
        <f>IF(N(Dashboard!$D$13)&gt;0,J18/Dashboard!$D$13,0)</f>
        <v>1</v>
      </c>
      <c r="M18" s="30" t="s">
        <v>47</v>
      </c>
      <c r="N18" s="31">
        <f>MAX(0,N(Dashboard!$D$17)-N17)</f>
        <v>0</v>
      </c>
      <c r="O18" s="32">
        <f>IF(N(Dashboard!$D$17)&gt;0,N18/Dashboard!$D$17,0)</f>
        <v>0</v>
      </c>
    </row>
    <row r="19" spans="1:15" ht="11.25" customHeight="1" x14ac:dyDescent="0.3">
      <c r="K19" s="33"/>
    </row>
    <row r="20" spans="1:15" ht="11.25" customHeight="1" x14ac:dyDescent="0.3">
      <c r="I20" s="21" t="s">
        <v>82</v>
      </c>
      <c r="J20" s="22" t="s">
        <v>83</v>
      </c>
      <c r="K20" s="37" t="s">
        <v>36</v>
      </c>
    </row>
    <row r="21" spans="1:15" ht="11.25" customHeight="1" x14ac:dyDescent="0.3">
      <c r="I21" s="38" t="s">
        <v>84</v>
      </c>
      <c r="J21" s="39">
        <f ca="1">SUMIFS('Daily Writing Log'!$I$5:$I$34,'Daily Writing Log'!$A$5:$A$34,$A$2)</f>
        <v>0</v>
      </c>
      <c r="K21" s="40">
        <f ca="1">IF(Config!$B$5&gt;0,MIN(1,J21/Config!$B$5),0)</f>
        <v>0</v>
      </c>
    </row>
    <row r="22" spans="1:15" ht="11.25" customHeight="1" x14ac:dyDescent="0.3">
      <c r="I22" s="41" t="s">
        <v>85</v>
      </c>
      <c r="J22" s="42">
        <f ca="1">MAX(0,$B$5-J21)</f>
        <v>2000</v>
      </c>
      <c r="K22" s="43">
        <f ca="1">IF(Config!$B$5&gt;0,MAX(0,1-J21/Config!$B$5),0)</f>
        <v>1</v>
      </c>
    </row>
    <row r="23" spans="1:15" ht="11.25" customHeight="1" x14ac:dyDescent="0.3"/>
    <row r="24" spans="1:15" ht="11.25" customHeight="1" x14ac:dyDescent="0.3">
      <c r="A24" s="19" t="s">
        <v>86</v>
      </c>
      <c r="B24" s="19" t="s">
        <v>87</v>
      </c>
      <c r="C24" s="19" t="s">
        <v>88</v>
      </c>
    </row>
    <row r="25" spans="1:15" ht="19.5" customHeight="1" x14ac:dyDescent="0.3">
      <c r="A25" s="7" t="s">
        <v>89</v>
      </c>
      <c r="B25" s="9">
        <f>SUMPRODUCT(('Daily Writing Log'!$B$5:$B$34&lt;&gt;"")*(COUNTIF('My Books'!$B$5:$B$24,'Daily Writing Log'!$B$5:$B$34)=0))</f>
        <v>0</v>
      </c>
      <c r="C25" s="7" t="s">
        <v>90</v>
      </c>
    </row>
    <row r="26" spans="1:15" ht="19.5" customHeight="1" x14ac:dyDescent="0.3">
      <c r="A26" s="12" t="s">
        <v>91</v>
      </c>
      <c r="B26" s="14">
        <f>SUMPRODUCT(('My Books'!$B$5:$B$24&lt;&gt;"")*(COUNTIF('My Books'!$B$5:$B$24,'My Books'!$B$5:$B$24)&gt;1))</f>
        <v>0</v>
      </c>
      <c r="C26" s="12" t="s">
        <v>92</v>
      </c>
    </row>
    <row r="27" spans="1:15" ht="19.5" customHeight="1" x14ac:dyDescent="0.3">
      <c r="A27" s="7" t="s">
        <v>93</v>
      </c>
      <c r="B27" s="9">
        <f>SUMPRODUCT(('Daily Writing Log'!$B$5:$B$34&lt;&gt;"")*('Daily Writing Log'!$C$5:$C$34=""))</f>
        <v>0</v>
      </c>
      <c r="C27" s="7" t="s">
        <v>94</v>
      </c>
    </row>
    <row r="28" spans="1:15" ht="19.5" customHeight="1" x14ac:dyDescent="0.3">
      <c r="A28" s="12" t="s">
        <v>95</v>
      </c>
      <c r="B28" s="14">
        <f ca="1">COUNTIFS('Daily Writing Log'!$A$5:$A$34,"&gt;"&amp;$A$2,'Daily Writing Log'!$H$5:$H$34,"&gt;0")</f>
        <v>1</v>
      </c>
      <c r="C28" s="12" t="s">
        <v>96</v>
      </c>
    </row>
    <row r="29" spans="1:15" ht="19.5" customHeight="1" x14ac:dyDescent="0.3">
      <c r="A29" s="7" t="s">
        <v>97</v>
      </c>
      <c r="B29" s="9">
        <f>SUMPRODUCT((('Daily Writing Log'!$D$5:$D$34+'Daily Writing Log'!$E$5:$E$34+'Daily Writing Log'!$F$5:$F$34+'Daily Writing Log'!$G$5:$G$34)&gt;0)*(('Daily Writing Log'!$A$5:$A$34="")+('Daily Writing Log'!$B$5:$B$34="")&gt;0))</f>
        <v>0</v>
      </c>
      <c r="C29" s="7" t="s">
        <v>98</v>
      </c>
    </row>
    <row r="30" spans="1:15" ht="19.5" customHeight="1" x14ac:dyDescent="0.3">
      <c r="A30" s="12" t="s">
        <v>99</v>
      </c>
      <c r="B30" s="14">
        <f>SUM('Daily Writing Log'!$H$5:$H$34)-SUM('My Books'!$H$5:$H$24)</f>
        <v>0</v>
      </c>
      <c r="C30" s="12" t="s">
        <v>100</v>
      </c>
    </row>
    <row r="31" spans="1:15" ht="19.5" customHeight="1" x14ac:dyDescent="0.3">
      <c r="A31" s="7" t="s">
        <v>101</v>
      </c>
      <c r="B31" s="9">
        <f>COUNTIF('Universes &amp; Series'!$H$5:$H$24,"⚠*")+SUMPRODUCT(('My Books'!$E$5:$E$24&lt;&gt;"")*(COUNTIF('Universes &amp; Series'!$A$5:$A$24,'My Books'!$E$5:$E$24)=0))</f>
        <v>0</v>
      </c>
      <c r="C31" s="7" t="s">
        <v>102</v>
      </c>
    </row>
    <row r="32" spans="1:15" ht="19.5" customHeight="1" x14ac:dyDescent="0.3">
      <c r="A32" s="12" t="s">
        <v>103</v>
      </c>
      <c r="B32" s="14">
        <f ca="1">COUNTIF('My Books'!$R$5:$R$24,"🔴 Overdue")</f>
        <v>0</v>
      </c>
      <c r="C32" s="12" t="s">
        <v>104</v>
      </c>
    </row>
    <row r="33" spans="1:3" ht="19.5" customHeight="1" x14ac:dyDescent="0.3">
      <c r="A33" s="44" t="s">
        <v>105</v>
      </c>
      <c r="B33" s="45">
        <f ca="1">COUNTIF(B25:B32,"&lt;&gt;0")</f>
        <v>1</v>
      </c>
      <c r="C33" s="44" t="str">
        <f ca="1">IF(B33=0,"✅ All 8 integrity checks pass","⚠️ "&amp;B33&amp;" check(s) need attention")</f>
        <v>⚠️ 1 check(s) need attention</v>
      </c>
    </row>
    <row r="34" spans="1:3" ht="11.25" customHeight="1" x14ac:dyDescent="0.3"/>
    <row r="35" spans="1:3" ht="11.25" customHeight="1" x14ac:dyDescent="0.3"/>
    <row r="36" spans="1:3" ht="11.25" customHeight="1" x14ac:dyDescent="0.3"/>
    <row r="37" spans="1:3" ht="11.25" customHeight="1" x14ac:dyDescent="0.3"/>
    <row r="38" spans="1:3" ht="11.25" customHeight="1" x14ac:dyDescent="0.3"/>
    <row r="39" spans="1:3" ht="11.25" customHeight="1" x14ac:dyDescent="0.3"/>
    <row r="40" spans="1:3" ht="11.25" customHeight="1" x14ac:dyDescent="0.3"/>
    <row r="41" spans="1:3" ht="11.25" customHeight="1" x14ac:dyDescent="0.3"/>
    <row r="42" spans="1:3" ht="11.25" customHeight="1" x14ac:dyDescent="0.3"/>
    <row r="43" spans="1:3" ht="11.25" customHeight="1" x14ac:dyDescent="0.3"/>
    <row r="44" spans="1:3" ht="11.25" customHeight="1" x14ac:dyDescent="0.3"/>
    <row r="45" spans="1:3" ht="11.25" customHeight="1" x14ac:dyDescent="0.3"/>
    <row r="46" spans="1:3" ht="11.25" customHeight="1" x14ac:dyDescent="0.3"/>
    <row r="47" spans="1:3" ht="11.25" customHeight="1" x14ac:dyDescent="0.3"/>
    <row r="48" spans="1:3" ht="11.25" customHeight="1" x14ac:dyDescent="0.3"/>
    <row r="49" ht="11.25" customHeight="1" x14ac:dyDescent="0.3"/>
    <row r="50" ht="11.25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mergeCells count="2">
    <mergeCell ref="A1:O1"/>
    <mergeCell ref="B2:O2"/>
  </mergeCells>
  <dataValidations count="2">
    <dataValidation type="whole" operator="greaterThan" sqref="B5:B7" xr:uid="{00000000-0002-0000-0100-000000000000}">
      <formula1>0</formula1>
      <formula2>0</formula2>
    </dataValidation>
    <dataValidation type="decimal" sqref="B10:B16" xr:uid="{00000000-0002-0000-0100-000001000000}">
      <formula1>0</formula1>
      <formula2>1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1FA1"/>
    <pageSetUpPr fitToPage="1"/>
  </sheetPr>
  <dimension ref="A1:I1000"/>
  <sheetViews>
    <sheetView zoomScaleNormal="100" zoomScalePageLayoutView="60" workbookViewId="0">
      <selection sqref="A1:I1"/>
    </sheetView>
  </sheetViews>
  <sheetFormatPr defaultColWidth="14.44140625" defaultRowHeight="14.4" x14ac:dyDescent="0.3"/>
  <cols>
    <col min="1" max="1" width="26" customWidth="1"/>
    <col min="2" max="2" width="18" customWidth="1"/>
    <col min="3" max="3" width="15" customWidth="1"/>
    <col min="4" max="5" width="18" customWidth="1"/>
    <col min="6" max="6" width="22" customWidth="1"/>
    <col min="7" max="7" width="42" customWidth="1"/>
    <col min="8" max="8" width="34" customWidth="1"/>
    <col min="9" max="9" width="17" customWidth="1"/>
  </cols>
  <sheetData>
    <row r="1" spans="1:9" ht="27.75" customHeight="1" x14ac:dyDescent="0.3">
      <c r="A1" s="162" t="s">
        <v>106</v>
      </c>
      <c r="B1" s="155"/>
      <c r="C1" s="155"/>
      <c r="D1" s="155"/>
      <c r="E1" s="155"/>
      <c r="F1" s="155"/>
      <c r="G1" s="155"/>
      <c r="H1" s="155"/>
      <c r="I1" s="155"/>
    </row>
    <row r="2" spans="1:9" ht="19.5" customHeight="1" x14ac:dyDescent="0.3">
      <c r="A2" s="164" t="s">
        <v>107</v>
      </c>
      <c r="B2" s="155"/>
      <c r="C2" s="155"/>
      <c r="D2" s="155"/>
      <c r="E2" s="155"/>
      <c r="F2" s="155"/>
      <c r="G2" s="155"/>
      <c r="H2" s="155"/>
      <c r="I2" s="155"/>
    </row>
    <row r="3" spans="1:9" ht="14.25" customHeight="1" x14ac:dyDescent="0.3">
      <c r="C3" s="46"/>
      <c r="D3" s="46"/>
      <c r="E3" s="46"/>
      <c r="F3" s="46"/>
    </row>
    <row r="4" spans="1:9" ht="24" customHeight="1" x14ac:dyDescent="0.3">
      <c r="A4" s="47" t="s">
        <v>108</v>
      </c>
      <c r="B4" s="48" t="s">
        <v>7</v>
      </c>
      <c r="C4" s="49" t="s">
        <v>109</v>
      </c>
      <c r="D4" s="49" t="s">
        <v>110</v>
      </c>
      <c r="E4" s="49" t="s">
        <v>111</v>
      </c>
      <c r="F4" s="49" t="s">
        <v>10</v>
      </c>
      <c r="G4" s="47" t="s">
        <v>112</v>
      </c>
      <c r="H4" s="48" t="s">
        <v>113</v>
      </c>
      <c r="I4" s="48" t="s">
        <v>11</v>
      </c>
    </row>
    <row r="5" spans="1:9" ht="19.5" customHeight="1" x14ac:dyDescent="0.3">
      <c r="A5" s="6" t="s">
        <v>114</v>
      </c>
      <c r="B5" s="8" t="s">
        <v>41</v>
      </c>
      <c r="C5" s="9">
        <v>3</v>
      </c>
      <c r="D5" s="9">
        <f>IF(A5="","",COUNTIFS('My Books'!$E$5:$E$24,A5,'My Books'!$F$5:$F$24,"Published"))</f>
        <v>0</v>
      </c>
      <c r="E5" s="9">
        <f>IF(A5="","",COUNTIFS('My Books'!$E$5:$E$24,A5,'My Books'!$F$5:$F$24,"&lt;&gt;Published",'My Books'!$F$5:$F$24,"&lt;&gt;"))</f>
        <v>2</v>
      </c>
      <c r="F5" s="9">
        <f>IF(A5="","",SUMIFS('My Books'!$H$5:$H$24,'My Books'!$E$5:$E$24,A5))</f>
        <v>0</v>
      </c>
      <c r="G5" s="7" t="s">
        <v>115</v>
      </c>
      <c r="H5" s="8" t="str">
        <f t="shared" ref="H5:H10" si="0">IF(A5="","",IF(D5+E5&gt;C5,"⚠️ Over-cataloged ("&amp;(D5+E5)&amp;"/"&amp;C5&amp;")","✓ "&amp;(D5+E5)&amp;" of "&amp;C5&amp;" cataloged ("&amp;(C5-D5-E5)&amp;" future)"))</f>
        <v>✓ 2 of 3 cataloged (1 future)</v>
      </c>
      <c r="I5" s="10">
        <f>IF(A5="","",IFERROR(SUMIFS('My Books'!$Q$5:$Q$24,'My Books'!$E$5:$E$24,A5)/SUMIFS('My Books'!$G$5:$G$24,'My Books'!$E$5:$E$24,A5),0))</f>
        <v>0</v>
      </c>
    </row>
    <row r="6" spans="1:9" ht="19.5" customHeight="1" x14ac:dyDescent="0.3">
      <c r="A6" s="50" t="s">
        <v>116</v>
      </c>
      <c r="B6" s="51" t="s">
        <v>41</v>
      </c>
      <c r="C6" s="52">
        <v>4</v>
      </c>
      <c r="D6" s="52">
        <f>IF(A6="","",COUNTIFS('My Books'!$E$5:$E$24,A6,'My Books'!$F$5:$F$24,"Published"))</f>
        <v>0</v>
      </c>
      <c r="E6" s="52">
        <f>IF(A6="","",COUNTIFS('My Books'!$E$5:$E$24,A6,'My Books'!$F$5:$F$24,"&lt;&gt;Published",'My Books'!$F$5:$F$24,"&lt;&gt;"))</f>
        <v>1</v>
      </c>
      <c r="F6" s="52">
        <f>IF(A6="","",SUMIFS('My Books'!$H$5:$H$24,'My Books'!$E$5:$E$24,A6))</f>
        <v>0</v>
      </c>
      <c r="G6" s="53" t="s">
        <v>117</v>
      </c>
      <c r="H6" s="51" t="str">
        <f t="shared" si="0"/>
        <v>✓ 1 of 4 cataloged (3 future)</v>
      </c>
      <c r="I6" s="54">
        <f>IF(A6="","",IFERROR(SUMIFS('My Books'!$Q$5:$Q$24,'My Books'!$E$5:$E$24,A6)/SUMIFS('My Books'!$G$5:$G$24,'My Books'!$E$5:$E$24,A6),0))</f>
        <v>0</v>
      </c>
    </row>
    <row r="7" spans="1:9" ht="19.5" customHeight="1" x14ac:dyDescent="0.3">
      <c r="A7" s="6" t="s">
        <v>118</v>
      </c>
      <c r="B7" s="8" t="s">
        <v>41</v>
      </c>
      <c r="C7" s="9">
        <v>3</v>
      </c>
      <c r="D7" s="9">
        <f>IF(A7="","",COUNTIFS('My Books'!$E$5:$E$24,A7,'My Books'!$F$5:$F$24,"Published"))</f>
        <v>0</v>
      </c>
      <c r="E7" s="9">
        <f>IF(A7="","",COUNTIFS('My Books'!$E$5:$E$24,A7,'My Books'!$F$5:$F$24,"&lt;&gt;Published",'My Books'!$F$5:$F$24,"&lt;&gt;"))</f>
        <v>1</v>
      </c>
      <c r="F7" s="9">
        <f>IF(A7="","",SUMIFS('My Books'!$H$5:$H$24,'My Books'!$E$5:$E$24,A7))</f>
        <v>0</v>
      </c>
      <c r="G7" s="7" t="s">
        <v>119</v>
      </c>
      <c r="H7" s="8" t="str">
        <f t="shared" si="0"/>
        <v>✓ 1 of 3 cataloged (2 future)</v>
      </c>
      <c r="I7" s="10">
        <f>IF(A7="","",IFERROR(SUMIFS('My Books'!$Q$5:$Q$24,'My Books'!$E$5:$E$24,A7)/SUMIFS('My Books'!$G$5:$G$24,'My Books'!$E$5:$E$24,A7),0))</f>
        <v>0</v>
      </c>
    </row>
    <row r="8" spans="1:9" ht="19.5" customHeight="1" x14ac:dyDescent="0.3">
      <c r="A8" s="50" t="s">
        <v>120</v>
      </c>
      <c r="B8" s="51" t="s">
        <v>41</v>
      </c>
      <c r="C8" s="52">
        <v>8</v>
      </c>
      <c r="D8" s="52">
        <f>IF(A8="","",COUNTIFS('My Books'!$E$5:$E$24,A8,'My Books'!$F$5:$F$24,"Published"))</f>
        <v>0</v>
      </c>
      <c r="E8" s="52">
        <f>IF(A8="","",COUNTIFS('My Books'!$E$5:$E$24,A8,'My Books'!$F$5:$F$24,"&lt;&gt;Published",'My Books'!$F$5:$F$24,"&lt;&gt;"))</f>
        <v>1</v>
      </c>
      <c r="F8" s="52">
        <f>IF(A8="","",SUMIFS('My Books'!$H$5:$H$24,'My Books'!$E$5:$E$24,A8))</f>
        <v>0</v>
      </c>
      <c r="G8" s="53" t="s">
        <v>121</v>
      </c>
      <c r="H8" s="51" t="str">
        <f t="shared" si="0"/>
        <v>✓ 1 of 8 cataloged (7 future)</v>
      </c>
      <c r="I8" s="54">
        <f>IF(A8="","",IFERROR(SUMIFS('My Books'!$Q$5:$Q$24,'My Books'!$E$5:$E$24,A8)/SUMIFS('My Books'!$G$5:$G$24,'My Books'!$E$5:$E$24,A8),0))</f>
        <v>0</v>
      </c>
    </row>
    <row r="9" spans="1:9" ht="19.5" customHeight="1" x14ac:dyDescent="0.3">
      <c r="A9" s="6" t="s">
        <v>122</v>
      </c>
      <c r="B9" s="8" t="s">
        <v>52</v>
      </c>
      <c r="C9" s="9">
        <v>3</v>
      </c>
      <c r="D9" s="9">
        <f>IF(A9="","",COUNTIFS('My Books'!$E$5:$E$24,A9,'My Books'!$F$5:$F$24,"Published"))</f>
        <v>0</v>
      </c>
      <c r="E9" s="9">
        <f>IF(A9="","",COUNTIFS('My Books'!$E$5:$E$24,A9,'My Books'!$F$5:$F$24,"&lt;&gt;Published",'My Books'!$F$5:$F$24,"&lt;&gt;"))</f>
        <v>1</v>
      </c>
      <c r="F9" s="9">
        <f>IF(A9="","",SUMIFS('My Books'!$H$5:$H$24,'My Books'!$E$5:$E$24,A9))</f>
        <v>7450</v>
      </c>
      <c r="G9" s="7" t="s">
        <v>123</v>
      </c>
      <c r="H9" s="8" t="str">
        <f t="shared" si="0"/>
        <v>✓ 1 of 3 cataloged (2 future)</v>
      </c>
      <c r="I9" s="10">
        <f>IF(A9="","",IFERROR(SUMIFS('My Books'!$Q$5:$Q$24,'My Books'!$E$5:$E$24,A9)/SUMIFS('My Books'!$G$5:$G$24,'My Books'!$E$5:$E$24,A9),0))</f>
        <v>4.7500000000000001E-2</v>
      </c>
    </row>
    <row r="10" spans="1:9" ht="19.5" customHeight="1" x14ac:dyDescent="0.3">
      <c r="A10" s="50" t="s">
        <v>124</v>
      </c>
      <c r="B10" s="51" t="s">
        <v>52</v>
      </c>
      <c r="C10" s="52">
        <v>3</v>
      </c>
      <c r="D10" s="52">
        <f>IF(A10="","",COUNTIFS('My Books'!$E$5:$E$24,A10,'My Books'!$F$5:$F$24,"Published"))</f>
        <v>0</v>
      </c>
      <c r="E10" s="52">
        <f>IF(A10="","",COUNTIFS('My Books'!$E$5:$E$24,A10,'My Books'!$F$5:$F$24,"&lt;&gt;Published",'My Books'!$F$5:$F$24,"&lt;&gt;"))</f>
        <v>0</v>
      </c>
      <c r="F10" s="52">
        <f>IF(A10="","",SUMIFS('My Books'!$H$5:$H$24,'My Books'!$E$5:$E$24,A10))</f>
        <v>0</v>
      </c>
      <c r="G10" s="53" t="s">
        <v>125</v>
      </c>
      <c r="H10" s="51" t="str">
        <f t="shared" si="0"/>
        <v>✓ 0 of 3 cataloged (3 future)</v>
      </c>
      <c r="I10" s="54">
        <f>IF(A10="","",IFERROR(SUMIFS('My Books'!$Q$5:$Q$24,'My Books'!$E$5:$E$24,A10)/SUMIFS('My Books'!$G$5:$G$24,'My Books'!$E$5:$E$24,A10),0))</f>
        <v>0</v>
      </c>
    </row>
    <row r="11" spans="1:9" ht="19.5" customHeight="1" x14ac:dyDescent="0.3">
      <c r="A11" s="6"/>
      <c r="B11" s="8" t="str">
        <f>IF($A11="","",Config!$G$5)</f>
        <v/>
      </c>
      <c r="C11" s="9"/>
      <c r="D11" s="9" t="str">
        <f>IF($A11="","",COUNTIFS('My Books'!$E$5:$E$24,$A11,'My Books'!$F$5:$F$24,"Published"))</f>
        <v/>
      </c>
      <c r="E11" s="9" t="str">
        <f>IF($A11="","",COUNTIFS('My Books'!$E$5:$E$24,$A11,'My Books'!$F$5:$F$24,"&lt;&gt;Published",'My Books'!$B$5:$B$24,"&lt;&gt;"))</f>
        <v/>
      </c>
      <c r="F11" s="9" t="str">
        <f>IF($A11="","",SUMIF('My Books'!$E$5:$E$24,$A11,'My Books'!$H$5:$H$24))</f>
        <v/>
      </c>
      <c r="G11" s="7"/>
      <c r="H11" s="8" t="str">
        <f>IF($A11="","",IF(OR($C11="",$C11&lt;=0),"⚠ Set planned count",IF(COUNTIF('My Books'!$E$5:$E$24,$A11)=0,"⚠ No books cataloged",IF(COUNTIF('My Books'!$E$5:$E$24,$A11)=$C11,"✓ All "&amp;$C11&amp;" planned books cataloged",IF(COUNTIF('My Books'!$E$5:$E$24,$A11)&lt;$C11,"✓ "&amp;COUNTIF('My Books'!$E$5:$E$24,$A11)&amp;" of "&amp;$C11&amp;" cataloged ("&amp;($C11-COUNTIF('My Books'!$E$5:$E$24,$A11))&amp;" future)","⚠ More cataloged than planned")))))</f>
        <v/>
      </c>
      <c r="I11" s="10" t="str">
        <f>IF($A11="","",IF(SUMIF('My Books'!$E$5:$E$24,$A11,'My Books'!$G$5:$G$24)&gt;0,SUMIF('My Books'!$E$5:$E$24,$A11,'My Books'!$Q$5:$Q$24)/SUMIF('My Books'!$E$5:$E$24,$A11,'My Books'!$G$5:$G$24),0))</f>
        <v/>
      </c>
    </row>
    <row r="12" spans="1:9" ht="19.5" customHeight="1" x14ac:dyDescent="0.3">
      <c r="A12" s="50"/>
      <c r="B12" s="51" t="str">
        <f>IF($A12="","",Config!$G$5)</f>
        <v/>
      </c>
      <c r="C12" s="52"/>
      <c r="D12" s="52" t="str">
        <f>IF($A12="","",COUNTIFS('My Books'!$E$5:$E$24,$A12,'My Books'!$F$5:$F$24,"Published"))</f>
        <v/>
      </c>
      <c r="E12" s="52" t="str">
        <f>IF($A12="","",COUNTIFS('My Books'!$E$5:$E$24,$A12,'My Books'!$F$5:$F$24,"&lt;&gt;Published",'My Books'!$B$5:$B$24,"&lt;&gt;"))</f>
        <v/>
      </c>
      <c r="F12" s="52" t="str">
        <f>IF($A12="","",SUMIF('My Books'!$E$5:$E$24,$A12,'My Books'!$H$5:$H$24))</f>
        <v/>
      </c>
      <c r="G12" s="53"/>
      <c r="H12" s="51" t="str">
        <f>IF($A12="","",IF(OR($C12="",$C12&lt;=0),"⚠ Set planned count",IF(COUNTIF('My Books'!$E$5:$E$24,$A12)=0,"⚠ No books cataloged",IF(COUNTIF('My Books'!$E$5:$E$24,$A12)=$C12,"✓ All "&amp;$C12&amp;" planned books cataloged",IF(COUNTIF('My Books'!$E$5:$E$24,$A12)&lt;$C12,"✓ "&amp;COUNTIF('My Books'!$E$5:$E$24,$A12)&amp;" of "&amp;$C12&amp;" cataloged ("&amp;($C12-COUNTIF('My Books'!$E$5:$E$24,$A12))&amp;" future)","⚠ More cataloged than planned")))))</f>
        <v/>
      </c>
      <c r="I12" s="54" t="str">
        <f>IF($A12="","",IF(SUMIF('My Books'!$E$5:$E$24,$A12,'My Books'!$G$5:$G$24)&gt;0,SUMIF('My Books'!$E$5:$E$24,$A12,'My Books'!$Q$5:$Q$24)/SUMIF('My Books'!$E$5:$E$24,$A12,'My Books'!$G$5:$G$24),0))</f>
        <v/>
      </c>
    </row>
    <row r="13" spans="1:9" ht="19.5" customHeight="1" x14ac:dyDescent="0.3">
      <c r="A13" s="6"/>
      <c r="B13" s="8" t="str">
        <f>IF($A13="","",Config!$G$5)</f>
        <v/>
      </c>
      <c r="C13" s="9"/>
      <c r="D13" s="9" t="str">
        <f>IF($A13="","",COUNTIFS('My Books'!$E$5:$E$24,$A13,'My Books'!$F$5:$F$24,"Published"))</f>
        <v/>
      </c>
      <c r="E13" s="9" t="str">
        <f>IF($A13="","",COUNTIFS('My Books'!$E$5:$E$24,$A13,'My Books'!$F$5:$F$24,"&lt;&gt;Published",'My Books'!$B$5:$B$24,"&lt;&gt;"))</f>
        <v/>
      </c>
      <c r="F13" s="9" t="str">
        <f>IF($A13="","",SUMIF('My Books'!$E$5:$E$24,$A13,'My Books'!$H$5:$H$24))</f>
        <v/>
      </c>
      <c r="G13" s="7"/>
      <c r="H13" s="8" t="str">
        <f>IF($A13="","",IF(OR($C13="",$C13&lt;=0),"⚠ Set planned count",IF(COUNTIF('My Books'!$E$5:$E$24,$A13)=0,"⚠ No books cataloged",IF(COUNTIF('My Books'!$E$5:$E$24,$A13)=$C13,"✓ All "&amp;$C13&amp;" planned books cataloged",IF(COUNTIF('My Books'!$E$5:$E$24,$A13)&lt;$C13,"✓ "&amp;COUNTIF('My Books'!$E$5:$E$24,$A13)&amp;" of "&amp;$C13&amp;" cataloged ("&amp;($C13-COUNTIF('My Books'!$E$5:$E$24,$A13))&amp;" future)","⚠ More cataloged than planned")))))</f>
        <v/>
      </c>
      <c r="I13" s="10" t="str">
        <f>IF($A13="","",IF(SUMIF('My Books'!$E$5:$E$24,$A13,'My Books'!$G$5:$G$24)&gt;0,SUMIF('My Books'!$E$5:$E$24,$A13,'My Books'!$Q$5:$Q$24)/SUMIF('My Books'!$E$5:$E$24,$A13,'My Books'!$G$5:$G$24),0))</f>
        <v/>
      </c>
    </row>
    <row r="14" spans="1:9" ht="19.5" customHeight="1" x14ac:dyDescent="0.3">
      <c r="A14" s="50"/>
      <c r="B14" s="51" t="str">
        <f>IF($A14="","",Config!$G$5)</f>
        <v/>
      </c>
      <c r="C14" s="52"/>
      <c r="D14" s="52" t="str">
        <f>IF($A14="","",COUNTIFS('My Books'!$E$5:$E$24,$A14,'My Books'!$F$5:$F$24,"Published"))</f>
        <v/>
      </c>
      <c r="E14" s="52" t="str">
        <f>IF($A14="","",COUNTIFS('My Books'!$E$5:$E$24,$A14,'My Books'!$F$5:$F$24,"&lt;&gt;Published",'My Books'!$B$5:$B$24,"&lt;&gt;"))</f>
        <v/>
      </c>
      <c r="F14" s="52" t="str">
        <f>IF($A14="","",SUMIF('My Books'!$E$5:$E$24,$A14,'My Books'!$H$5:$H$24))</f>
        <v/>
      </c>
      <c r="G14" s="53"/>
      <c r="H14" s="51" t="str">
        <f>IF($A14="","",IF(OR($C14="",$C14&lt;=0),"⚠ Set planned count",IF(COUNTIF('My Books'!$E$5:$E$24,$A14)=0,"⚠ No books cataloged",IF(COUNTIF('My Books'!$E$5:$E$24,$A14)=$C14,"✓ All "&amp;$C14&amp;" planned books cataloged",IF(COUNTIF('My Books'!$E$5:$E$24,$A14)&lt;$C14,"✓ "&amp;COUNTIF('My Books'!$E$5:$E$24,$A14)&amp;" of "&amp;$C14&amp;" cataloged ("&amp;($C14-COUNTIF('My Books'!$E$5:$E$24,$A14))&amp;" future)","⚠ More cataloged than planned")))))</f>
        <v/>
      </c>
      <c r="I14" s="54" t="str">
        <f>IF($A14="","",IF(SUMIF('My Books'!$E$5:$E$24,$A14,'My Books'!$G$5:$G$24)&gt;0,SUMIF('My Books'!$E$5:$E$24,$A14,'My Books'!$Q$5:$Q$24)/SUMIF('My Books'!$E$5:$E$24,$A14,'My Books'!$G$5:$G$24),0))</f>
        <v/>
      </c>
    </row>
    <row r="15" spans="1:9" ht="19.5" customHeight="1" x14ac:dyDescent="0.3">
      <c r="A15" s="6"/>
      <c r="B15" s="8" t="str">
        <f>IF($A15="","",Config!$G$5)</f>
        <v/>
      </c>
      <c r="C15" s="9"/>
      <c r="D15" s="9" t="str">
        <f>IF($A15="","",COUNTIFS('My Books'!$E$5:$E$24,$A15,'My Books'!$F$5:$F$24,"Published"))</f>
        <v/>
      </c>
      <c r="E15" s="9" t="str">
        <f>IF($A15="","",COUNTIFS('My Books'!$E$5:$E$24,$A15,'My Books'!$F$5:$F$24,"&lt;&gt;Published",'My Books'!$B$5:$B$24,"&lt;&gt;"))</f>
        <v/>
      </c>
      <c r="F15" s="9" t="str">
        <f>IF($A15="","",SUMIF('My Books'!$E$5:$E$24,$A15,'My Books'!$H$5:$H$24))</f>
        <v/>
      </c>
      <c r="G15" s="7"/>
      <c r="H15" s="8" t="str">
        <f>IF($A15="","",IF(OR($C15="",$C15&lt;=0),"⚠ Set planned count",IF(COUNTIF('My Books'!$E$5:$E$24,$A15)=0,"⚠ No books cataloged",IF(COUNTIF('My Books'!$E$5:$E$24,$A15)=$C15,"✓ All "&amp;$C15&amp;" planned books cataloged",IF(COUNTIF('My Books'!$E$5:$E$24,$A15)&lt;$C15,"✓ "&amp;COUNTIF('My Books'!$E$5:$E$24,$A15)&amp;" of "&amp;$C15&amp;" cataloged ("&amp;($C15-COUNTIF('My Books'!$E$5:$E$24,$A15))&amp;" future)","⚠ More cataloged than planned")))))</f>
        <v/>
      </c>
      <c r="I15" s="10" t="str">
        <f>IF($A15="","",IF(SUMIF('My Books'!$E$5:$E$24,$A15,'My Books'!$G$5:$G$24)&gt;0,SUMIF('My Books'!$E$5:$E$24,$A15,'My Books'!$Q$5:$Q$24)/SUMIF('My Books'!$E$5:$E$24,$A15,'My Books'!$G$5:$G$24),0))</f>
        <v/>
      </c>
    </row>
    <row r="16" spans="1:9" ht="19.5" customHeight="1" x14ac:dyDescent="0.3">
      <c r="A16" s="50"/>
      <c r="B16" s="51" t="str">
        <f>IF($A16="","",Config!$G$5)</f>
        <v/>
      </c>
      <c r="C16" s="52"/>
      <c r="D16" s="52" t="str">
        <f>IF($A16="","",COUNTIFS('My Books'!$E$5:$E$24,$A16,'My Books'!$F$5:$F$24,"Published"))</f>
        <v/>
      </c>
      <c r="E16" s="52" t="str">
        <f>IF($A16="","",COUNTIFS('My Books'!$E$5:$E$24,$A16,'My Books'!$F$5:$F$24,"&lt;&gt;Published",'My Books'!$B$5:$B$24,"&lt;&gt;"))</f>
        <v/>
      </c>
      <c r="F16" s="52" t="str">
        <f>IF($A16="","",SUMIF('My Books'!$E$5:$E$24,$A16,'My Books'!$H$5:$H$24))</f>
        <v/>
      </c>
      <c r="G16" s="53"/>
      <c r="H16" s="51" t="str">
        <f>IF($A16="","",IF(OR($C16="",$C16&lt;=0),"⚠ Set planned count",IF(COUNTIF('My Books'!$E$5:$E$24,$A16)=0,"⚠ No books cataloged",IF(COUNTIF('My Books'!$E$5:$E$24,$A16)=$C16,"✓ All "&amp;$C16&amp;" planned books cataloged",IF(COUNTIF('My Books'!$E$5:$E$24,$A16)&lt;$C16,"✓ "&amp;COUNTIF('My Books'!$E$5:$E$24,$A16)&amp;" of "&amp;$C16&amp;" cataloged ("&amp;($C16-COUNTIF('My Books'!$E$5:$E$24,$A16))&amp;" future)","⚠ More cataloged than planned")))))</f>
        <v/>
      </c>
      <c r="I16" s="54" t="str">
        <f>IF($A16="","",IF(SUMIF('My Books'!$E$5:$E$24,$A16,'My Books'!$G$5:$G$24)&gt;0,SUMIF('My Books'!$E$5:$E$24,$A16,'My Books'!$Q$5:$Q$24)/SUMIF('My Books'!$E$5:$E$24,$A16,'My Books'!$G$5:$G$24),0))</f>
        <v/>
      </c>
    </row>
    <row r="17" spans="1:9" ht="19.5" customHeight="1" x14ac:dyDescent="0.3">
      <c r="A17" s="6"/>
      <c r="B17" s="8" t="str">
        <f>IF($A17="","",Config!$G$5)</f>
        <v/>
      </c>
      <c r="C17" s="9"/>
      <c r="D17" s="9" t="str">
        <f>IF($A17="","",COUNTIFS('My Books'!$E$5:$E$24,$A17,'My Books'!$F$5:$F$24,"Published"))</f>
        <v/>
      </c>
      <c r="E17" s="9" t="str">
        <f>IF($A17="","",COUNTIFS('My Books'!$E$5:$E$24,$A17,'My Books'!$F$5:$F$24,"&lt;&gt;Published",'My Books'!$B$5:$B$24,"&lt;&gt;"))</f>
        <v/>
      </c>
      <c r="F17" s="9" t="str">
        <f>IF($A17="","",SUMIF('My Books'!$E$5:$E$24,$A17,'My Books'!$H$5:$H$24))</f>
        <v/>
      </c>
      <c r="G17" s="7"/>
      <c r="H17" s="8" t="str">
        <f>IF($A17="","",IF(OR($C17="",$C17&lt;=0),"⚠ Set planned count",IF(COUNTIF('My Books'!$E$5:$E$24,$A17)=0,"⚠ No books cataloged",IF(COUNTIF('My Books'!$E$5:$E$24,$A17)=$C17,"✓ All "&amp;$C17&amp;" planned books cataloged",IF(COUNTIF('My Books'!$E$5:$E$24,$A17)&lt;$C17,"✓ "&amp;COUNTIF('My Books'!$E$5:$E$24,$A17)&amp;" of "&amp;$C17&amp;" cataloged ("&amp;($C17-COUNTIF('My Books'!$E$5:$E$24,$A17))&amp;" future)","⚠ More cataloged than planned")))))</f>
        <v/>
      </c>
      <c r="I17" s="10" t="str">
        <f>IF($A17="","",IF(SUMIF('My Books'!$E$5:$E$24,$A17,'My Books'!$G$5:$G$24)&gt;0,SUMIF('My Books'!$E$5:$E$24,$A17,'My Books'!$Q$5:$Q$24)/SUMIF('My Books'!$E$5:$E$24,$A17,'My Books'!$G$5:$G$24),0))</f>
        <v/>
      </c>
    </row>
    <row r="18" spans="1:9" ht="19.5" customHeight="1" x14ac:dyDescent="0.3">
      <c r="A18" s="50"/>
      <c r="B18" s="51" t="str">
        <f>IF($A18="","",Config!$G$5)</f>
        <v/>
      </c>
      <c r="C18" s="52"/>
      <c r="D18" s="52" t="str">
        <f>IF($A18="","",COUNTIFS('My Books'!$E$5:$E$24,$A18,'My Books'!$F$5:$F$24,"Published"))</f>
        <v/>
      </c>
      <c r="E18" s="52" t="str">
        <f>IF($A18="","",COUNTIFS('My Books'!$E$5:$E$24,$A18,'My Books'!$F$5:$F$24,"&lt;&gt;Published",'My Books'!$B$5:$B$24,"&lt;&gt;"))</f>
        <v/>
      </c>
      <c r="F18" s="52" t="str">
        <f>IF($A18="","",SUMIF('My Books'!$E$5:$E$24,$A18,'My Books'!$H$5:$H$24))</f>
        <v/>
      </c>
      <c r="G18" s="53"/>
      <c r="H18" s="51" t="str">
        <f>IF($A18="","",IF(OR($C18="",$C18&lt;=0),"⚠ Set planned count",IF(COUNTIF('My Books'!$E$5:$E$24,$A18)=0,"⚠ No books cataloged",IF(COUNTIF('My Books'!$E$5:$E$24,$A18)=$C18,"✓ All "&amp;$C18&amp;" planned books cataloged",IF(COUNTIF('My Books'!$E$5:$E$24,$A18)&lt;$C18,"✓ "&amp;COUNTIF('My Books'!$E$5:$E$24,$A18)&amp;" of "&amp;$C18&amp;" cataloged ("&amp;($C18-COUNTIF('My Books'!$E$5:$E$24,$A18))&amp;" future)","⚠ More cataloged than planned")))))</f>
        <v/>
      </c>
      <c r="I18" s="54" t="str">
        <f>IF($A18="","",IF(SUMIF('My Books'!$E$5:$E$24,$A18,'My Books'!$G$5:$G$24)&gt;0,SUMIF('My Books'!$E$5:$E$24,$A18,'My Books'!$Q$5:$Q$24)/SUMIF('My Books'!$E$5:$E$24,$A18,'My Books'!$G$5:$G$24),0))</f>
        <v/>
      </c>
    </row>
    <row r="19" spans="1:9" ht="19.5" customHeight="1" x14ac:dyDescent="0.3">
      <c r="A19" s="6"/>
      <c r="B19" s="8" t="str">
        <f>IF($A19="","",Config!$G$5)</f>
        <v/>
      </c>
      <c r="C19" s="9"/>
      <c r="D19" s="9" t="str">
        <f>IF($A19="","",COUNTIFS('My Books'!$E$5:$E$24,$A19,'My Books'!$F$5:$F$24,"Published"))</f>
        <v/>
      </c>
      <c r="E19" s="9" t="str">
        <f>IF($A19="","",COUNTIFS('My Books'!$E$5:$E$24,$A19,'My Books'!$F$5:$F$24,"&lt;&gt;Published",'My Books'!$B$5:$B$24,"&lt;&gt;"))</f>
        <v/>
      </c>
      <c r="F19" s="9" t="str">
        <f>IF($A19="","",SUMIF('My Books'!$E$5:$E$24,$A19,'My Books'!$H$5:$H$24))</f>
        <v/>
      </c>
      <c r="G19" s="7"/>
      <c r="H19" s="8" t="str">
        <f>IF($A19="","",IF(OR($C19="",$C19&lt;=0),"⚠ Set planned count",IF(COUNTIF('My Books'!$E$5:$E$24,$A19)=0,"⚠ No books cataloged",IF(COUNTIF('My Books'!$E$5:$E$24,$A19)=$C19,"✓ All "&amp;$C19&amp;" planned books cataloged",IF(COUNTIF('My Books'!$E$5:$E$24,$A19)&lt;$C19,"✓ "&amp;COUNTIF('My Books'!$E$5:$E$24,$A19)&amp;" of "&amp;$C19&amp;" cataloged ("&amp;($C19-COUNTIF('My Books'!$E$5:$E$24,$A19))&amp;" future)","⚠ More cataloged than planned")))))</f>
        <v/>
      </c>
      <c r="I19" s="10" t="str">
        <f>IF($A19="","",IF(SUMIF('My Books'!$E$5:$E$24,$A19,'My Books'!$G$5:$G$24)&gt;0,SUMIF('My Books'!$E$5:$E$24,$A19,'My Books'!$Q$5:$Q$24)/SUMIF('My Books'!$E$5:$E$24,$A19,'My Books'!$G$5:$G$24),0))</f>
        <v/>
      </c>
    </row>
    <row r="20" spans="1:9" ht="19.5" customHeight="1" x14ac:dyDescent="0.3">
      <c r="A20" s="50"/>
      <c r="B20" s="51" t="str">
        <f>IF($A20="","",Config!$G$5)</f>
        <v/>
      </c>
      <c r="C20" s="52"/>
      <c r="D20" s="52" t="str">
        <f>IF($A20="","",COUNTIFS('My Books'!$E$5:$E$24,$A20,'My Books'!$F$5:$F$24,"Published"))</f>
        <v/>
      </c>
      <c r="E20" s="52" t="str">
        <f>IF($A20="","",COUNTIFS('My Books'!$E$5:$E$24,$A20,'My Books'!$F$5:$F$24,"&lt;&gt;Published",'My Books'!$B$5:$B$24,"&lt;&gt;"))</f>
        <v/>
      </c>
      <c r="F20" s="52" t="str">
        <f>IF($A20="","",SUMIF('My Books'!$E$5:$E$24,$A20,'My Books'!$H$5:$H$24))</f>
        <v/>
      </c>
      <c r="G20" s="53"/>
      <c r="H20" s="51" t="str">
        <f>IF($A20="","",IF(OR($C20="",$C20&lt;=0),"⚠ Set planned count",IF(COUNTIF('My Books'!$E$5:$E$24,$A20)=0,"⚠ No books cataloged",IF(COUNTIF('My Books'!$E$5:$E$24,$A20)=$C20,"✓ All "&amp;$C20&amp;" planned books cataloged",IF(COUNTIF('My Books'!$E$5:$E$24,$A20)&lt;$C20,"✓ "&amp;COUNTIF('My Books'!$E$5:$E$24,$A20)&amp;" of "&amp;$C20&amp;" cataloged ("&amp;($C20-COUNTIF('My Books'!$E$5:$E$24,$A20))&amp;" future)","⚠ More cataloged than planned")))))</f>
        <v/>
      </c>
      <c r="I20" s="54" t="str">
        <f>IF($A20="","",IF(SUMIF('My Books'!$E$5:$E$24,$A20,'My Books'!$G$5:$G$24)&gt;0,SUMIF('My Books'!$E$5:$E$24,$A20,'My Books'!$Q$5:$Q$24)/SUMIF('My Books'!$E$5:$E$24,$A20,'My Books'!$G$5:$G$24),0))</f>
        <v/>
      </c>
    </row>
    <row r="21" spans="1:9" ht="19.5" customHeight="1" x14ac:dyDescent="0.3">
      <c r="A21" s="6"/>
      <c r="B21" s="8" t="str">
        <f>IF($A21="","",Config!$G$5)</f>
        <v/>
      </c>
      <c r="C21" s="9"/>
      <c r="D21" s="9" t="str">
        <f>IF($A21="","",COUNTIFS('My Books'!$E$5:$E$24,$A21,'My Books'!$F$5:$F$24,"Published"))</f>
        <v/>
      </c>
      <c r="E21" s="9" t="str">
        <f>IF($A21="","",COUNTIFS('My Books'!$E$5:$E$24,$A21,'My Books'!$F$5:$F$24,"&lt;&gt;Published",'My Books'!$B$5:$B$24,"&lt;&gt;"))</f>
        <v/>
      </c>
      <c r="F21" s="9" t="str">
        <f>IF($A21="","",SUMIF('My Books'!$E$5:$E$24,$A21,'My Books'!$H$5:$H$24))</f>
        <v/>
      </c>
      <c r="G21" s="7"/>
      <c r="H21" s="8" t="str">
        <f>IF($A21="","",IF(OR($C21="",$C21&lt;=0),"⚠ Set planned count",IF(COUNTIF('My Books'!$E$5:$E$24,$A21)=0,"⚠ No books cataloged",IF(COUNTIF('My Books'!$E$5:$E$24,$A21)=$C21,"✓ All "&amp;$C21&amp;" planned books cataloged",IF(COUNTIF('My Books'!$E$5:$E$24,$A21)&lt;$C21,"✓ "&amp;COUNTIF('My Books'!$E$5:$E$24,$A21)&amp;" of "&amp;$C21&amp;" cataloged ("&amp;($C21-COUNTIF('My Books'!$E$5:$E$24,$A21))&amp;" future)","⚠ More cataloged than planned")))))</f>
        <v/>
      </c>
      <c r="I21" s="10" t="str">
        <f>IF($A21="","",IF(SUMIF('My Books'!$E$5:$E$24,$A21,'My Books'!$G$5:$G$24)&gt;0,SUMIF('My Books'!$E$5:$E$24,$A21,'My Books'!$Q$5:$Q$24)/SUMIF('My Books'!$E$5:$E$24,$A21,'My Books'!$G$5:$G$24),0))</f>
        <v/>
      </c>
    </row>
    <row r="22" spans="1:9" ht="19.5" customHeight="1" x14ac:dyDescent="0.3">
      <c r="A22" s="50"/>
      <c r="B22" s="51" t="str">
        <f>IF($A22="","",Config!$G$5)</f>
        <v/>
      </c>
      <c r="C22" s="52"/>
      <c r="D22" s="52" t="str">
        <f>IF($A22="","",COUNTIFS('My Books'!$E$5:$E$24,$A22,'My Books'!$F$5:$F$24,"Published"))</f>
        <v/>
      </c>
      <c r="E22" s="52" t="str">
        <f>IF($A22="","",COUNTIFS('My Books'!$E$5:$E$24,$A22,'My Books'!$F$5:$F$24,"&lt;&gt;Published",'My Books'!$B$5:$B$24,"&lt;&gt;"))</f>
        <v/>
      </c>
      <c r="F22" s="52" t="str">
        <f>IF($A22="","",SUMIF('My Books'!$E$5:$E$24,$A22,'My Books'!$H$5:$H$24))</f>
        <v/>
      </c>
      <c r="G22" s="53"/>
      <c r="H22" s="51" t="str">
        <f>IF($A22="","",IF(OR($C22="",$C22&lt;=0),"⚠ Set planned count",IF(COUNTIF('My Books'!$E$5:$E$24,$A22)=0,"⚠ No books cataloged",IF(COUNTIF('My Books'!$E$5:$E$24,$A22)=$C22,"✓ All "&amp;$C22&amp;" planned books cataloged",IF(COUNTIF('My Books'!$E$5:$E$24,$A22)&lt;$C22,"✓ "&amp;COUNTIF('My Books'!$E$5:$E$24,$A22)&amp;" of "&amp;$C22&amp;" cataloged ("&amp;($C22-COUNTIF('My Books'!$E$5:$E$24,$A22))&amp;" future)","⚠ More cataloged than planned")))))</f>
        <v/>
      </c>
      <c r="I22" s="54" t="str">
        <f>IF($A22="","",IF(SUMIF('My Books'!$E$5:$E$24,$A22,'My Books'!$G$5:$G$24)&gt;0,SUMIF('My Books'!$E$5:$E$24,$A22,'My Books'!$Q$5:$Q$24)/SUMIF('My Books'!$E$5:$E$24,$A22,'My Books'!$G$5:$G$24),0))</f>
        <v/>
      </c>
    </row>
    <row r="23" spans="1:9" ht="19.5" customHeight="1" x14ac:dyDescent="0.3">
      <c r="A23" s="6"/>
      <c r="B23" s="8" t="str">
        <f>IF($A23="","",Config!$G$5)</f>
        <v/>
      </c>
      <c r="C23" s="9"/>
      <c r="D23" s="9" t="str">
        <f>IF($A23="","",COUNTIFS('My Books'!$E$5:$E$24,$A23,'My Books'!$F$5:$F$24,"Published"))</f>
        <v/>
      </c>
      <c r="E23" s="9" t="str">
        <f>IF($A23="","",COUNTIFS('My Books'!$E$5:$E$24,$A23,'My Books'!$F$5:$F$24,"&lt;&gt;Published",'My Books'!$B$5:$B$24,"&lt;&gt;"))</f>
        <v/>
      </c>
      <c r="F23" s="9" t="str">
        <f>IF($A23="","",SUMIF('My Books'!$E$5:$E$24,$A23,'My Books'!$H$5:$H$24))</f>
        <v/>
      </c>
      <c r="G23" s="7"/>
      <c r="H23" s="8" t="str">
        <f>IF($A23="","",IF(OR($C23="",$C23&lt;=0),"⚠ Set planned count",IF(COUNTIF('My Books'!$E$5:$E$24,$A23)=0,"⚠ No books cataloged",IF(COUNTIF('My Books'!$E$5:$E$24,$A23)=$C23,"✓ All "&amp;$C23&amp;" planned books cataloged",IF(COUNTIF('My Books'!$E$5:$E$24,$A23)&lt;$C23,"✓ "&amp;COUNTIF('My Books'!$E$5:$E$24,$A23)&amp;" of "&amp;$C23&amp;" cataloged ("&amp;($C23-COUNTIF('My Books'!$E$5:$E$24,$A23))&amp;" future)","⚠ More cataloged than planned")))))</f>
        <v/>
      </c>
      <c r="I23" s="10" t="str">
        <f>IF($A23="","",IF(SUMIF('My Books'!$E$5:$E$24,$A23,'My Books'!$G$5:$G$24)&gt;0,SUMIF('My Books'!$E$5:$E$24,$A23,'My Books'!$Q$5:$Q$24)/SUMIF('My Books'!$E$5:$E$24,$A23,'My Books'!$G$5:$G$24),0))</f>
        <v/>
      </c>
    </row>
    <row r="24" spans="1:9" ht="19.5" customHeight="1" x14ac:dyDescent="0.3">
      <c r="A24" s="50"/>
      <c r="B24" s="51" t="str">
        <f>IF($A24="","",Config!$G$5)</f>
        <v/>
      </c>
      <c r="C24" s="52"/>
      <c r="D24" s="52" t="str">
        <f>IF($A24="","",COUNTIFS('My Books'!$E$5:$E$24,$A24,'My Books'!$F$5:$F$24,"Published"))</f>
        <v/>
      </c>
      <c r="E24" s="52" t="str">
        <f>IF($A24="","",COUNTIFS('My Books'!$E$5:$E$24,$A24,'My Books'!$F$5:$F$24,"&lt;&gt;Published",'My Books'!$B$5:$B$24,"&lt;&gt;"))</f>
        <v/>
      </c>
      <c r="F24" s="52" t="str">
        <f>IF($A24="","",SUMIF('My Books'!$E$5:$E$24,$A24,'My Books'!$H$5:$H$24))</f>
        <v/>
      </c>
      <c r="G24" s="53"/>
      <c r="H24" s="51" t="str">
        <f>IF($A24="","",IF(OR($C24="",$C24&lt;=0),"⚠ Set planned count",IF(COUNTIF('My Books'!$E$5:$E$24,$A24)=0,"⚠ No books cataloged",IF(COUNTIF('My Books'!$E$5:$E$24,$A24)=$C24,"✓ All "&amp;$C24&amp;" planned books cataloged",IF(COUNTIF('My Books'!$E$5:$E$24,$A24)&lt;$C24,"✓ "&amp;COUNTIF('My Books'!$E$5:$E$24,$A24)&amp;" of "&amp;$C24&amp;" cataloged ("&amp;($C24-COUNTIF('My Books'!$E$5:$E$24,$A24))&amp;" future)","⚠ More cataloged than planned")))))</f>
        <v/>
      </c>
      <c r="I24" s="54" t="str">
        <f>IF($A24="","",IF(SUMIF('My Books'!$E$5:$E$24,$A24,'My Books'!$G$5:$G$24)&gt;0,SUMIF('My Books'!$E$5:$E$24,$A24,'My Books'!$Q$5:$Q$24)/SUMIF('My Books'!$E$5:$E$24,$A24,'My Books'!$G$5:$G$24),0))</f>
        <v/>
      </c>
    </row>
    <row r="25" spans="1:9" ht="21.75" customHeight="1" x14ac:dyDescent="0.3">
      <c r="A25" s="55" t="s">
        <v>126</v>
      </c>
      <c r="B25" s="56"/>
      <c r="C25" s="57">
        <f>SUM(C5:C24)</f>
        <v>24</v>
      </c>
      <c r="D25" s="57">
        <f>SUM(D5:D24)</f>
        <v>0</v>
      </c>
      <c r="E25" s="57">
        <f>SUM(E5:E24)</f>
        <v>6</v>
      </c>
      <c r="F25" s="57">
        <f>SUM(F5:F24)</f>
        <v>7450</v>
      </c>
      <c r="G25" s="55"/>
      <c r="H25" s="56" t="str">
        <f>IF(COUNTIF(H5:H24,"⚠*")=0,"✓ All Series Aligned ("&amp;E25&amp;" of "&amp;C25&amp;" Cataloged)","⚠ Check Mismatches")</f>
        <v>✓ All Series Aligned (6 of 24 Cataloged)</v>
      </c>
      <c r="I25" s="58">
        <f>IF(COUNT(I5:I24)&gt;0,AVERAGE(I5:I24),0)</f>
        <v>7.9166666666666673E-3</v>
      </c>
    </row>
    <row r="26" spans="1:9" ht="14.25" customHeight="1" x14ac:dyDescent="0.3"/>
    <row r="27" spans="1:9" ht="21.75" customHeight="1" x14ac:dyDescent="0.3">
      <c r="A27" s="163" t="s">
        <v>127</v>
      </c>
      <c r="B27" s="155"/>
      <c r="C27" s="155"/>
      <c r="D27" s="155"/>
      <c r="E27" s="155"/>
      <c r="F27" s="155"/>
      <c r="G27" s="155"/>
      <c r="H27" s="155"/>
      <c r="I27" s="155"/>
    </row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I1"/>
    <mergeCell ref="A27:I27"/>
    <mergeCell ref="A2:I2"/>
  </mergeCells>
  <conditionalFormatting sqref="H5:H25">
    <cfRule type="expression" dxfId="5" priority="2">
      <formula>LEFT(H5,1)="✓"</formula>
    </cfRule>
    <cfRule type="expression" dxfId="4" priority="3">
      <formula>LEFT(H5,1)="⚠"</formula>
    </cfRule>
  </conditionalFormatting>
  <conditionalFormatting sqref="I5:I24">
    <cfRule type="dataBar" priority="4">
      <dataBar>
        <cfvo type="num" val="0"/>
        <cfvo type="num" val="1"/>
        <color rgb="FF7C3AED"/>
      </dataBar>
    </cfRule>
  </conditionalFormatting>
  <dataValidations count="2">
    <dataValidation type="list" allowBlank="1" sqref="B5:B24" xr:uid="{00000000-0002-0000-0200-000000000000}">
      <formula1>lst_Universes</formula1>
      <formula2>0</formula2>
    </dataValidation>
    <dataValidation type="whole" operator="greaterThanOrEqual" allowBlank="1" sqref="C5:C24" xr:uid="{00000000-0002-0000-0200-000001000000}">
      <formula1>1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  <pageSetUpPr fitToPage="1"/>
  </sheetPr>
  <dimension ref="A1:R1000"/>
  <sheetViews>
    <sheetView zoomScaleNormal="100" zoomScalePageLayoutView="60" workbookViewId="0">
      <selection sqref="A1:R1"/>
    </sheetView>
  </sheetViews>
  <sheetFormatPr defaultColWidth="14.44140625" defaultRowHeight="14.4" x14ac:dyDescent="0.3"/>
  <cols>
    <col min="1" max="1" width="8" customWidth="1"/>
    <col min="2" max="2" width="26" customWidth="1"/>
    <col min="3" max="3" width="14" customWidth="1"/>
    <col min="4" max="4" width="15" customWidth="1"/>
    <col min="5" max="5" width="24" customWidth="1"/>
    <col min="6" max="6" width="20" customWidth="1"/>
    <col min="7" max="7" width="15" customWidth="1"/>
    <col min="8" max="8" width="16" customWidth="1"/>
    <col min="9" max="9" width="14" customWidth="1"/>
    <col min="10" max="10" width="22" customWidth="1"/>
    <col min="11" max="12" width="13" customWidth="1"/>
    <col min="13" max="13" width="11" customWidth="1"/>
    <col min="14" max="14" width="20" customWidth="1"/>
    <col min="15" max="15" width="19" customWidth="1"/>
    <col min="16" max="16" width="20" customWidth="1"/>
    <col min="17" max="17" width="14" customWidth="1"/>
    <col min="18" max="18" width="23" customWidth="1"/>
  </cols>
  <sheetData>
    <row r="1" spans="1:18" ht="27.75" customHeight="1" x14ac:dyDescent="0.3">
      <c r="A1" s="166" t="s">
        <v>128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</row>
    <row r="2" spans="1:18" ht="19.5" customHeight="1" x14ac:dyDescent="0.3">
      <c r="A2" s="164" t="s">
        <v>129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</row>
    <row r="3" spans="1:18" ht="14.25" customHeight="1" x14ac:dyDescent="0.3">
      <c r="A3" s="59"/>
      <c r="G3" s="46"/>
      <c r="H3" s="46"/>
      <c r="I3" s="33"/>
      <c r="J3" s="33"/>
      <c r="K3" s="60"/>
      <c r="L3" s="60"/>
      <c r="M3" s="46"/>
      <c r="N3" s="46"/>
      <c r="O3" s="46"/>
      <c r="P3" s="60"/>
    </row>
    <row r="4" spans="1:18" ht="24" customHeight="1" x14ac:dyDescent="0.3">
      <c r="A4" s="61" t="s">
        <v>130</v>
      </c>
      <c r="B4" s="62" t="s">
        <v>6</v>
      </c>
      <c r="C4" s="61" t="s">
        <v>131</v>
      </c>
      <c r="D4" s="61" t="s">
        <v>7</v>
      </c>
      <c r="E4" s="62" t="s">
        <v>132</v>
      </c>
      <c r="F4" s="61" t="s">
        <v>133</v>
      </c>
      <c r="G4" s="61" t="s">
        <v>9</v>
      </c>
      <c r="H4" s="61" t="s">
        <v>10</v>
      </c>
      <c r="I4" s="61" t="s">
        <v>11</v>
      </c>
      <c r="J4" s="61" t="s">
        <v>134</v>
      </c>
      <c r="K4" s="61" t="s">
        <v>135</v>
      </c>
      <c r="L4" s="61" t="s">
        <v>136</v>
      </c>
      <c r="M4" s="61" t="s">
        <v>12</v>
      </c>
      <c r="N4" s="61" t="s">
        <v>137</v>
      </c>
      <c r="O4" s="61" t="s">
        <v>138</v>
      </c>
      <c r="P4" s="61" t="s">
        <v>139</v>
      </c>
      <c r="Q4" s="61" t="s">
        <v>14</v>
      </c>
      <c r="R4" s="61" t="s">
        <v>140</v>
      </c>
    </row>
    <row r="5" spans="1:18" ht="19.5" customHeight="1" x14ac:dyDescent="0.3">
      <c r="A5" s="63">
        <v>2027</v>
      </c>
      <c r="B5" s="6" t="s">
        <v>141</v>
      </c>
      <c r="C5" s="8" t="s">
        <v>39</v>
      </c>
      <c r="D5" s="8" t="str">
        <f>IF(B5="","",IF(E5="","Standalone",IFERROR(INDEX('Universes &amp; Series'!$B$5:$B$24,MATCH(E5,'Universes &amp; Series'!$A$5:$A$24,0)),"Unknown Series")))</f>
        <v>Reliquary</v>
      </c>
      <c r="E5" s="7" t="s">
        <v>114</v>
      </c>
      <c r="F5" s="8" t="s">
        <v>40</v>
      </c>
      <c r="G5" s="9">
        <v>200000</v>
      </c>
      <c r="H5" s="9">
        <f>IF(B5="","",SUMIFS('Daily Writing Log'!$H$5:$H$34,'Daily Writing Log'!$B$5:$B$34,B5))</f>
        <v>0</v>
      </c>
      <c r="I5" s="10">
        <f t="shared" ref="I5:I10" si="0">IF(B5="","",IF(G5&gt;0,MIN(1,Q5/G5),0))</f>
        <v>0</v>
      </c>
      <c r="J5" s="7" t="str">
        <f t="shared" ref="J5:J10" si="1">IF(B5="","",REPT("█",ROUND(I5*20,0))&amp;REPT("-",20-ROUND(I5*20,0)))</f>
        <v>--------------------</v>
      </c>
      <c r="K5" s="64">
        <v>46388</v>
      </c>
      <c r="L5" s="64">
        <v>46569</v>
      </c>
      <c r="M5" s="9">
        <f ca="1">IF($B5="","",IF($L5="","",MAX(0,$L5-Config!$A$2)))</f>
        <v>257</v>
      </c>
      <c r="N5" s="9">
        <f ca="1">IF($B5="","",IF(OR($G5&lt;=0,$Q5&gt;=$G5),0,IF(OR($L5="",NOT(ISNUMBER($L5))),0,ROUNDUP(MAX(0,$G5-$Q5)/MAX(1,$L5-MAX(Config!$A$2,N($K5))),0))))</f>
        <v>1105</v>
      </c>
      <c r="O5" s="9">
        <f ca="1">IF($B5="","",ROUND(SUMIFS('Daily Writing Log'!$F$5:$F$34,'Daily Writing Log'!$B$5:$B$34,$B5,'Daily Writing Log'!$A$5:$A$34,"&gt;="&amp;(Config!$A$2-29),'Daily Writing Log'!$A$5:$A$34,"&lt;="&amp;Config!$A$2)/30,0))</f>
        <v>0</v>
      </c>
      <c r="P5" s="64" t="str">
        <f ca="1">IF($B5="","",IF($G5&lt;=0,"Add target",IF($Q5&gt;=$G5,"Completed",IF($O5&gt;0,Config!$A$2+ROUNDUP(MAX(0,$G5-$Q5)/$O5,0),"No recent pace"))))</f>
        <v>No recent pace</v>
      </c>
      <c r="Q5" s="9">
        <f>IF(B5="","",SUMIFS('Daily Writing Log'!$F$5:$F$34,'Daily Writing Log'!$B$5:$B$34,B5))</f>
        <v>0</v>
      </c>
      <c r="R5" s="8" t="str">
        <f t="shared" ref="R5:R10" ca="1" si="2">IF(B5="","",IF(F5="Published","✅ Published",IF(I5&gt;=1,"🎉 Draft Complete",IF(M5&lt;0,"🔴 Overdue",IF(Q5&gt;0,"🟢 In Progress",IF(H5&gt;0,"🔵 Outlining / Lore","⚪ Not Started"))))))</f>
        <v>⚪ Not Started</v>
      </c>
    </row>
    <row r="6" spans="1:18" ht="19.5" customHeight="1" x14ac:dyDescent="0.3">
      <c r="A6" s="65">
        <v>2027</v>
      </c>
      <c r="B6" s="66" t="s">
        <v>142</v>
      </c>
      <c r="C6" s="67" t="s">
        <v>39</v>
      </c>
      <c r="D6" s="67" t="str">
        <f>IF(B6="","",IF(E6="","Standalone",IFERROR(INDEX('Universes &amp; Series'!$B$5:$B$24,MATCH(E6,'Universes &amp; Series'!$A$5:$A$24,0)),"Unknown Series")))</f>
        <v>Reliquary</v>
      </c>
      <c r="E6" s="68" t="s">
        <v>116</v>
      </c>
      <c r="F6" s="67" t="s">
        <v>40</v>
      </c>
      <c r="G6" s="69">
        <v>150000</v>
      </c>
      <c r="H6" s="69">
        <f>IF(B6="","",SUMIFS('Daily Writing Log'!$H$5:$H$34,'Daily Writing Log'!$B$5:$B$34,B6))</f>
        <v>0</v>
      </c>
      <c r="I6" s="70">
        <f t="shared" si="0"/>
        <v>0</v>
      </c>
      <c r="J6" s="68" t="str">
        <f t="shared" si="1"/>
        <v>--------------------</v>
      </c>
      <c r="K6" s="71">
        <v>46569</v>
      </c>
      <c r="L6" s="71">
        <v>46753</v>
      </c>
      <c r="M6" s="69">
        <f ca="1">IF($B6="","",IF($L6="","",MAX(0,$L6-Config!$A$2)))</f>
        <v>441</v>
      </c>
      <c r="N6" s="69">
        <f ca="1">IF($B6="","",IF(OR($G6&lt;=0,$Q6&gt;=$G6),0,IF(OR($L6="",NOT(ISNUMBER($L6))),0,ROUNDUP(MAX(0,$G6-$Q6)/MAX(1,$L6-MAX(Config!$A$2,N($K6))),0))))</f>
        <v>816</v>
      </c>
      <c r="O6" s="69">
        <f ca="1">IF($B6="","",ROUND(SUMIFS('Daily Writing Log'!$F$5:$F$34,'Daily Writing Log'!$B$5:$B$34,$B6,'Daily Writing Log'!$A$5:$A$34,"&gt;="&amp;(Config!$A$2-29),'Daily Writing Log'!$A$5:$A$34,"&lt;="&amp;Config!$A$2)/30,0))</f>
        <v>0</v>
      </c>
      <c r="P6" s="71" t="str">
        <f ca="1">IF($B6="","",IF($G6&lt;=0,"Add target",IF($Q6&gt;=$G6,"Completed",IF($O6&gt;0,Config!$A$2+ROUNDUP(MAX(0,$G6-$Q6)/$O6,0),"No recent pace"))))</f>
        <v>No recent pace</v>
      </c>
      <c r="Q6" s="69">
        <f>IF(B6="","",SUMIFS('Daily Writing Log'!$F$5:$F$34,'Daily Writing Log'!$B$5:$B$34,B6))</f>
        <v>0</v>
      </c>
      <c r="R6" s="67" t="str">
        <f t="shared" ca="1" si="2"/>
        <v>⚪ Not Started</v>
      </c>
    </row>
    <row r="7" spans="1:18" ht="19.5" customHeight="1" x14ac:dyDescent="0.3">
      <c r="A7" s="63">
        <v>2028</v>
      </c>
      <c r="B7" s="6" t="s">
        <v>143</v>
      </c>
      <c r="C7" s="8" t="s">
        <v>39</v>
      </c>
      <c r="D7" s="8" t="str">
        <f>IF(B7="","",IF(E7="","Standalone",IFERROR(INDEX('Universes &amp; Series'!$B$5:$B$24,MATCH(E7,'Universes &amp; Series'!$A$5:$A$24,0)),"Unknown Series")))</f>
        <v>Reliquary</v>
      </c>
      <c r="E7" s="7" t="s">
        <v>118</v>
      </c>
      <c r="F7" s="8" t="s">
        <v>40</v>
      </c>
      <c r="G7" s="9">
        <v>200000</v>
      </c>
      <c r="H7" s="9">
        <f>IF(B7="","",SUMIFS('Daily Writing Log'!$H$5:$H$34,'Daily Writing Log'!$B$5:$B$34,B7))</f>
        <v>0</v>
      </c>
      <c r="I7" s="10">
        <f t="shared" si="0"/>
        <v>0</v>
      </c>
      <c r="J7" s="7" t="str">
        <f t="shared" si="1"/>
        <v>--------------------</v>
      </c>
      <c r="K7" s="64">
        <v>46753</v>
      </c>
      <c r="L7" s="64">
        <v>46874</v>
      </c>
      <c r="M7" s="9">
        <f ca="1">IF($B7="","",IF($L7="","",MAX(0,$L7-Config!$A$2)))</f>
        <v>562</v>
      </c>
      <c r="N7" s="9">
        <f ca="1">IF($B7="","",IF(OR($G7&lt;=0,$Q7&gt;=$G7),0,IF(OR($L7="",NOT(ISNUMBER($L7))),0,ROUNDUP(MAX(0,$G7-$Q7)/MAX(1,$L7-MAX(Config!$A$2,N($K7))),0))))</f>
        <v>1653</v>
      </c>
      <c r="O7" s="9">
        <f ca="1">IF($B7="","",ROUND(SUMIFS('Daily Writing Log'!$F$5:$F$34,'Daily Writing Log'!$B$5:$B$34,$B7,'Daily Writing Log'!$A$5:$A$34,"&gt;="&amp;(Config!$A$2-29),'Daily Writing Log'!$A$5:$A$34,"&lt;="&amp;Config!$A$2)/30,0))</f>
        <v>0</v>
      </c>
      <c r="P7" s="64" t="str">
        <f ca="1">IF($B7="","",IF($G7&lt;=0,"Add target",IF($Q7&gt;=$G7,"Completed",IF($O7&gt;0,Config!$A$2+ROUNDUP(MAX(0,$G7-$Q7)/$O7,0),"No recent pace"))))</f>
        <v>No recent pace</v>
      </c>
      <c r="Q7" s="9">
        <f>IF(B7="","",SUMIFS('Daily Writing Log'!$F$5:$F$34,'Daily Writing Log'!$B$5:$B$34,B7))</f>
        <v>0</v>
      </c>
      <c r="R7" s="8" t="str">
        <f t="shared" ca="1" si="2"/>
        <v>⚪ Not Started</v>
      </c>
    </row>
    <row r="8" spans="1:18" ht="19.5" customHeight="1" x14ac:dyDescent="0.3">
      <c r="A8" s="65">
        <v>2028</v>
      </c>
      <c r="B8" s="66" t="s">
        <v>144</v>
      </c>
      <c r="C8" s="67" t="s">
        <v>39</v>
      </c>
      <c r="D8" s="67" t="str">
        <f>IF(B8="","",IF(E8="","Standalone",IFERROR(INDEX('Universes &amp; Series'!$B$5:$B$24,MATCH(E8,'Universes &amp; Series'!$A$5:$A$24,0)),"Unknown Series")))</f>
        <v>Reliquary</v>
      </c>
      <c r="E8" s="68" t="s">
        <v>114</v>
      </c>
      <c r="F8" s="67" t="s">
        <v>40</v>
      </c>
      <c r="G8" s="69">
        <v>200000</v>
      </c>
      <c r="H8" s="69">
        <f>IF(B8="","",SUMIFS('Daily Writing Log'!$H$5:$H$34,'Daily Writing Log'!$B$5:$B$34,B8))</f>
        <v>0</v>
      </c>
      <c r="I8" s="70">
        <f t="shared" si="0"/>
        <v>0</v>
      </c>
      <c r="J8" s="68" t="str">
        <f t="shared" si="1"/>
        <v>--------------------</v>
      </c>
      <c r="K8" s="71">
        <v>46874</v>
      </c>
      <c r="L8" s="71">
        <v>46997</v>
      </c>
      <c r="M8" s="69">
        <f ca="1">IF($B8="","",IF($L8="","",MAX(0,$L8-Config!$A$2)))</f>
        <v>685</v>
      </c>
      <c r="N8" s="69">
        <f ca="1">IF($B8="","",IF(OR($G8&lt;=0,$Q8&gt;=$G8),0,IF(OR($L8="",NOT(ISNUMBER($L8))),0,ROUNDUP(MAX(0,$G8-$Q8)/MAX(1,$L8-MAX(Config!$A$2,N($K8))),0))))</f>
        <v>1627</v>
      </c>
      <c r="O8" s="69">
        <f ca="1">IF($B8="","",ROUND(SUMIFS('Daily Writing Log'!$F$5:$F$34,'Daily Writing Log'!$B$5:$B$34,$B8,'Daily Writing Log'!$A$5:$A$34,"&gt;="&amp;(Config!$A$2-29),'Daily Writing Log'!$A$5:$A$34,"&lt;="&amp;Config!$A$2)/30,0))</f>
        <v>0</v>
      </c>
      <c r="P8" s="71" t="str">
        <f ca="1">IF($B8="","",IF($G8&lt;=0,"Add target",IF($Q8&gt;=$G8,"Completed",IF($O8&gt;0,Config!$A$2+ROUNDUP(MAX(0,$G8-$Q8)/$O8,0),"No recent pace"))))</f>
        <v>No recent pace</v>
      </c>
      <c r="Q8" s="69">
        <f>IF(B8="","",SUMIFS('Daily Writing Log'!$F$5:$F$34,'Daily Writing Log'!$B$5:$B$34,B8))</f>
        <v>0</v>
      </c>
      <c r="R8" s="67" t="str">
        <f t="shared" ca="1" si="2"/>
        <v>⚪ Not Started</v>
      </c>
    </row>
    <row r="9" spans="1:18" ht="19.5" customHeight="1" x14ac:dyDescent="0.3">
      <c r="A9" s="63">
        <v>2028</v>
      </c>
      <c r="B9" s="6" t="s">
        <v>145</v>
      </c>
      <c r="C9" s="8" t="s">
        <v>39</v>
      </c>
      <c r="D9" s="8" t="str">
        <f>IF(B9="","",IF(E9="","Standalone",IFERROR(INDEX('Universes &amp; Series'!$B$5:$B$24,MATCH(E9,'Universes &amp; Series'!$A$5:$A$24,0)),"Unknown Series")))</f>
        <v>Reliquary</v>
      </c>
      <c r="E9" s="7" t="s">
        <v>120</v>
      </c>
      <c r="F9" s="8" t="s">
        <v>40</v>
      </c>
      <c r="G9" s="9">
        <v>150000</v>
      </c>
      <c r="H9" s="9">
        <f>IF(B9="","",SUMIFS('Daily Writing Log'!$H$5:$H$34,'Daily Writing Log'!$B$5:$B$34,B9))</f>
        <v>0</v>
      </c>
      <c r="I9" s="10">
        <f t="shared" si="0"/>
        <v>0</v>
      </c>
      <c r="J9" s="7" t="str">
        <f t="shared" si="1"/>
        <v>--------------------</v>
      </c>
      <c r="K9" s="64">
        <v>46997</v>
      </c>
      <c r="L9" s="64">
        <v>47119</v>
      </c>
      <c r="M9" s="9">
        <f ca="1">IF($B9="","",IF($L9="","",MAX(0,$L9-Config!$A$2)))</f>
        <v>807</v>
      </c>
      <c r="N9" s="9">
        <f ca="1">IF($B9="","",IF(OR($G9&lt;=0,$Q9&gt;=$G9),0,IF(OR($L9="",NOT(ISNUMBER($L9))),0,ROUNDUP(MAX(0,$G9-$Q9)/MAX(1,$L9-MAX(Config!$A$2,N($K9))),0))))</f>
        <v>1230</v>
      </c>
      <c r="O9" s="9">
        <f ca="1">IF($B9="","",ROUND(SUMIFS('Daily Writing Log'!$F$5:$F$34,'Daily Writing Log'!$B$5:$B$34,$B9,'Daily Writing Log'!$A$5:$A$34,"&gt;="&amp;(Config!$A$2-29),'Daily Writing Log'!$A$5:$A$34,"&lt;="&amp;Config!$A$2)/30,0))</f>
        <v>0</v>
      </c>
      <c r="P9" s="64" t="str">
        <f ca="1">IF($B9="","",IF($G9&lt;=0,"Add target",IF($Q9&gt;=$G9,"Completed",IF($O9&gt;0,Config!$A$2+ROUNDUP(MAX(0,$G9-$Q9)/$O9,0),"No recent pace"))))</f>
        <v>No recent pace</v>
      </c>
      <c r="Q9" s="9">
        <f>IF(B9="","",SUMIFS('Daily Writing Log'!$F$5:$F$34,'Daily Writing Log'!$B$5:$B$34,B9))</f>
        <v>0</v>
      </c>
      <c r="R9" s="8" t="str">
        <f t="shared" ca="1" si="2"/>
        <v>⚪ Not Started</v>
      </c>
    </row>
    <row r="10" spans="1:18" ht="19.5" customHeight="1" x14ac:dyDescent="0.3">
      <c r="A10" s="65">
        <v>2026</v>
      </c>
      <c r="B10" s="66" t="s">
        <v>122</v>
      </c>
      <c r="C10" s="67" t="s">
        <v>39</v>
      </c>
      <c r="D10" s="67" t="str">
        <f>IF(B10="","",IF(E10="","Standalone",IFERROR(INDEX('Universes &amp; Series'!$B$5:$B$24,MATCH(E10,'Universes &amp; Series'!$A$5:$A$24,0)),"Unknown Series")))</f>
        <v>Eldoria-Cosmos</v>
      </c>
      <c r="E10" s="68" t="s">
        <v>122</v>
      </c>
      <c r="F10" s="67" t="s">
        <v>51</v>
      </c>
      <c r="G10" s="69">
        <v>120000</v>
      </c>
      <c r="H10" s="69">
        <f>IF(B10="","",SUMIFS('Daily Writing Log'!$H$5:$H$34,'Daily Writing Log'!$B$5:$B$34,B10))</f>
        <v>7450</v>
      </c>
      <c r="I10" s="70">
        <f t="shared" si="0"/>
        <v>4.7500000000000001E-2</v>
      </c>
      <c r="J10" s="68" t="str">
        <f t="shared" si="1"/>
        <v>█-------------------</v>
      </c>
      <c r="K10" s="71" t="s">
        <v>146</v>
      </c>
      <c r="L10" s="71" t="s">
        <v>147</v>
      </c>
      <c r="M10" s="69">
        <f ca="1">IF($B10="","",IF($L10="","",MAX(0,$L10-Config!$A$2)))</f>
        <v>227</v>
      </c>
      <c r="N10" s="69">
        <f>IF($B10="","",IF(OR($G10&lt;=0,$Q10&gt;=$G10),0,IF(OR($L10="",NOT(ISNUMBER($L10))),0,ROUNDUP(MAX(0,$G10-$Q10)/MAX(1,$L10-MAX(Config!$A$2,N($K10))),0))))</f>
        <v>0</v>
      </c>
      <c r="O10" s="69">
        <f ca="1">IF($B10="","",ROUND(SUMIFS('Daily Writing Log'!$F$5:$F$34,'Daily Writing Log'!$B$5:$B$34,$B10,'Daily Writing Log'!$A$5:$A$34,"&gt;="&amp;(Config!$A$2-29),'Daily Writing Log'!$A$5:$A$34,"&lt;="&amp;Config!$A$2)/30,0))</f>
        <v>0</v>
      </c>
      <c r="P10" s="71" t="str">
        <f ca="1">IF($B10="","",IF($G10&lt;=0,"Add target",IF($Q10&gt;=$G10,"Completed",IF($O10&gt;0,Config!$A$2+ROUNDUP(MAX(0,$G10-$Q10)/$O10,0),"No recent pace"))))</f>
        <v>No recent pace</v>
      </c>
      <c r="Q10" s="69">
        <f>IF(B10="","",SUMIFS('Daily Writing Log'!$F$5:$F$34,'Daily Writing Log'!$B$5:$B$34,B10))</f>
        <v>5700</v>
      </c>
      <c r="R10" s="67" t="str">
        <f t="shared" ca="1" si="2"/>
        <v>🟢 In Progress</v>
      </c>
    </row>
    <row r="11" spans="1:18" ht="19.5" customHeight="1" x14ac:dyDescent="0.3">
      <c r="A11" s="63" t="str">
        <f>IF($B11="","",IF(ISNUMBER($K11),YEAR($K11),IF(ISNUMBER($L11),YEAR($L11),YEAR(Config!$A$2))))</f>
        <v/>
      </c>
      <c r="B11" s="6"/>
      <c r="C11" s="8" t="str">
        <f>IF($B11="","",Config!$E$5)</f>
        <v/>
      </c>
      <c r="D11" s="8" t="str">
        <f>IF($B11="","",IF($E11="","Standalone",IF(COUNTIF('Universes &amp; Series'!$A$5:$A$24,$E11)&gt;0,INDEX('Universes &amp; Series'!$B$5:$B$24,MATCH($E11,'Universes &amp; Series'!$A$5:$A$24,0)),Config!$G$5)))</f>
        <v/>
      </c>
      <c r="E11" s="7"/>
      <c r="F11" s="8" t="str">
        <f>IF($B11="","",Config!$F$5)</f>
        <v/>
      </c>
      <c r="G11" s="9"/>
      <c r="H11" s="9" t="str">
        <f>IF($B11="","",SUMIFS('Daily Writing Log'!$H$5:$H$34,'Daily Writing Log'!$B$5:$B$34,$B11))</f>
        <v/>
      </c>
      <c r="I11" s="10" t="str">
        <f t="shared" ref="I11:I24" si="3">IF($B11="","",IF($G11&gt;0,MIN(1,MAX(0,$Q11/$G11)),0))</f>
        <v/>
      </c>
      <c r="J11" s="7" t="str">
        <f t="shared" ref="J11:J24" si="4">IF($B11="","",REPT("#",IF($I11&gt;0,MAX(1,ROUNDUP(MIN(1,MAX(0,$I11))*20,0)),0))&amp;REPT("-",20-IF($I11&gt;0,MAX(1,ROUNDUP(MIN(1,MAX(0,$I11))*20,0)),0)))</f>
        <v/>
      </c>
      <c r="K11" s="64"/>
      <c r="L11" s="64"/>
      <c r="M11" s="9" t="str">
        <f>IF($B11="","",IF($L11="","",MAX(0,$L11-Config!$A$2)))</f>
        <v/>
      </c>
      <c r="N11" s="9" t="str">
        <f>IF($B11="","",IF(OR($G11&lt;=0,$Q11&gt;=$G11),0,IF(OR($L11="",NOT(ISNUMBER($L11))),0,ROUNDUP(MAX(0,$G11-$Q11)/MAX(1,$L11-MAX(Config!$A$2,N($K11))),0))))</f>
        <v/>
      </c>
      <c r="O11" s="9" t="str">
        <f>IF($B11="","",ROUND(SUMIFS('Daily Writing Log'!$F$5:$F$34,'Daily Writing Log'!$B$5:$B$34,$B11,'Daily Writing Log'!$A$5:$A$34,"&gt;="&amp;(Config!$A$2-29),'Daily Writing Log'!$A$5:$A$34,"&lt;="&amp;Config!$A$2)/30,0))</f>
        <v/>
      </c>
      <c r="P11" s="64" t="str">
        <f>IF($B11="","",IF($G11&lt;=0,"Add target",IF($Q11&gt;=$G11,"Completed",IF($O11&gt;0,Config!$A$2+ROUNDUP(MAX(0,$G11-$Q11)/$O11,0),"No recent pace"))))</f>
        <v/>
      </c>
      <c r="Q11" s="9" t="str">
        <f>IF($B11="","",SUMIFS('Daily Writing Log'!$F$5:$F$34,'Daily Writing Log'!$B$5:$B$34,$B11))</f>
        <v/>
      </c>
      <c r="R11" s="8" t="str">
        <f>IF($B11="","",IF($F11="Published","🎉 Published",IF($G11&lt;=0,"⚪ Set target",IF($Q11&gt;=$G11,"✅ Draft Target Met",IF(AND(ISNUMBER($K11),$K11&gt;Config!$A$2),"⚪ Not Started",IF($F11="Concept","🔵 In Concept",IF(ISBLANK($L11),"In Progress",IF(Config!$A$2&gt;$L11,"🔴 Overdue",IF($O11&gt;=$N11,"🟢 On Track",IF($O11&gt;=$N11*0.6,"🟡 Needs Focus","🔴 Behind Schedule"))))))))))</f>
        <v/>
      </c>
    </row>
    <row r="12" spans="1:18" ht="19.5" customHeight="1" x14ac:dyDescent="0.3">
      <c r="A12" s="65" t="str">
        <f>IF($B12="","",IF(ISNUMBER($K12),YEAR($K12),IF(ISNUMBER($L12),YEAR($L12),YEAR(Config!$A$2))))</f>
        <v/>
      </c>
      <c r="B12" s="66"/>
      <c r="C12" s="67" t="str">
        <f>IF($B12="","",Config!$E$5)</f>
        <v/>
      </c>
      <c r="D12" s="67" t="str">
        <f>IF($B12="","",IF($E12="","Standalone",IF(COUNTIF('Universes &amp; Series'!$A$5:$A$24,$E12)&gt;0,INDEX('Universes &amp; Series'!$B$5:$B$24,MATCH($E12,'Universes &amp; Series'!$A$5:$A$24,0)),Config!$G$5)))</f>
        <v/>
      </c>
      <c r="E12" s="68"/>
      <c r="F12" s="67" t="str">
        <f>IF($B12="","",Config!$F$5)</f>
        <v/>
      </c>
      <c r="G12" s="69"/>
      <c r="H12" s="69" t="str">
        <f>IF($B12="","",SUMIFS('Daily Writing Log'!$H$5:$H$34,'Daily Writing Log'!$B$5:$B$34,$B12))</f>
        <v/>
      </c>
      <c r="I12" s="70" t="str">
        <f t="shared" si="3"/>
        <v/>
      </c>
      <c r="J12" s="68" t="str">
        <f t="shared" si="4"/>
        <v/>
      </c>
      <c r="K12" s="71"/>
      <c r="L12" s="71"/>
      <c r="M12" s="69" t="str">
        <f>IF($B12="","",IF($L12="","",MAX(0,$L12-Config!$A$2)))</f>
        <v/>
      </c>
      <c r="N12" s="69" t="str">
        <f>IF($B12="","",IF(OR($G12&lt;=0,$Q12&gt;=$G12),0,IF(OR($L12="",NOT(ISNUMBER($L12))),0,ROUNDUP(MAX(0,$G12-$Q12)/MAX(1,$L12-MAX(Config!$A$2,N($K12))),0))))</f>
        <v/>
      </c>
      <c r="O12" s="69" t="str">
        <f>IF($B12="","",ROUND(SUMIFS('Daily Writing Log'!$F$5:$F$34,'Daily Writing Log'!$B$5:$B$34,$B12,'Daily Writing Log'!$A$5:$A$34,"&gt;="&amp;(Config!$A$2-29),'Daily Writing Log'!$A$5:$A$34,"&lt;="&amp;Config!$A$2)/30,0))</f>
        <v/>
      </c>
      <c r="P12" s="71" t="str">
        <f>IF($B12="","",IF($G12&lt;=0,"Add target",IF($Q12&gt;=$G12,"Completed",IF($O12&gt;0,Config!$A$2+ROUNDUP(MAX(0,$G12-$Q12)/$O12,0),"No recent pace"))))</f>
        <v/>
      </c>
      <c r="Q12" s="69" t="str">
        <f>IF($B12="","",SUMIFS('Daily Writing Log'!$F$5:$F$34,'Daily Writing Log'!$B$5:$B$34,$B12))</f>
        <v/>
      </c>
      <c r="R12" s="67" t="str">
        <f>IF($B12="","",IF($F12="Published","🎉 Published",IF($G12&lt;=0,"⚪ Set target",IF($Q12&gt;=$G12,"✅ Draft Target Met",IF(AND(ISNUMBER($K12),$K12&gt;Config!$A$2),"⚪ Not Started",IF($F12="Concept","🔵 In Concept",IF(ISBLANK($L12),"In Progress",IF(Config!$A$2&gt;$L12,"🔴 Overdue",IF($O12&gt;=$N12,"🟢 On Track",IF($O12&gt;=$N12*0.6,"🟡 Needs Focus","🔴 Behind Schedule"))))))))))</f>
        <v/>
      </c>
    </row>
    <row r="13" spans="1:18" ht="19.5" customHeight="1" x14ac:dyDescent="0.3">
      <c r="A13" s="63" t="str">
        <f>IF($B13="","",IF(ISNUMBER($K13),YEAR($K13),IF(ISNUMBER($L13),YEAR($L13),YEAR(Config!$A$2))))</f>
        <v/>
      </c>
      <c r="B13" s="6"/>
      <c r="C13" s="8" t="str">
        <f>IF($B13="","",Config!$E$5)</f>
        <v/>
      </c>
      <c r="D13" s="8" t="str">
        <f>IF($B13="","",IF($E13="","Standalone",IF(COUNTIF('Universes &amp; Series'!$A$5:$A$24,$E13)&gt;0,INDEX('Universes &amp; Series'!$B$5:$B$24,MATCH($E13,'Universes &amp; Series'!$A$5:$A$24,0)),Config!$G$5)))</f>
        <v/>
      </c>
      <c r="E13" s="7"/>
      <c r="F13" s="8" t="str">
        <f>IF($B13="","",Config!$F$5)</f>
        <v/>
      </c>
      <c r="G13" s="9"/>
      <c r="H13" s="9" t="str">
        <f>IF($B13="","",SUMIFS('Daily Writing Log'!$H$5:$H$34,'Daily Writing Log'!$B$5:$B$34,$B13))</f>
        <v/>
      </c>
      <c r="I13" s="10" t="str">
        <f t="shared" si="3"/>
        <v/>
      </c>
      <c r="J13" s="7" t="str">
        <f t="shared" si="4"/>
        <v/>
      </c>
      <c r="K13" s="64"/>
      <c r="L13" s="64"/>
      <c r="M13" s="9" t="str">
        <f>IF($B13="","",IF($L13="","",MAX(0,$L13-Config!$A$2)))</f>
        <v/>
      </c>
      <c r="N13" s="9" t="str">
        <f>IF($B13="","",IF(OR($G13&lt;=0,$Q13&gt;=$G13),0,IF(OR($L13="",NOT(ISNUMBER($L13))),0,ROUNDUP(MAX(0,$G13-$Q13)/MAX(1,$L13-MAX(Config!$A$2,N($K13))),0))))</f>
        <v/>
      </c>
      <c r="O13" s="9" t="str">
        <f>IF($B13="","",ROUND(SUMIFS('Daily Writing Log'!$F$5:$F$34,'Daily Writing Log'!$B$5:$B$34,$B13,'Daily Writing Log'!$A$5:$A$34,"&gt;="&amp;(Config!$A$2-29),'Daily Writing Log'!$A$5:$A$34,"&lt;="&amp;Config!$A$2)/30,0))</f>
        <v/>
      </c>
      <c r="P13" s="64" t="str">
        <f>IF($B13="","",IF($G13&lt;=0,"Add target",IF($Q13&gt;=$G13,"Completed",IF($O13&gt;0,Config!$A$2+ROUNDUP(MAX(0,$G13-$Q13)/$O13,0),"No recent pace"))))</f>
        <v/>
      </c>
      <c r="Q13" s="9" t="str">
        <f>IF($B13="","",SUMIFS('Daily Writing Log'!$F$5:$F$34,'Daily Writing Log'!$B$5:$B$34,$B13))</f>
        <v/>
      </c>
      <c r="R13" s="8" t="str">
        <f>IF($B13="","",IF($F13="Published","🎉 Published",IF($G13&lt;=0,"⚪ Set target",IF($Q13&gt;=$G13,"✅ Draft Target Met",IF(AND(ISNUMBER($K13),$K13&gt;Config!$A$2),"⚪ Not Started",IF($F13="Concept","🔵 In Concept",IF(ISBLANK($L13),"In Progress",IF(Config!$A$2&gt;$L13,"🔴 Overdue",IF($O13&gt;=$N13,"🟢 On Track",IF($O13&gt;=$N13*0.6,"🟡 Needs Focus","🔴 Behind Schedule"))))))))))</f>
        <v/>
      </c>
    </row>
    <row r="14" spans="1:18" ht="19.5" customHeight="1" x14ac:dyDescent="0.3">
      <c r="A14" s="65" t="str">
        <f>IF($B14="","",IF(ISNUMBER($K14),YEAR($K14),IF(ISNUMBER($L14),YEAR($L14),YEAR(Config!$A$2))))</f>
        <v/>
      </c>
      <c r="B14" s="66"/>
      <c r="C14" s="67" t="str">
        <f>IF($B14="","",Config!$E$5)</f>
        <v/>
      </c>
      <c r="D14" s="67" t="str">
        <f>IF($B14="","",IF($E14="","Standalone",IF(COUNTIF('Universes &amp; Series'!$A$5:$A$24,$E14)&gt;0,INDEX('Universes &amp; Series'!$B$5:$B$24,MATCH($E14,'Universes &amp; Series'!$A$5:$A$24,0)),Config!$G$5)))</f>
        <v/>
      </c>
      <c r="E14" s="68"/>
      <c r="F14" s="67" t="str">
        <f>IF($B14="","",Config!$F$5)</f>
        <v/>
      </c>
      <c r="G14" s="69"/>
      <c r="H14" s="69" t="str">
        <f>IF($B14="","",SUMIFS('Daily Writing Log'!$H$5:$H$34,'Daily Writing Log'!$B$5:$B$34,$B14))</f>
        <v/>
      </c>
      <c r="I14" s="70" t="str">
        <f t="shared" si="3"/>
        <v/>
      </c>
      <c r="J14" s="68" t="str">
        <f t="shared" si="4"/>
        <v/>
      </c>
      <c r="K14" s="71"/>
      <c r="L14" s="71"/>
      <c r="M14" s="69" t="str">
        <f>IF($B14="","",IF($L14="","",MAX(0,$L14-Config!$A$2)))</f>
        <v/>
      </c>
      <c r="N14" s="69" t="str">
        <f>IF($B14="","",IF(OR($G14&lt;=0,$Q14&gt;=$G14),0,IF(OR($L14="",NOT(ISNUMBER($L14))),0,ROUNDUP(MAX(0,$G14-$Q14)/MAX(1,$L14-MAX(Config!$A$2,N($K14))),0))))</f>
        <v/>
      </c>
      <c r="O14" s="69" t="str">
        <f>IF($B14="","",ROUND(SUMIFS('Daily Writing Log'!$F$5:$F$34,'Daily Writing Log'!$B$5:$B$34,$B14,'Daily Writing Log'!$A$5:$A$34,"&gt;="&amp;(Config!$A$2-29),'Daily Writing Log'!$A$5:$A$34,"&lt;="&amp;Config!$A$2)/30,0))</f>
        <v/>
      </c>
      <c r="P14" s="71" t="str">
        <f>IF($B14="","",IF($G14&lt;=0,"Add target",IF($Q14&gt;=$G14,"Completed",IF($O14&gt;0,Config!$A$2+ROUNDUP(MAX(0,$G14-$Q14)/$O14,0),"No recent pace"))))</f>
        <v/>
      </c>
      <c r="Q14" s="69" t="str">
        <f>IF($B14="","",SUMIFS('Daily Writing Log'!$F$5:$F$34,'Daily Writing Log'!$B$5:$B$34,$B14))</f>
        <v/>
      </c>
      <c r="R14" s="67" t="str">
        <f>IF($B14="","",IF($F14="Published","🎉 Published",IF($G14&lt;=0,"⚪ Set target",IF($Q14&gt;=$G14,"✅ Draft Target Met",IF(AND(ISNUMBER($K14),$K14&gt;Config!$A$2),"⚪ Not Started",IF($F14="Concept","🔵 In Concept",IF(ISBLANK($L14),"In Progress",IF(Config!$A$2&gt;$L14,"🔴 Overdue",IF($O14&gt;=$N14,"🟢 On Track",IF($O14&gt;=$N14*0.6,"🟡 Needs Focus","🔴 Behind Schedule"))))))))))</f>
        <v/>
      </c>
    </row>
    <row r="15" spans="1:18" ht="19.5" customHeight="1" x14ac:dyDescent="0.3">
      <c r="A15" s="63" t="str">
        <f>IF($B15="","",IF(ISNUMBER($K15),YEAR($K15),IF(ISNUMBER($L15),YEAR($L15),YEAR(Config!$A$2))))</f>
        <v/>
      </c>
      <c r="B15" s="6"/>
      <c r="C15" s="8" t="str">
        <f>IF($B15="","",Config!$E$5)</f>
        <v/>
      </c>
      <c r="D15" s="8" t="str">
        <f>IF($B15="","",IF($E15="","Standalone",IF(COUNTIF('Universes &amp; Series'!$A$5:$A$24,$E15)&gt;0,INDEX('Universes &amp; Series'!$B$5:$B$24,MATCH($E15,'Universes &amp; Series'!$A$5:$A$24,0)),Config!$G$5)))</f>
        <v/>
      </c>
      <c r="E15" s="7"/>
      <c r="F15" s="8" t="str">
        <f>IF($B15="","",Config!$F$5)</f>
        <v/>
      </c>
      <c r="G15" s="9"/>
      <c r="H15" s="9" t="str">
        <f>IF($B15="","",SUMIFS('Daily Writing Log'!$H$5:$H$34,'Daily Writing Log'!$B$5:$B$34,$B15))</f>
        <v/>
      </c>
      <c r="I15" s="10" t="str">
        <f t="shared" si="3"/>
        <v/>
      </c>
      <c r="J15" s="7" t="str">
        <f t="shared" si="4"/>
        <v/>
      </c>
      <c r="K15" s="64"/>
      <c r="L15" s="64"/>
      <c r="M15" s="9" t="str">
        <f>IF($B15="","",IF($L15="","",MAX(0,$L15-Config!$A$2)))</f>
        <v/>
      </c>
      <c r="N15" s="9" t="str">
        <f>IF($B15="","",IF(OR($G15&lt;=0,$Q15&gt;=$G15),0,IF(OR($L15="",NOT(ISNUMBER($L15))),0,ROUNDUP(MAX(0,$G15-$Q15)/MAX(1,$L15-MAX(Config!$A$2,N($K15))),0))))</f>
        <v/>
      </c>
      <c r="O15" s="9" t="str">
        <f>IF($B15="","",ROUND(SUMIFS('Daily Writing Log'!$F$5:$F$34,'Daily Writing Log'!$B$5:$B$34,$B15,'Daily Writing Log'!$A$5:$A$34,"&gt;="&amp;(Config!$A$2-29),'Daily Writing Log'!$A$5:$A$34,"&lt;="&amp;Config!$A$2)/30,0))</f>
        <v/>
      </c>
      <c r="P15" s="64" t="str">
        <f>IF($B15="","",IF($G15&lt;=0,"Add target",IF($Q15&gt;=$G15,"Completed",IF($O15&gt;0,Config!$A$2+ROUNDUP(MAX(0,$G15-$Q15)/$O15,0),"No recent pace"))))</f>
        <v/>
      </c>
      <c r="Q15" s="9" t="str">
        <f>IF($B15="","",SUMIFS('Daily Writing Log'!$F$5:$F$34,'Daily Writing Log'!$B$5:$B$34,$B15))</f>
        <v/>
      </c>
      <c r="R15" s="8" t="str">
        <f>IF($B15="","",IF($F15="Published","🎉 Published",IF($G15&lt;=0,"⚪ Set target",IF($Q15&gt;=$G15,"✅ Draft Target Met",IF(AND(ISNUMBER($K15),$K15&gt;Config!$A$2),"⚪ Not Started",IF($F15="Concept","🔵 In Concept",IF(ISBLANK($L15),"In Progress",IF(Config!$A$2&gt;$L15,"🔴 Overdue",IF($O15&gt;=$N15,"🟢 On Track",IF($O15&gt;=$N15*0.6,"🟡 Needs Focus","🔴 Behind Schedule"))))))))))</f>
        <v/>
      </c>
    </row>
    <row r="16" spans="1:18" ht="19.5" customHeight="1" x14ac:dyDescent="0.3">
      <c r="A16" s="65" t="str">
        <f>IF($B16="","",IF(ISNUMBER($K16),YEAR($K16),IF(ISNUMBER($L16),YEAR($L16),YEAR(Config!$A$2))))</f>
        <v/>
      </c>
      <c r="B16" s="66"/>
      <c r="C16" s="67" t="str">
        <f>IF($B16="","",Config!$E$5)</f>
        <v/>
      </c>
      <c r="D16" s="67" t="str">
        <f>IF($B16="","",IF($E16="","Standalone",IF(COUNTIF('Universes &amp; Series'!$A$5:$A$24,$E16)&gt;0,INDEX('Universes &amp; Series'!$B$5:$B$24,MATCH($E16,'Universes &amp; Series'!$A$5:$A$24,0)),Config!$G$5)))</f>
        <v/>
      </c>
      <c r="E16" s="68"/>
      <c r="F16" s="67" t="str">
        <f>IF($B16="","",Config!$F$5)</f>
        <v/>
      </c>
      <c r="G16" s="69"/>
      <c r="H16" s="69" t="str">
        <f>IF($B16="","",SUMIFS('Daily Writing Log'!$H$5:$H$34,'Daily Writing Log'!$B$5:$B$34,$B16))</f>
        <v/>
      </c>
      <c r="I16" s="70" t="str">
        <f t="shared" si="3"/>
        <v/>
      </c>
      <c r="J16" s="68" t="str">
        <f t="shared" si="4"/>
        <v/>
      </c>
      <c r="K16" s="71"/>
      <c r="L16" s="71"/>
      <c r="M16" s="69" t="str">
        <f>IF($B16="","",IF($L16="","",MAX(0,$L16-Config!$A$2)))</f>
        <v/>
      </c>
      <c r="N16" s="69" t="str">
        <f>IF($B16="","",IF(OR($G16&lt;=0,$Q16&gt;=$G16),0,IF(OR($L16="",NOT(ISNUMBER($L16))),0,ROUNDUP(MAX(0,$G16-$Q16)/MAX(1,$L16-MAX(Config!$A$2,N($K16))),0))))</f>
        <v/>
      </c>
      <c r="O16" s="69" t="str">
        <f>IF($B16="","",ROUND(SUMIFS('Daily Writing Log'!$F$5:$F$34,'Daily Writing Log'!$B$5:$B$34,$B16,'Daily Writing Log'!$A$5:$A$34,"&gt;="&amp;(Config!$A$2-29),'Daily Writing Log'!$A$5:$A$34,"&lt;="&amp;Config!$A$2)/30,0))</f>
        <v/>
      </c>
      <c r="P16" s="71" t="str">
        <f>IF($B16="","",IF($G16&lt;=0,"Add target",IF($Q16&gt;=$G16,"Completed",IF($O16&gt;0,Config!$A$2+ROUNDUP(MAX(0,$G16-$Q16)/$O16,0),"No recent pace"))))</f>
        <v/>
      </c>
      <c r="Q16" s="69" t="str">
        <f>IF($B16="","",SUMIFS('Daily Writing Log'!$F$5:$F$34,'Daily Writing Log'!$B$5:$B$34,$B16))</f>
        <v/>
      </c>
      <c r="R16" s="67" t="str">
        <f>IF($B16="","",IF($F16="Published","🎉 Published",IF($G16&lt;=0,"⚪ Set target",IF($Q16&gt;=$G16,"✅ Draft Target Met",IF(AND(ISNUMBER($K16),$K16&gt;Config!$A$2),"⚪ Not Started",IF($F16="Concept","🔵 In Concept",IF(ISBLANK($L16),"In Progress",IF(Config!$A$2&gt;$L16,"🔴 Overdue",IF($O16&gt;=$N16,"🟢 On Track",IF($O16&gt;=$N16*0.6,"🟡 Needs Focus","🔴 Behind Schedule"))))))))))</f>
        <v/>
      </c>
    </row>
    <row r="17" spans="1:18" ht="19.5" customHeight="1" x14ac:dyDescent="0.3">
      <c r="A17" s="63" t="str">
        <f>IF($B17="","",IF(ISNUMBER($K17),YEAR($K17),IF(ISNUMBER($L17),YEAR($L17),YEAR(Config!$A$2))))</f>
        <v/>
      </c>
      <c r="B17" s="6"/>
      <c r="C17" s="8" t="str">
        <f>IF($B17="","",Config!$E$5)</f>
        <v/>
      </c>
      <c r="D17" s="8" t="str">
        <f>IF($B17="","",IF($E17="","Standalone",IF(COUNTIF('Universes &amp; Series'!$A$5:$A$24,$E17)&gt;0,INDEX('Universes &amp; Series'!$B$5:$B$24,MATCH($E17,'Universes &amp; Series'!$A$5:$A$24,0)),Config!$G$5)))</f>
        <v/>
      </c>
      <c r="E17" s="7"/>
      <c r="F17" s="8" t="str">
        <f>IF($B17="","",Config!$F$5)</f>
        <v/>
      </c>
      <c r="G17" s="9"/>
      <c r="H17" s="9" t="str">
        <f>IF($B17="","",SUMIFS('Daily Writing Log'!$H$5:$H$34,'Daily Writing Log'!$B$5:$B$34,$B17))</f>
        <v/>
      </c>
      <c r="I17" s="10" t="str">
        <f t="shared" si="3"/>
        <v/>
      </c>
      <c r="J17" s="7" t="str">
        <f t="shared" si="4"/>
        <v/>
      </c>
      <c r="K17" s="64"/>
      <c r="L17" s="64"/>
      <c r="M17" s="9" t="str">
        <f>IF($B17="","",IF($L17="","",MAX(0,$L17-Config!$A$2)))</f>
        <v/>
      </c>
      <c r="N17" s="9" t="str">
        <f>IF($B17="","",IF(OR($G17&lt;=0,$Q17&gt;=$G17),0,IF(OR($L17="",NOT(ISNUMBER($L17))),0,ROUNDUP(MAX(0,$G17-$Q17)/MAX(1,$L17-MAX(Config!$A$2,N($K17))),0))))</f>
        <v/>
      </c>
      <c r="O17" s="9" t="str">
        <f>IF($B17="","",ROUND(SUMIFS('Daily Writing Log'!$F$5:$F$34,'Daily Writing Log'!$B$5:$B$34,$B17,'Daily Writing Log'!$A$5:$A$34,"&gt;="&amp;(Config!$A$2-29),'Daily Writing Log'!$A$5:$A$34,"&lt;="&amp;Config!$A$2)/30,0))</f>
        <v/>
      </c>
      <c r="P17" s="64" t="str">
        <f>IF($B17="","",IF($G17&lt;=0,"Add target",IF($Q17&gt;=$G17,"Completed",IF($O17&gt;0,Config!$A$2+ROUNDUP(MAX(0,$G17-$Q17)/$O17,0),"No recent pace"))))</f>
        <v/>
      </c>
      <c r="Q17" s="9" t="str">
        <f>IF($B17="","",SUMIFS('Daily Writing Log'!$F$5:$F$34,'Daily Writing Log'!$B$5:$B$34,$B17))</f>
        <v/>
      </c>
      <c r="R17" s="8" t="str">
        <f>IF($B17="","",IF($F17="Published","🎉 Published",IF($G17&lt;=0,"⚪ Set target",IF($Q17&gt;=$G17,"✅ Draft Target Met",IF(AND(ISNUMBER($K17),$K17&gt;Config!$A$2),"⚪ Not Started",IF($F17="Concept","🔵 In Concept",IF(ISBLANK($L17),"In Progress",IF(Config!$A$2&gt;$L17,"🔴 Overdue",IF($O17&gt;=$N17,"🟢 On Track",IF($O17&gt;=$N17*0.6,"🟡 Needs Focus","🔴 Behind Schedule"))))))))))</f>
        <v/>
      </c>
    </row>
    <row r="18" spans="1:18" ht="19.5" customHeight="1" x14ac:dyDescent="0.3">
      <c r="A18" s="65" t="str">
        <f>IF($B18="","",IF(ISNUMBER($K18),YEAR($K18),IF(ISNUMBER($L18),YEAR($L18),YEAR(Config!$A$2))))</f>
        <v/>
      </c>
      <c r="B18" s="66"/>
      <c r="C18" s="67" t="str">
        <f>IF($B18="","",Config!$E$5)</f>
        <v/>
      </c>
      <c r="D18" s="67" t="str">
        <f>IF($B18="","",IF($E18="","Standalone",IF(COUNTIF('Universes &amp; Series'!$A$5:$A$24,$E18)&gt;0,INDEX('Universes &amp; Series'!$B$5:$B$24,MATCH($E18,'Universes &amp; Series'!$A$5:$A$24,0)),Config!$G$5)))</f>
        <v/>
      </c>
      <c r="E18" s="68"/>
      <c r="F18" s="67" t="str">
        <f>IF($B18="","",Config!$F$5)</f>
        <v/>
      </c>
      <c r="G18" s="69"/>
      <c r="H18" s="69" t="str">
        <f>IF($B18="","",SUMIFS('Daily Writing Log'!$H$5:$H$34,'Daily Writing Log'!$B$5:$B$34,$B18))</f>
        <v/>
      </c>
      <c r="I18" s="70" t="str">
        <f t="shared" si="3"/>
        <v/>
      </c>
      <c r="J18" s="68" t="str">
        <f t="shared" si="4"/>
        <v/>
      </c>
      <c r="K18" s="71"/>
      <c r="L18" s="71"/>
      <c r="M18" s="69" t="str">
        <f>IF($B18="","",IF($L18="","",MAX(0,$L18-Config!$A$2)))</f>
        <v/>
      </c>
      <c r="N18" s="69" t="str">
        <f>IF($B18="","",IF(OR($G18&lt;=0,$Q18&gt;=$G18),0,IF(OR($L18="",NOT(ISNUMBER($L18))),0,ROUNDUP(MAX(0,$G18-$Q18)/MAX(1,$L18-MAX(Config!$A$2,N($K18))),0))))</f>
        <v/>
      </c>
      <c r="O18" s="69" t="str">
        <f>IF($B18="","",ROUND(SUMIFS('Daily Writing Log'!$F$5:$F$34,'Daily Writing Log'!$B$5:$B$34,$B18,'Daily Writing Log'!$A$5:$A$34,"&gt;="&amp;(Config!$A$2-29),'Daily Writing Log'!$A$5:$A$34,"&lt;="&amp;Config!$A$2)/30,0))</f>
        <v/>
      </c>
      <c r="P18" s="71" t="str">
        <f>IF($B18="","",IF($G18&lt;=0,"Add target",IF($Q18&gt;=$G18,"Completed",IF($O18&gt;0,Config!$A$2+ROUNDUP(MAX(0,$G18-$Q18)/$O18,0),"No recent pace"))))</f>
        <v/>
      </c>
      <c r="Q18" s="69" t="str">
        <f>IF($B18="","",SUMIFS('Daily Writing Log'!$F$5:$F$34,'Daily Writing Log'!$B$5:$B$34,$B18))</f>
        <v/>
      </c>
      <c r="R18" s="67" t="str">
        <f>IF($B18="","",IF($F18="Published","🎉 Published",IF($G18&lt;=0,"⚪ Set target",IF($Q18&gt;=$G18,"✅ Draft Target Met",IF(AND(ISNUMBER($K18),$K18&gt;Config!$A$2),"⚪ Not Started",IF($F18="Concept","🔵 In Concept",IF(ISBLANK($L18),"In Progress",IF(Config!$A$2&gt;$L18,"🔴 Overdue",IF($O18&gt;=$N18,"🟢 On Track",IF($O18&gt;=$N18*0.6,"🟡 Needs Focus","🔴 Behind Schedule"))))))))))</f>
        <v/>
      </c>
    </row>
    <row r="19" spans="1:18" ht="19.5" customHeight="1" x14ac:dyDescent="0.3">
      <c r="A19" s="63" t="str">
        <f>IF($B19="","",IF(ISNUMBER($K19),YEAR($K19),IF(ISNUMBER($L19),YEAR($L19),YEAR(Config!$A$2))))</f>
        <v/>
      </c>
      <c r="B19" s="6"/>
      <c r="C19" s="8" t="str">
        <f>IF($B19="","",Config!$E$5)</f>
        <v/>
      </c>
      <c r="D19" s="8" t="str">
        <f>IF($B19="","",IF($E19="","Standalone",IF(COUNTIF('Universes &amp; Series'!$A$5:$A$24,$E19)&gt;0,INDEX('Universes &amp; Series'!$B$5:$B$24,MATCH($E19,'Universes &amp; Series'!$A$5:$A$24,0)),Config!$G$5)))</f>
        <v/>
      </c>
      <c r="E19" s="7"/>
      <c r="F19" s="8" t="str">
        <f>IF($B19="","",Config!$F$5)</f>
        <v/>
      </c>
      <c r="G19" s="9"/>
      <c r="H19" s="9" t="str">
        <f>IF($B19="","",SUMIFS('Daily Writing Log'!$H$5:$H$34,'Daily Writing Log'!$B$5:$B$34,$B19))</f>
        <v/>
      </c>
      <c r="I19" s="10" t="str">
        <f t="shared" si="3"/>
        <v/>
      </c>
      <c r="J19" s="7" t="str">
        <f t="shared" si="4"/>
        <v/>
      </c>
      <c r="K19" s="64"/>
      <c r="L19" s="64"/>
      <c r="M19" s="9" t="str">
        <f>IF($B19="","",IF($L19="","",MAX(0,$L19-Config!$A$2)))</f>
        <v/>
      </c>
      <c r="N19" s="9" t="str">
        <f>IF($B19="","",IF(OR($G19&lt;=0,$Q19&gt;=$G19),0,IF(OR($L19="",NOT(ISNUMBER($L19))),0,ROUNDUP(MAX(0,$G19-$Q19)/MAX(1,$L19-MAX(Config!$A$2,N($K19))),0))))</f>
        <v/>
      </c>
      <c r="O19" s="9" t="str">
        <f>IF($B19="","",ROUND(SUMIFS('Daily Writing Log'!$F$5:$F$34,'Daily Writing Log'!$B$5:$B$34,$B19,'Daily Writing Log'!$A$5:$A$34,"&gt;="&amp;(Config!$A$2-29),'Daily Writing Log'!$A$5:$A$34,"&lt;="&amp;Config!$A$2)/30,0))</f>
        <v/>
      </c>
      <c r="P19" s="64" t="str">
        <f>IF($B19="","",IF($G19&lt;=0,"Add target",IF($Q19&gt;=$G19,"Completed",IF($O19&gt;0,Config!$A$2+ROUNDUP(MAX(0,$G19-$Q19)/$O19,0),"No recent pace"))))</f>
        <v/>
      </c>
      <c r="Q19" s="9" t="str">
        <f>IF($B19="","",SUMIFS('Daily Writing Log'!$F$5:$F$34,'Daily Writing Log'!$B$5:$B$34,$B19))</f>
        <v/>
      </c>
      <c r="R19" s="8" t="str">
        <f>IF($B19="","",IF($F19="Published","🎉 Published",IF($G19&lt;=0,"⚪ Set target",IF($Q19&gt;=$G19,"✅ Draft Target Met",IF(AND(ISNUMBER($K19),$K19&gt;Config!$A$2),"⚪ Not Started",IF($F19="Concept","🔵 In Concept",IF(ISBLANK($L19),"In Progress",IF(Config!$A$2&gt;$L19,"🔴 Overdue",IF($O19&gt;=$N19,"🟢 On Track",IF($O19&gt;=$N19*0.6,"🟡 Needs Focus","🔴 Behind Schedule"))))))))))</f>
        <v/>
      </c>
    </row>
    <row r="20" spans="1:18" ht="19.5" customHeight="1" x14ac:dyDescent="0.3">
      <c r="A20" s="65" t="str">
        <f>IF($B20="","",IF(ISNUMBER($K20),YEAR($K20),IF(ISNUMBER($L20),YEAR($L20),YEAR(Config!$A$2))))</f>
        <v/>
      </c>
      <c r="B20" s="66"/>
      <c r="C20" s="67" t="str">
        <f>IF($B20="","",Config!$E$5)</f>
        <v/>
      </c>
      <c r="D20" s="67" t="str">
        <f>IF($B20="","",IF($E20="","Standalone",IF(COUNTIF('Universes &amp; Series'!$A$5:$A$24,$E20)&gt;0,INDEX('Universes &amp; Series'!$B$5:$B$24,MATCH($E20,'Universes &amp; Series'!$A$5:$A$24,0)),Config!$G$5)))</f>
        <v/>
      </c>
      <c r="E20" s="68"/>
      <c r="F20" s="67" t="str">
        <f>IF($B20="","",Config!$F$5)</f>
        <v/>
      </c>
      <c r="G20" s="69"/>
      <c r="H20" s="69" t="str">
        <f>IF($B20="","",SUMIFS('Daily Writing Log'!$H$5:$H$34,'Daily Writing Log'!$B$5:$B$34,$B20))</f>
        <v/>
      </c>
      <c r="I20" s="70" t="str">
        <f t="shared" si="3"/>
        <v/>
      </c>
      <c r="J20" s="68" t="str">
        <f t="shared" si="4"/>
        <v/>
      </c>
      <c r="K20" s="71"/>
      <c r="L20" s="71"/>
      <c r="M20" s="69" t="str">
        <f>IF($B20="","",IF($L20="","",MAX(0,$L20-Config!$A$2)))</f>
        <v/>
      </c>
      <c r="N20" s="69" t="str">
        <f>IF($B20="","",IF(OR($G20&lt;=0,$Q20&gt;=$G20),0,IF(OR($L20="",NOT(ISNUMBER($L20))),0,ROUNDUP(MAX(0,$G20-$Q20)/MAX(1,$L20-MAX(Config!$A$2,N($K20))),0))))</f>
        <v/>
      </c>
      <c r="O20" s="69" t="str">
        <f>IF($B20="","",ROUND(SUMIFS('Daily Writing Log'!$F$5:$F$34,'Daily Writing Log'!$B$5:$B$34,$B20,'Daily Writing Log'!$A$5:$A$34,"&gt;="&amp;(Config!$A$2-29),'Daily Writing Log'!$A$5:$A$34,"&lt;="&amp;Config!$A$2)/30,0))</f>
        <v/>
      </c>
      <c r="P20" s="71" t="str">
        <f>IF($B20="","",IF($G20&lt;=0,"Add target",IF($Q20&gt;=$G20,"Completed",IF($O20&gt;0,Config!$A$2+ROUNDUP(MAX(0,$G20-$Q20)/$O20,0),"No recent pace"))))</f>
        <v/>
      </c>
      <c r="Q20" s="69" t="str">
        <f>IF($B20="","",SUMIFS('Daily Writing Log'!$F$5:$F$34,'Daily Writing Log'!$B$5:$B$34,$B20))</f>
        <v/>
      </c>
      <c r="R20" s="67" t="str">
        <f>IF($B20="","",IF($F20="Published","🎉 Published",IF($G20&lt;=0,"⚪ Set target",IF($Q20&gt;=$G20,"✅ Draft Target Met",IF(AND(ISNUMBER($K20),$K20&gt;Config!$A$2),"⚪ Not Started",IF($F20="Concept","🔵 In Concept",IF(ISBLANK($L20),"In Progress",IF(Config!$A$2&gt;$L20,"🔴 Overdue",IF($O20&gt;=$N20,"🟢 On Track",IF($O20&gt;=$N20*0.6,"🟡 Needs Focus","🔴 Behind Schedule"))))))))))</f>
        <v/>
      </c>
    </row>
    <row r="21" spans="1:18" ht="19.5" customHeight="1" x14ac:dyDescent="0.3">
      <c r="A21" s="63" t="str">
        <f>IF($B21="","",IF(ISNUMBER($K21),YEAR($K21),IF(ISNUMBER($L21),YEAR($L21),YEAR(Config!$A$2))))</f>
        <v/>
      </c>
      <c r="B21" s="6"/>
      <c r="C21" s="8" t="str">
        <f>IF($B21="","",Config!$E$5)</f>
        <v/>
      </c>
      <c r="D21" s="8" t="str">
        <f>IF($B21="","",IF($E21="","Standalone",IF(COUNTIF('Universes &amp; Series'!$A$5:$A$24,$E21)&gt;0,INDEX('Universes &amp; Series'!$B$5:$B$24,MATCH($E21,'Universes &amp; Series'!$A$5:$A$24,0)),Config!$G$5)))</f>
        <v/>
      </c>
      <c r="E21" s="7"/>
      <c r="F21" s="8" t="str">
        <f>IF($B21="","",Config!$F$5)</f>
        <v/>
      </c>
      <c r="G21" s="9"/>
      <c r="H21" s="9" t="str">
        <f>IF($B21="","",SUMIFS('Daily Writing Log'!$H$5:$H$34,'Daily Writing Log'!$B$5:$B$34,$B21))</f>
        <v/>
      </c>
      <c r="I21" s="10" t="str">
        <f t="shared" si="3"/>
        <v/>
      </c>
      <c r="J21" s="7" t="str">
        <f t="shared" si="4"/>
        <v/>
      </c>
      <c r="K21" s="64"/>
      <c r="L21" s="64"/>
      <c r="M21" s="9" t="str">
        <f>IF($B21="","",IF($L21="","",MAX(0,$L21-Config!$A$2)))</f>
        <v/>
      </c>
      <c r="N21" s="9" t="str">
        <f>IF($B21="","",IF(OR($G21&lt;=0,$Q21&gt;=$G21),0,IF(OR($L21="",NOT(ISNUMBER($L21))),0,ROUNDUP(MAX(0,$G21-$Q21)/MAX(1,$L21-MAX(Config!$A$2,N($K21))),0))))</f>
        <v/>
      </c>
      <c r="O21" s="9" t="str">
        <f>IF($B21="","",ROUND(SUMIFS('Daily Writing Log'!$F$5:$F$34,'Daily Writing Log'!$B$5:$B$34,$B21,'Daily Writing Log'!$A$5:$A$34,"&gt;="&amp;(Config!$A$2-29),'Daily Writing Log'!$A$5:$A$34,"&lt;="&amp;Config!$A$2)/30,0))</f>
        <v/>
      </c>
      <c r="P21" s="64" t="str">
        <f>IF($B21="","",IF($G21&lt;=0,"Add target",IF($Q21&gt;=$G21,"Completed",IF($O21&gt;0,Config!$A$2+ROUNDUP(MAX(0,$G21-$Q21)/$O21,0),"No recent pace"))))</f>
        <v/>
      </c>
      <c r="Q21" s="9" t="str">
        <f>IF($B21="","",SUMIFS('Daily Writing Log'!$F$5:$F$34,'Daily Writing Log'!$B$5:$B$34,$B21))</f>
        <v/>
      </c>
      <c r="R21" s="8" t="str">
        <f>IF($B21="","",IF($F21="Published","🎉 Published",IF($G21&lt;=0,"⚪ Set target",IF($Q21&gt;=$G21,"✅ Draft Target Met",IF(AND(ISNUMBER($K21),$K21&gt;Config!$A$2),"⚪ Not Started",IF($F21="Concept","🔵 In Concept",IF(ISBLANK($L21),"In Progress",IF(Config!$A$2&gt;$L21,"🔴 Overdue",IF($O21&gt;=$N21,"🟢 On Track",IF($O21&gt;=$N21*0.6,"🟡 Needs Focus","🔴 Behind Schedule"))))))))))</f>
        <v/>
      </c>
    </row>
    <row r="22" spans="1:18" ht="19.5" customHeight="1" x14ac:dyDescent="0.3">
      <c r="A22" s="65" t="str">
        <f>IF($B22="","",IF(ISNUMBER($K22),YEAR($K22),IF(ISNUMBER($L22),YEAR($L22),YEAR(Config!$A$2))))</f>
        <v/>
      </c>
      <c r="B22" s="66"/>
      <c r="C22" s="67" t="str">
        <f>IF($B22="","",Config!$E$5)</f>
        <v/>
      </c>
      <c r="D22" s="67" t="str">
        <f>IF($B22="","",IF($E22="","Standalone",IF(COUNTIF('Universes &amp; Series'!$A$5:$A$24,$E22)&gt;0,INDEX('Universes &amp; Series'!$B$5:$B$24,MATCH($E22,'Universes &amp; Series'!$A$5:$A$24,0)),Config!$G$5)))</f>
        <v/>
      </c>
      <c r="E22" s="68"/>
      <c r="F22" s="67" t="str">
        <f>IF($B22="","",Config!$F$5)</f>
        <v/>
      </c>
      <c r="G22" s="69"/>
      <c r="H22" s="69" t="str">
        <f>IF($B22="","",SUMIFS('Daily Writing Log'!$H$5:$H$34,'Daily Writing Log'!$B$5:$B$34,$B22))</f>
        <v/>
      </c>
      <c r="I22" s="70" t="str">
        <f t="shared" si="3"/>
        <v/>
      </c>
      <c r="J22" s="68" t="str">
        <f t="shared" si="4"/>
        <v/>
      </c>
      <c r="K22" s="71"/>
      <c r="L22" s="71"/>
      <c r="M22" s="69" t="str">
        <f>IF($B22="","",IF($L22="","",MAX(0,$L22-Config!$A$2)))</f>
        <v/>
      </c>
      <c r="N22" s="69" t="str">
        <f>IF($B22="","",IF(OR($G22&lt;=0,$Q22&gt;=$G22),0,IF(OR($L22="",NOT(ISNUMBER($L22))),0,ROUNDUP(MAX(0,$G22-$Q22)/MAX(1,$L22-MAX(Config!$A$2,N($K22))),0))))</f>
        <v/>
      </c>
      <c r="O22" s="69" t="str">
        <f>IF($B22="","",ROUND(SUMIFS('Daily Writing Log'!$F$5:$F$34,'Daily Writing Log'!$B$5:$B$34,$B22,'Daily Writing Log'!$A$5:$A$34,"&gt;="&amp;(Config!$A$2-29),'Daily Writing Log'!$A$5:$A$34,"&lt;="&amp;Config!$A$2)/30,0))</f>
        <v/>
      </c>
      <c r="P22" s="71" t="str">
        <f>IF($B22="","",IF($G22&lt;=0,"Add target",IF($Q22&gt;=$G22,"Completed",IF($O22&gt;0,Config!$A$2+ROUNDUP(MAX(0,$G22-$Q22)/$O22,0),"No recent pace"))))</f>
        <v/>
      </c>
      <c r="Q22" s="69" t="str">
        <f>IF($B22="","",SUMIFS('Daily Writing Log'!$F$5:$F$34,'Daily Writing Log'!$B$5:$B$34,$B22))</f>
        <v/>
      </c>
      <c r="R22" s="67" t="str">
        <f>IF($B22="","",IF($F22="Published","🎉 Published",IF($G22&lt;=0,"⚪ Set target",IF($Q22&gt;=$G22,"✅ Draft Target Met",IF(AND(ISNUMBER($K22),$K22&gt;Config!$A$2),"⚪ Not Started",IF($F22="Concept","🔵 In Concept",IF(ISBLANK($L22),"In Progress",IF(Config!$A$2&gt;$L22,"🔴 Overdue",IF($O22&gt;=$N22,"🟢 On Track",IF($O22&gt;=$N22*0.6,"🟡 Needs Focus","🔴 Behind Schedule"))))))))))</f>
        <v/>
      </c>
    </row>
    <row r="23" spans="1:18" ht="19.5" customHeight="1" x14ac:dyDescent="0.3">
      <c r="A23" s="63" t="str">
        <f>IF($B23="","",IF(ISNUMBER($K23),YEAR($K23),IF(ISNUMBER($L23),YEAR($L23),YEAR(Config!$A$2))))</f>
        <v/>
      </c>
      <c r="B23" s="6"/>
      <c r="C23" s="8" t="str">
        <f>IF($B23="","",Config!$E$5)</f>
        <v/>
      </c>
      <c r="D23" s="8" t="str">
        <f>IF($B23="","",IF($E23="","Standalone",IF(COUNTIF('Universes &amp; Series'!$A$5:$A$24,$E23)&gt;0,INDEX('Universes &amp; Series'!$B$5:$B$24,MATCH($E23,'Universes &amp; Series'!$A$5:$A$24,0)),Config!$G$5)))</f>
        <v/>
      </c>
      <c r="E23" s="7"/>
      <c r="F23" s="8" t="str">
        <f>IF($B23="","",Config!$F$5)</f>
        <v/>
      </c>
      <c r="G23" s="9"/>
      <c r="H23" s="9" t="str">
        <f>IF($B23="","",SUMIFS('Daily Writing Log'!$H$5:$H$34,'Daily Writing Log'!$B$5:$B$34,$B23))</f>
        <v/>
      </c>
      <c r="I23" s="10" t="str">
        <f t="shared" si="3"/>
        <v/>
      </c>
      <c r="J23" s="7" t="str">
        <f t="shared" si="4"/>
        <v/>
      </c>
      <c r="K23" s="64"/>
      <c r="L23" s="64"/>
      <c r="M23" s="9" t="str">
        <f>IF($B23="","",IF($L23="","",MAX(0,$L23-Config!$A$2)))</f>
        <v/>
      </c>
      <c r="N23" s="9" t="str">
        <f>IF($B23="","",IF(OR($G23&lt;=0,$Q23&gt;=$G23),0,IF(OR($L23="",NOT(ISNUMBER($L23))),0,ROUNDUP(MAX(0,$G23-$Q23)/MAX(1,$L23-MAX(Config!$A$2,N($K23))),0))))</f>
        <v/>
      </c>
      <c r="O23" s="9" t="str">
        <f>IF($B23="","",ROUND(SUMIFS('Daily Writing Log'!$F$5:$F$34,'Daily Writing Log'!$B$5:$B$34,$B23,'Daily Writing Log'!$A$5:$A$34,"&gt;="&amp;(Config!$A$2-29),'Daily Writing Log'!$A$5:$A$34,"&lt;="&amp;Config!$A$2)/30,0))</f>
        <v/>
      </c>
      <c r="P23" s="64" t="str">
        <f>IF($B23="","",IF($G23&lt;=0,"Add target",IF($Q23&gt;=$G23,"Completed",IF($O23&gt;0,Config!$A$2+ROUNDUP(MAX(0,$G23-$Q23)/$O23,0),"No recent pace"))))</f>
        <v/>
      </c>
      <c r="Q23" s="9" t="str">
        <f>IF($B23="","",SUMIFS('Daily Writing Log'!$F$5:$F$34,'Daily Writing Log'!$B$5:$B$34,$B23))</f>
        <v/>
      </c>
      <c r="R23" s="8" t="str">
        <f>IF($B23="","",IF($F23="Published","🎉 Published",IF($G23&lt;=0,"⚪ Set target",IF($Q23&gt;=$G23,"✅ Draft Target Met",IF(AND(ISNUMBER($K23),$K23&gt;Config!$A$2),"⚪ Not Started",IF($F23="Concept","🔵 In Concept",IF(ISBLANK($L23),"In Progress",IF(Config!$A$2&gt;$L23,"🔴 Overdue",IF($O23&gt;=$N23,"🟢 On Track",IF($O23&gt;=$N23*0.6,"🟡 Needs Focus","🔴 Behind Schedule"))))))))))</f>
        <v/>
      </c>
    </row>
    <row r="24" spans="1:18" ht="19.5" customHeight="1" x14ac:dyDescent="0.3">
      <c r="A24" s="65" t="str">
        <f>IF($B24="","",IF(ISNUMBER($K24),YEAR($K24),IF(ISNUMBER($L24),YEAR($L24),YEAR(Config!$A$2))))</f>
        <v/>
      </c>
      <c r="B24" s="66"/>
      <c r="C24" s="67" t="str">
        <f>IF($B24="","",Config!$E$5)</f>
        <v/>
      </c>
      <c r="D24" s="67" t="str">
        <f>IF($B24="","",IF($E24="","Standalone",IF(COUNTIF('Universes &amp; Series'!$A$5:$A$24,$E24)&gt;0,INDEX('Universes &amp; Series'!$B$5:$B$24,MATCH($E24,'Universes &amp; Series'!$A$5:$A$24,0)),Config!$G$5)))</f>
        <v/>
      </c>
      <c r="E24" s="68"/>
      <c r="F24" s="67" t="str">
        <f>IF($B24="","",Config!$F$5)</f>
        <v/>
      </c>
      <c r="G24" s="69"/>
      <c r="H24" s="69" t="str">
        <f>IF($B24="","",SUMIFS('Daily Writing Log'!$H$5:$H$34,'Daily Writing Log'!$B$5:$B$34,$B24))</f>
        <v/>
      </c>
      <c r="I24" s="70" t="str">
        <f t="shared" si="3"/>
        <v/>
      </c>
      <c r="J24" s="68" t="str">
        <f t="shared" si="4"/>
        <v/>
      </c>
      <c r="K24" s="71"/>
      <c r="L24" s="71"/>
      <c r="M24" s="69" t="str">
        <f>IF($B24="","",IF($L24="","",MAX(0,$L24-Config!$A$2)))</f>
        <v/>
      </c>
      <c r="N24" s="69" t="str">
        <f>IF($B24="","",IF(OR($G24&lt;=0,$Q24&gt;=$G24),0,IF(OR($L24="",NOT(ISNUMBER($L24))),0,ROUNDUP(MAX(0,$G24-$Q24)/MAX(1,$L24-MAX(Config!$A$2,N($K24))),0))))</f>
        <v/>
      </c>
      <c r="O24" s="69" t="str">
        <f>IF($B24="","",ROUND(SUMIFS('Daily Writing Log'!$F$5:$F$34,'Daily Writing Log'!$B$5:$B$34,$B24,'Daily Writing Log'!$A$5:$A$34,"&gt;="&amp;(Config!$A$2-29),'Daily Writing Log'!$A$5:$A$34,"&lt;="&amp;Config!$A$2)/30,0))</f>
        <v/>
      </c>
      <c r="P24" s="71" t="str">
        <f>IF($B24="","",IF($G24&lt;=0,"Add target",IF($Q24&gt;=$G24,"Completed",IF($O24&gt;0,Config!$A$2+ROUNDUP(MAX(0,$G24-$Q24)/$O24,0),"No recent pace"))))</f>
        <v/>
      </c>
      <c r="Q24" s="69" t="str">
        <f>IF($B24="","",SUMIFS('Daily Writing Log'!$F$5:$F$34,'Daily Writing Log'!$B$5:$B$34,$B24))</f>
        <v/>
      </c>
      <c r="R24" s="67" t="str">
        <f>IF($B24="","",IF($F24="Published","🎉 Published",IF($G24&lt;=0,"⚪ Set target",IF($Q24&gt;=$G24,"✅ Draft Target Met",IF(AND(ISNUMBER($K24),$K24&gt;Config!$A$2),"⚪ Not Started",IF($F24="Concept","🔵 In Concept",IF(ISBLANK($L24),"In Progress",IF(Config!$A$2&gt;$L24,"🔴 Overdue",IF($O24&gt;=$N24,"🟢 On Track",IF($O24&gt;=$N24*0.6,"🟡 Needs Focus","🔴 Behind Schedule"))))))))))</f>
        <v/>
      </c>
    </row>
    <row r="25" spans="1:18" ht="21.75" customHeight="1" x14ac:dyDescent="0.3">
      <c r="A25" s="72"/>
      <c r="B25" s="73" t="s">
        <v>148</v>
      </c>
      <c r="C25" s="73"/>
      <c r="D25" s="73"/>
      <c r="E25" s="73"/>
      <c r="F25" s="73"/>
      <c r="G25" s="74">
        <f>SUM(G5:G24)</f>
        <v>1020000</v>
      </c>
      <c r="H25" s="74">
        <f>SUM(H5:H24)</f>
        <v>7450</v>
      </c>
      <c r="I25" s="75">
        <f>IF(G25&gt;0,Q25/G25,0)</f>
        <v>5.5882352941176473E-3</v>
      </c>
      <c r="J25" s="73"/>
      <c r="K25" s="76"/>
      <c r="L25" s="76"/>
      <c r="M25" s="74">
        <f ca="1">ROUND(AVERAGE(M5:M24),0)</f>
        <v>497</v>
      </c>
      <c r="N25" s="74">
        <f ca="1">SUM(N5:N24)</f>
        <v>6431</v>
      </c>
      <c r="O25" s="74">
        <f ca="1">SUM(O5:O24)</f>
        <v>0</v>
      </c>
      <c r="P25" s="77"/>
      <c r="Q25" s="74">
        <f>SUM(Q5:Q24)</f>
        <v>5700</v>
      </c>
      <c r="R25" s="78" t="str">
        <f>COUNTIF(B5:B24,"?*")&amp;" Active / Cataloged"</f>
        <v>6 Active / Cataloged</v>
      </c>
    </row>
    <row r="26" spans="1:18" ht="18" customHeight="1" x14ac:dyDescent="0.3"/>
    <row r="27" spans="1:18" ht="21.75" customHeight="1" x14ac:dyDescent="0.3">
      <c r="A27" s="165" t="s">
        <v>149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</row>
    <row r="28" spans="1:18" ht="18" customHeight="1" x14ac:dyDescent="0.3"/>
    <row r="29" spans="1:18" ht="18" customHeight="1" x14ac:dyDescent="0.3"/>
    <row r="30" spans="1:18" ht="18" customHeight="1" x14ac:dyDescent="0.3"/>
    <row r="31" spans="1:18" ht="18" customHeight="1" x14ac:dyDescent="0.3"/>
    <row r="32" spans="1:1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7:R27"/>
    <mergeCell ref="A2:R2"/>
    <mergeCell ref="A1:R1"/>
  </mergeCells>
  <conditionalFormatting sqref="I5:I24">
    <cfRule type="dataBar" priority="2">
      <dataBar>
        <cfvo type="num" val="0"/>
        <cfvo type="num" val="1"/>
        <color rgb="FF7C3AED"/>
      </dataBar>
    </cfRule>
  </conditionalFormatting>
  <conditionalFormatting sqref="R5:R24">
    <cfRule type="expression" dxfId="3" priority="3">
      <formula>OR(LEFT(R5,2)="🟢",LEFT(R5,1)="✅",LEFT(R5,2)="🎉")</formula>
    </cfRule>
    <cfRule type="expression" dxfId="2" priority="4">
      <formula>LEFT(R5,2)="🟡"</formula>
    </cfRule>
    <cfRule type="expression" dxfId="1" priority="5">
      <formula>LEFT(R5,2)="🔴"</formula>
    </cfRule>
  </conditionalFormatting>
  <dataValidations count="7">
    <dataValidation type="whole" allowBlank="1" sqref="A5:A24" xr:uid="{00000000-0002-0000-0300-000000000000}">
      <formula1>1900</formula1>
      <formula2>2100</formula2>
    </dataValidation>
    <dataValidation type="list" allowBlank="1" sqref="C5:C24" xr:uid="{00000000-0002-0000-0300-000001000000}">
      <formula1>lst_BookTypes</formula1>
      <formula2>0</formula2>
    </dataValidation>
    <dataValidation type="list" allowBlank="1" sqref="D5:D24" xr:uid="{00000000-0002-0000-0300-000002000000}">
      <formula1>lst_Universes</formula1>
      <formula2>0</formula2>
    </dataValidation>
    <dataValidation type="list" allowBlank="1" sqref="E5:E24" xr:uid="{00000000-0002-0000-0300-000003000000}">
      <formula1>lst_Series</formula1>
      <formula2>0</formula2>
    </dataValidation>
    <dataValidation type="list" allowBlank="1" sqref="F5:F24" xr:uid="{00000000-0002-0000-0300-000004000000}">
      <formula1>lst_Stages</formula1>
      <formula2>0</formula2>
    </dataValidation>
    <dataValidation type="whole" operator="greaterThanOrEqual" allowBlank="1" sqref="G5:G24" xr:uid="{00000000-0002-0000-0300-000005000000}">
      <formula1>0</formula1>
      <formula2>0</formula2>
    </dataValidation>
    <dataValidation type="date" operator="greaterThanOrEqual" allowBlank="1" sqref="K5:L24" xr:uid="{00000000-0002-0000-0300-000006000000}">
      <formula1>DATE(1900,1,1)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7B00"/>
    <pageSetUpPr fitToPage="1"/>
  </sheetPr>
  <dimension ref="A1:N1000"/>
  <sheetViews>
    <sheetView topLeftCell="A33" zoomScaleNormal="100" zoomScalePageLayoutView="60" workbookViewId="0">
      <selection activeCell="L6" sqref="L6"/>
    </sheetView>
  </sheetViews>
  <sheetFormatPr defaultColWidth="14.44140625" defaultRowHeight="14.4" x14ac:dyDescent="0.3"/>
  <cols>
    <col min="1" max="1" width="13" customWidth="1"/>
    <col min="2" max="2" width="25" customWidth="1"/>
    <col min="3" max="3" width="19" customWidth="1"/>
    <col min="4" max="4" width="20" customWidth="1"/>
    <col min="5" max="6" width="17" customWidth="1"/>
    <col min="7" max="7" width="16" customWidth="1"/>
    <col min="8" max="9" width="19" customWidth="1"/>
    <col min="10" max="10" width="13.33203125" customWidth="1"/>
    <col min="11" max="11" width="18" customWidth="1"/>
    <col min="12" max="12" width="20" customWidth="1"/>
    <col min="13" max="13" width="18" customWidth="1"/>
    <col min="14" max="14" width="24" customWidth="1"/>
  </cols>
  <sheetData>
    <row r="1" spans="1:14" ht="25.5" customHeight="1" x14ac:dyDescent="0.3">
      <c r="A1" s="167" t="s">
        <v>150</v>
      </c>
      <c r="B1" s="155"/>
      <c r="C1" s="155"/>
      <c r="D1" s="155"/>
      <c r="E1" s="155"/>
      <c r="F1" s="155"/>
      <c r="G1" s="155"/>
      <c r="H1" s="155"/>
      <c r="I1" s="155"/>
      <c r="J1" s="79" t="s">
        <v>151</v>
      </c>
      <c r="K1" s="80" t="s">
        <v>152</v>
      </c>
      <c r="L1" s="79" t="s">
        <v>153</v>
      </c>
      <c r="M1" s="79" t="s">
        <v>154</v>
      </c>
      <c r="N1" s="80" t="s">
        <v>155</v>
      </c>
    </row>
    <row r="2" spans="1:14" ht="21.75" customHeight="1" x14ac:dyDescent="0.3">
      <c r="A2" s="169" t="s">
        <v>156</v>
      </c>
      <c r="B2" s="155"/>
      <c r="C2" s="155"/>
      <c r="D2" s="155"/>
      <c r="E2" s="155"/>
      <c r="F2" s="155"/>
      <c r="G2" s="155"/>
      <c r="H2" s="155"/>
      <c r="I2" s="155"/>
      <c r="J2" s="81">
        <f ca="1">Calc!$S$8</f>
        <v>2</v>
      </c>
      <c r="K2" s="82">
        <f>COUNTIF($K$5:$K$34,"✅ Yes")</f>
        <v>3</v>
      </c>
      <c r="L2" s="82">
        <f ca="1">Calc!$S$6</f>
        <v>0</v>
      </c>
      <c r="M2" s="82">
        <f ca="1">Calc!$S$5</f>
        <v>62000</v>
      </c>
      <c r="N2" s="82">
        <f ca="1">Calc!$S$11</f>
        <v>162</v>
      </c>
    </row>
    <row r="3" spans="1:14" ht="14.25" customHeight="1" x14ac:dyDescent="0.3">
      <c r="A3" s="60"/>
      <c r="D3" s="46"/>
      <c r="E3" s="46"/>
      <c r="F3" s="46"/>
      <c r="G3" s="46"/>
      <c r="H3" s="46"/>
      <c r="I3" s="46"/>
      <c r="J3" s="46"/>
      <c r="L3" s="46"/>
      <c r="M3" s="46"/>
    </row>
    <row r="4" spans="1:14" ht="30" customHeight="1" x14ac:dyDescent="0.3">
      <c r="A4" s="83" t="s">
        <v>157</v>
      </c>
      <c r="B4" s="84" t="s">
        <v>6</v>
      </c>
      <c r="C4" s="85" t="s">
        <v>158</v>
      </c>
      <c r="D4" s="86" t="s">
        <v>159</v>
      </c>
      <c r="E4" s="86" t="s">
        <v>160</v>
      </c>
      <c r="F4" s="86" t="s">
        <v>161</v>
      </c>
      <c r="G4" s="86" t="s">
        <v>162</v>
      </c>
      <c r="H4" s="86" t="s">
        <v>163</v>
      </c>
      <c r="I4" s="86" t="s">
        <v>164</v>
      </c>
      <c r="J4" s="86" t="s">
        <v>165</v>
      </c>
      <c r="K4" s="85" t="s">
        <v>166</v>
      </c>
      <c r="L4" s="86" t="s">
        <v>167</v>
      </c>
      <c r="M4" s="86" t="s">
        <v>168</v>
      </c>
      <c r="N4" s="87" t="s">
        <v>169</v>
      </c>
    </row>
    <row r="5" spans="1:14" ht="19.5" customHeight="1" x14ac:dyDescent="0.3">
      <c r="A5" s="88">
        <v>46388</v>
      </c>
      <c r="B5" s="89" t="s">
        <v>122</v>
      </c>
      <c r="C5" s="90" t="str">
        <f>IF(B5="","",IFERROR(INDEX('My Books'!$F$5:$F$24,MATCH(B5,'My Books'!$B$5:$B$24,0)),"Concept"))</f>
        <v>Drafting</v>
      </c>
      <c r="D5" s="91">
        <v>600</v>
      </c>
      <c r="E5" s="91">
        <v>200</v>
      </c>
      <c r="F5" s="91">
        <v>1800</v>
      </c>
      <c r="G5" s="91">
        <v>0</v>
      </c>
      <c r="H5" s="92">
        <f>IF(COUNTA(D5:G5)=0,"",SUM(D5:G5))</f>
        <v>2600</v>
      </c>
      <c r="I5" s="92">
        <f>IF(H5="","",F5*Config!$B$10+E5*IF(OR(C5="Pre-Draft Outline",C5="Pre-Revision Outline",C5="Concept"),Config!$B$11,Config!$B$13)+D5*Config!$B$14+G5*IF(OR(C5="Revision",C5="Beta Review",C5="Proofing"),Config!$B$15,Config!$B$16))</f>
        <v>2200</v>
      </c>
      <c r="J5" s="91">
        <f>IF(AND($A5="",$B5="",SUM($D5:$G5,$L5)=0,$N5=""),"",Config!$B$5)</f>
        <v>2000</v>
      </c>
      <c r="K5" s="90" t="str">
        <f>IF($A5="","",IF(COUNTIF($A$5:A5,$A5)&gt;1,"",IF(SUMIFS($I$5:$I$34,$A$5:$A$34,$A5)&gt;=$J5,"✅ Yes","—")))</f>
        <v>✅ Yes</v>
      </c>
      <c r="L5" s="91">
        <v>90</v>
      </c>
      <c r="M5" s="91">
        <f>IF(OR(H5="",L5="",L5=0),"",ROUND((H5/L5)*60,0))</f>
        <v>1733</v>
      </c>
      <c r="N5" s="93" t="s">
        <v>170</v>
      </c>
    </row>
    <row r="6" spans="1:14" ht="19.5" customHeight="1" x14ac:dyDescent="0.3">
      <c r="A6" s="94" t="s">
        <v>171</v>
      </c>
      <c r="B6" s="95" t="s">
        <v>122</v>
      </c>
      <c r="C6" s="96" t="str">
        <f>IF(B6="","",IFERROR(INDEX('My Books'!$F$5:$F$24,MATCH(B6,'My Books'!$B$5:$B$24,0)),"Concept"))</f>
        <v>Drafting</v>
      </c>
      <c r="D6" s="97">
        <v>0</v>
      </c>
      <c r="E6" s="97">
        <v>0</v>
      </c>
      <c r="F6" s="97">
        <v>2000</v>
      </c>
      <c r="G6" s="97">
        <v>450</v>
      </c>
      <c r="H6" s="98">
        <f>IF(COUNTA(D6:G6)=0,"",SUM(D6:G6))</f>
        <v>2450</v>
      </c>
      <c r="I6" s="98">
        <f>IF(H6="","",F6*Config!$B$10+E6*IF(OR(C6="Pre-Draft Outline",C6="Pre-Revision Outline",C6="Concept"),Config!$B$11,Config!$B$13)+D6*Config!$B$14+G6*IF(OR(C6="Revision",C6="Beta Review",C6="Proofing"),Config!$B$15,Config!$B$16))</f>
        <v>2000</v>
      </c>
      <c r="J6" s="97">
        <f>IF(AND($A6="",$B6="",SUM($D6:$G6,$L6)=0,$N6=""),"",Config!$B$5)</f>
        <v>2000</v>
      </c>
      <c r="K6" s="96" t="str">
        <f>IF($A6="","",IF(COUNTIF($A$5:A6,$A6)&gt;1,"",IF(SUMIFS($I$5:$I$34,$A$5:$A$34,$A6)&gt;=$J6,"✅ Yes","—")))</f>
        <v>✅ Yes</v>
      </c>
      <c r="L6" s="97">
        <v>85</v>
      </c>
      <c r="M6" s="97">
        <f>IF(OR(H6="",L6="",L6=0),"",ROUND((H6/L6)*60,0))</f>
        <v>1729</v>
      </c>
      <c r="N6" s="99" t="s">
        <v>172</v>
      </c>
    </row>
    <row r="7" spans="1:14" ht="19.5" customHeight="1" x14ac:dyDescent="0.3">
      <c r="A7" s="88" t="s">
        <v>173</v>
      </c>
      <c r="B7" s="89" t="s">
        <v>122</v>
      </c>
      <c r="C7" s="90" t="s">
        <v>51</v>
      </c>
      <c r="D7" s="91">
        <v>200</v>
      </c>
      <c r="E7" s="91">
        <v>0</v>
      </c>
      <c r="F7" s="91">
        <v>1900</v>
      </c>
      <c r="G7" s="91">
        <v>300</v>
      </c>
      <c r="H7" s="92">
        <f t="shared" ref="H7:H34" si="0">IF(AND($A7="",$B7="",SUM($D7:$G7,$L7)=0,$N7=""),"",SUM($D7:$G7))</f>
        <v>2400</v>
      </c>
      <c r="I7" s="92">
        <f>IF(AND($A7="",$B7="",SUM($D7:$G7,$L7)=0,$N7=""),"",$F7*Config!$B$10+$E7*IF($C7="Pre-Draft Outline",Config!$B$11,IF($C7="Pre-Revision Outline",Config!$B$12,Config!$B$13))+$D7*Config!$B$14+IF($C7="Revision",$G7*Config!$B$15,$G7*Config!$B$16))</f>
        <v>2000</v>
      </c>
      <c r="J7" s="91">
        <f>IF(AND($A7="",$B7="",SUM($D7:$G7,$L7)=0,$N7=""),"",Config!$B$5)</f>
        <v>2000</v>
      </c>
      <c r="K7" s="90" t="str">
        <f>IF($A7="","",IF(COUNTIF($A$5:A7,$A7)&gt;1,"",IF(SUMIFS($I$5:$I$34,$A$5:$A$34,$A7)&gt;=$J7,"✅ Yes","—")))</f>
        <v>✅ Yes</v>
      </c>
      <c r="L7" s="91">
        <v>110</v>
      </c>
      <c r="M7" s="91">
        <f t="shared" ref="M7:M34" si="1">IF(OR($H7="",NOT(ISNUMBER($L7)),$L7&lt;=0),"",ROUND($H7/($L7/60),0))</f>
        <v>1309</v>
      </c>
      <c r="N7" s="93" t="s">
        <v>174</v>
      </c>
    </row>
    <row r="8" spans="1:14" ht="19.5" customHeight="1" x14ac:dyDescent="0.3">
      <c r="A8" s="94"/>
      <c r="B8" s="95"/>
      <c r="C8" s="96" t="str">
        <f>IF($B8="","",IF(COUNTIF('My Books'!$B$5:$B$24,$B8)&gt;0,INDEX('My Books'!$F$5:$F$24,MATCH($B8,'My Books'!$B$5:$B$24,0)),Config!$F$5))</f>
        <v/>
      </c>
      <c r="D8" s="97"/>
      <c r="E8" s="97"/>
      <c r="F8" s="97"/>
      <c r="G8" s="97"/>
      <c r="H8" s="98" t="str">
        <f t="shared" si="0"/>
        <v/>
      </c>
      <c r="I8" s="98" t="str">
        <f>IF(AND($A8="",$B8="",SUM($D8:$G8,$L8)=0,$N8=""),"",$F8*Config!$B$10+$E8*IF($C8="Pre-Draft Outline",Config!$B$11,IF($C8="Pre-Revision Outline",Config!$B$12,Config!$B$13))+$D8*Config!$B$14+IF($C8="Revision",$G8*Config!$B$15,$G8*Config!$B$16))</f>
        <v/>
      </c>
      <c r="J8" s="97" t="str">
        <f>IF(AND($A8="",$B8="",SUM($D8:$G8,$L8)=0,$N8=""),"",Config!$B$5)</f>
        <v/>
      </c>
      <c r="K8" s="96" t="str">
        <f>IF($A8="","",IF(COUNTIF($A$5:A8,$A8)&gt;1,"",IF(SUMIFS($I$5:$I$34,$A$5:$A$34,$A8)&gt;=$J8,"✅ Yes","—")))</f>
        <v/>
      </c>
      <c r="L8" s="97"/>
      <c r="M8" s="97" t="str">
        <f t="shared" si="1"/>
        <v/>
      </c>
      <c r="N8" s="99"/>
    </row>
    <row r="9" spans="1:14" ht="19.5" customHeight="1" x14ac:dyDescent="0.3">
      <c r="A9" s="88"/>
      <c r="B9" s="89"/>
      <c r="C9" s="90" t="str">
        <f>IF($B9="","",IF(COUNTIF('My Books'!$B$5:$B$24,$B9)&gt;0,INDEX('My Books'!$F$5:$F$24,MATCH($B9,'My Books'!$B$5:$B$24,0)),Config!$F$5))</f>
        <v/>
      </c>
      <c r="D9" s="91"/>
      <c r="E9" s="91"/>
      <c r="F9" s="91"/>
      <c r="G9" s="91"/>
      <c r="H9" s="92" t="str">
        <f t="shared" si="0"/>
        <v/>
      </c>
      <c r="I9" s="92" t="str">
        <f>IF(AND($A9="",$B9="",SUM($D9:$G9,$L9)=0,$N9=""),"",$F9*Config!$B$10+$E9*IF($C9="Pre-Draft Outline",Config!$B$11,IF($C9="Pre-Revision Outline",Config!$B$12,Config!$B$13))+$D9*Config!$B$14+IF($C9="Revision",$G9*Config!$B$15,$G9*Config!$B$16))</f>
        <v/>
      </c>
      <c r="J9" s="91" t="str">
        <f>IF(AND($A9="",$B9="",SUM($D9:$G9,$L9)=0,$N9=""),"",Config!$B$5)</f>
        <v/>
      </c>
      <c r="K9" s="90" t="str">
        <f>IF($A9="","",IF(COUNTIF($A$5:A9,$A9)&gt;1,"",IF(SUMIFS($I$5:$I$34,$A$5:$A$34,$A9)&gt;=$J9,"✅ Yes","—")))</f>
        <v/>
      </c>
      <c r="L9" s="91"/>
      <c r="M9" s="91" t="str">
        <f t="shared" si="1"/>
        <v/>
      </c>
      <c r="N9" s="93"/>
    </row>
    <row r="10" spans="1:14" ht="19.5" customHeight="1" x14ac:dyDescent="0.3">
      <c r="A10" s="94"/>
      <c r="B10" s="95"/>
      <c r="C10" s="96" t="str">
        <f>IF($B10="","",IF(COUNTIF('My Books'!$B$5:$B$24,$B10)&gt;0,INDEX('My Books'!$F$5:$F$24,MATCH($B10,'My Books'!$B$5:$B$24,0)),Config!$F$5))</f>
        <v/>
      </c>
      <c r="D10" s="97"/>
      <c r="E10" s="97"/>
      <c r="F10" s="97"/>
      <c r="G10" s="97"/>
      <c r="H10" s="98" t="str">
        <f t="shared" si="0"/>
        <v/>
      </c>
      <c r="I10" s="98" t="str">
        <f>IF(AND($A10="",$B10="",SUM($D10:$G10,$L10)=0,$N10=""),"",$F10*Config!$B$10+$E10*IF($C10="Pre-Draft Outline",Config!$B$11,IF($C10="Pre-Revision Outline",Config!$B$12,Config!$B$13))+$D10*Config!$B$14+IF($C10="Revision",$G10*Config!$B$15,$G10*Config!$B$16))</f>
        <v/>
      </c>
      <c r="J10" s="97" t="str">
        <f>IF(AND($A10="",$B10="",SUM($D10:$G10,$L10)=0,$N10=""),"",Config!$B$5)</f>
        <v/>
      </c>
      <c r="K10" s="96" t="str">
        <f>IF($A10="","",IF(COUNTIF($A$5:A10,$A10)&gt;1,"",IF(SUMIFS($I$5:$I$34,$A$5:$A$34,$A10)&gt;=$J10,"✅ Yes","—")))</f>
        <v/>
      </c>
      <c r="L10" s="97"/>
      <c r="M10" s="97" t="str">
        <f t="shared" si="1"/>
        <v/>
      </c>
      <c r="N10" s="99"/>
    </row>
    <row r="11" spans="1:14" ht="19.5" customHeight="1" x14ac:dyDescent="0.3">
      <c r="A11" s="88"/>
      <c r="B11" s="89"/>
      <c r="C11" s="90" t="str">
        <f>IF($B11="","",IF(COUNTIF('My Books'!$B$5:$B$24,$B11)&gt;0,INDEX('My Books'!$F$5:$F$24,MATCH($B11,'My Books'!$B$5:$B$24,0)),Config!$F$5))</f>
        <v/>
      </c>
      <c r="D11" s="91"/>
      <c r="E11" s="91"/>
      <c r="F11" s="91"/>
      <c r="G11" s="91"/>
      <c r="H11" s="92" t="str">
        <f t="shared" si="0"/>
        <v/>
      </c>
      <c r="I11" s="92" t="str">
        <f>IF(AND($A11="",$B11="",SUM($D11:$G11,$L11)=0,$N11=""),"",$F11*Config!$B$10+$E11*IF($C11="Pre-Draft Outline",Config!$B$11,IF($C11="Pre-Revision Outline",Config!$B$12,Config!$B$13))+$D11*Config!$B$14+IF($C11="Revision",$G11*Config!$B$15,$G11*Config!$B$16))</f>
        <v/>
      </c>
      <c r="J11" s="91" t="str">
        <f>IF(AND($A11="",$B11="",SUM($D11:$G11,$L11)=0,$N11=""),"",Config!$B$5)</f>
        <v/>
      </c>
      <c r="K11" s="90" t="str">
        <f>IF($A11="","",IF(COUNTIF($A$5:A11,$A11)&gt;1,"",IF(SUMIFS($I$5:$I$34,$A$5:$A$34,$A11)&gt;=$J11,"✅ Yes","—")))</f>
        <v/>
      </c>
      <c r="L11" s="91"/>
      <c r="M11" s="91" t="str">
        <f t="shared" si="1"/>
        <v/>
      </c>
      <c r="N11" s="93"/>
    </row>
    <row r="12" spans="1:14" ht="19.5" customHeight="1" x14ac:dyDescent="0.3">
      <c r="A12" s="94"/>
      <c r="B12" s="95"/>
      <c r="C12" s="96" t="str">
        <f>IF($B12="","",IF(COUNTIF('My Books'!$B$5:$B$24,$B12)&gt;0,INDEX('My Books'!$F$5:$F$24,MATCH($B12,'My Books'!$B$5:$B$24,0)),Config!$F$5))</f>
        <v/>
      </c>
      <c r="D12" s="97"/>
      <c r="E12" s="97"/>
      <c r="F12" s="97"/>
      <c r="G12" s="97"/>
      <c r="H12" s="98" t="str">
        <f t="shared" si="0"/>
        <v/>
      </c>
      <c r="I12" s="98" t="str">
        <f>IF(AND($A12="",$B12="",SUM($D12:$G12,$L12)=0,$N12=""),"",$F12*Config!$B$10+$E12*IF($C12="Pre-Draft Outline",Config!$B$11,IF($C12="Pre-Revision Outline",Config!$B$12,Config!$B$13))+$D12*Config!$B$14+IF($C12="Revision",$G12*Config!$B$15,$G12*Config!$B$16))</f>
        <v/>
      </c>
      <c r="J12" s="97" t="str">
        <f>IF(AND($A12="",$B12="",SUM($D12:$G12,$L12)=0,$N12=""),"",Config!$B$5)</f>
        <v/>
      </c>
      <c r="K12" s="96" t="str">
        <f>IF($A12="","",IF(COUNTIF($A$5:A12,$A12)&gt;1,"",IF(SUMIFS($I$5:$I$34,$A$5:$A$34,$A12)&gt;=$J12,"✅ Yes","—")))</f>
        <v/>
      </c>
      <c r="L12" s="97"/>
      <c r="M12" s="97" t="str">
        <f t="shared" si="1"/>
        <v/>
      </c>
      <c r="N12" s="99"/>
    </row>
    <row r="13" spans="1:14" ht="19.5" customHeight="1" x14ac:dyDescent="0.3">
      <c r="A13" s="88"/>
      <c r="B13" s="89"/>
      <c r="C13" s="90" t="str">
        <f>IF($B13="","",IF(COUNTIF('My Books'!$B$5:$B$24,$B13)&gt;0,INDEX('My Books'!$F$5:$F$24,MATCH($B13,'My Books'!$B$5:$B$24,0)),Config!$F$5))</f>
        <v/>
      </c>
      <c r="D13" s="91"/>
      <c r="E13" s="91"/>
      <c r="F13" s="91"/>
      <c r="G13" s="91"/>
      <c r="H13" s="92" t="str">
        <f t="shared" si="0"/>
        <v/>
      </c>
      <c r="I13" s="92" t="str">
        <f>IF(AND($A13="",$B13="",SUM($D13:$G13,$L13)=0,$N13=""),"",$F13*Config!$B$10+$E13*IF($C13="Pre-Draft Outline",Config!$B$11,IF($C13="Pre-Revision Outline",Config!$B$12,Config!$B$13))+$D13*Config!$B$14+IF($C13="Revision",$G13*Config!$B$15,$G13*Config!$B$16))</f>
        <v/>
      </c>
      <c r="J13" s="91" t="str">
        <f>IF(AND($A13="",$B13="",SUM($D13:$G13,$L13)=0,$N13=""),"",Config!$B$5)</f>
        <v/>
      </c>
      <c r="K13" s="90" t="str">
        <f>IF($A13="","",IF(COUNTIF($A$5:A13,$A13)&gt;1,"",IF(SUMIFS($I$5:$I$34,$A$5:$A$34,$A13)&gt;=$J13,"✅ Yes","—")))</f>
        <v/>
      </c>
      <c r="L13" s="91"/>
      <c r="M13" s="91" t="str">
        <f t="shared" si="1"/>
        <v/>
      </c>
      <c r="N13" s="93"/>
    </row>
    <row r="14" spans="1:14" ht="19.5" customHeight="1" x14ac:dyDescent="0.3">
      <c r="A14" s="94"/>
      <c r="B14" s="95"/>
      <c r="C14" s="96" t="str">
        <f>IF($B14="","",IF(COUNTIF('My Books'!$B$5:$B$24,$B14)&gt;0,INDEX('My Books'!$F$5:$F$24,MATCH($B14,'My Books'!$B$5:$B$24,0)),Config!$F$5))</f>
        <v/>
      </c>
      <c r="D14" s="97"/>
      <c r="E14" s="97"/>
      <c r="F14" s="97"/>
      <c r="G14" s="97"/>
      <c r="H14" s="98" t="str">
        <f t="shared" si="0"/>
        <v/>
      </c>
      <c r="I14" s="98" t="str">
        <f>IF(AND($A14="",$B14="",SUM($D14:$G14,$L14)=0,$N14=""),"",$F14*Config!$B$10+$E14*IF($C14="Pre-Draft Outline",Config!$B$11,IF($C14="Pre-Revision Outline",Config!$B$12,Config!$B$13))+$D14*Config!$B$14+IF($C14="Revision",$G14*Config!$B$15,$G14*Config!$B$16))</f>
        <v/>
      </c>
      <c r="J14" s="97" t="str">
        <f>IF(AND($A14="",$B14="",SUM($D14:$G14,$L14)=0,$N14=""),"",Config!$B$5)</f>
        <v/>
      </c>
      <c r="K14" s="96" t="str">
        <f>IF($A14="","",IF(COUNTIF($A$5:A14,$A14)&gt;1,"",IF(SUMIFS($I$5:$I$34,$A$5:$A$34,$A14)&gt;=$J14,"✅ Yes","—")))</f>
        <v/>
      </c>
      <c r="L14" s="97"/>
      <c r="M14" s="97" t="str">
        <f t="shared" si="1"/>
        <v/>
      </c>
      <c r="N14" s="99"/>
    </row>
    <row r="15" spans="1:14" ht="19.5" customHeight="1" x14ac:dyDescent="0.3">
      <c r="A15" s="88"/>
      <c r="B15" s="89"/>
      <c r="C15" s="90" t="str">
        <f>IF($B15="","",IF(COUNTIF('My Books'!$B$5:$B$24,$B15)&gt;0,INDEX('My Books'!$F$5:$F$24,MATCH($B15,'My Books'!$B$5:$B$24,0)),Config!$F$5))</f>
        <v/>
      </c>
      <c r="D15" s="91"/>
      <c r="E15" s="91"/>
      <c r="F15" s="91"/>
      <c r="G15" s="91"/>
      <c r="H15" s="92" t="str">
        <f t="shared" si="0"/>
        <v/>
      </c>
      <c r="I15" s="92" t="str">
        <f>IF(AND($A15="",$B15="",SUM($D15:$G15,$L15)=0,$N15=""),"",$F15*Config!$B$10+$E15*IF($C15="Pre-Draft Outline",Config!$B$11,IF($C15="Pre-Revision Outline",Config!$B$12,Config!$B$13))+$D15*Config!$B$14+IF($C15="Revision",$G15*Config!$B$15,$G15*Config!$B$16))</f>
        <v/>
      </c>
      <c r="J15" s="91" t="str">
        <f>IF(AND($A15="",$B15="",SUM($D15:$G15,$L15)=0,$N15=""),"",Config!$B$5)</f>
        <v/>
      </c>
      <c r="K15" s="90" t="str">
        <f>IF($A15="","",IF(COUNTIF($A$5:A15,$A15)&gt;1,"",IF(SUMIFS($I$5:$I$34,$A$5:$A$34,$A15)&gt;=$J15,"✅ Yes","—")))</f>
        <v/>
      </c>
      <c r="L15" s="91"/>
      <c r="M15" s="91" t="str">
        <f t="shared" si="1"/>
        <v/>
      </c>
      <c r="N15" s="93"/>
    </row>
    <row r="16" spans="1:14" ht="19.5" customHeight="1" x14ac:dyDescent="0.3">
      <c r="A16" s="94"/>
      <c r="B16" s="95"/>
      <c r="C16" s="96" t="str">
        <f>IF($B16="","",IF(COUNTIF('My Books'!$B$5:$B$24,$B16)&gt;0,INDEX('My Books'!$F$5:$F$24,MATCH($B16,'My Books'!$B$5:$B$24,0)),Config!$F$5))</f>
        <v/>
      </c>
      <c r="D16" s="97"/>
      <c r="E16" s="97"/>
      <c r="F16" s="97"/>
      <c r="G16" s="97"/>
      <c r="H16" s="98" t="str">
        <f t="shared" si="0"/>
        <v/>
      </c>
      <c r="I16" s="98" t="str">
        <f>IF(AND($A16="",$B16="",SUM($D16:$G16,$L16)=0,$N16=""),"",$F16*Config!$B$10+$E16*IF($C16="Pre-Draft Outline",Config!$B$11,IF($C16="Pre-Revision Outline",Config!$B$12,Config!$B$13))+$D16*Config!$B$14+IF($C16="Revision",$G16*Config!$B$15,$G16*Config!$B$16))</f>
        <v/>
      </c>
      <c r="J16" s="97" t="str">
        <f>IF(AND($A16="",$B16="",SUM($D16:$G16,$L16)=0,$N16=""),"",Config!$B$5)</f>
        <v/>
      </c>
      <c r="K16" s="96" t="str">
        <f>IF($A16="","",IF(COUNTIF($A$5:A16,$A16)&gt;1,"",IF(SUMIFS($I$5:$I$34,$A$5:$A$34,$A16)&gt;=$J16,"✅ Yes","—")))</f>
        <v/>
      </c>
      <c r="L16" s="97"/>
      <c r="M16" s="97" t="str">
        <f t="shared" si="1"/>
        <v/>
      </c>
      <c r="N16" s="99"/>
    </row>
    <row r="17" spans="1:14" ht="19.5" customHeight="1" x14ac:dyDescent="0.3">
      <c r="A17" s="88"/>
      <c r="B17" s="89"/>
      <c r="C17" s="90" t="str">
        <f>IF($B17="","",IF(COUNTIF('My Books'!$B$5:$B$24,$B17)&gt;0,INDEX('My Books'!$F$5:$F$24,MATCH($B17,'My Books'!$B$5:$B$24,0)),Config!$F$5))</f>
        <v/>
      </c>
      <c r="D17" s="91"/>
      <c r="E17" s="91"/>
      <c r="F17" s="91"/>
      <c r="G17" s="91"/>
      <c r="H17" s="92" t="str">
        <f t="shared" si="0"/>
        <v/>
      </c>
      <c r="I17" s="92" t="str">
        <f>IF(AND($A17="",$B17="",SUM($D17:$G17,$L17)=0,$N17=""),"",$F17*Config!$B$10+$E17*IF($C17="Pre-Draft Outline",Config!$B$11,IF($C17="Pre-Revision Outline",Config!$B$12,Config!$B$13))+$D17*Config!$B$14+IF($C17="Revision",$G17*Config!$B$15,$G17*Config!$B$16))</f>
        <v/>
      </c>
      <c r="J17" s="91" t="str">
        <f>IF(AND($A17="",$B17="",SUM($D17:$G17,$L17)=0,$N17=""),"",Config!$B$5)</f>
        <v/>
      </c>
      <c r="K17" s="90" t="str">
        <f>IF($A17="","",IF(COUNTIF($A$5:A17,$A17)&gt;1,"",IF(SUMIFS($I$5:$I$34,$A$5:$A$34,$A17)&gt;=$J17,"✅ Yes","—")))</f>
        <v/>
      </c>
      <c r="L17" s="91"/>
      <c r="M17" s="91" t="str">
        <f t="shared" si="1"/>
        <v/>
      </c>
      <c r="N17" s="93"/>
    </row>
    <row r="18" spans="1:14" ht="19.5" customHeight="1" x14ac:dyDescent="0.3">
      <c r="A18" s="94"/>
      <c r="B18" s="95"/>
      <c r="C18" s="96" t="str">
        <f>IF($B18="","",IF(COUNTIF('My Books'!$B$5:$B$24,$B18)&gt;0,INDEX('My Books'!$F$5:$F$24,MATCH($B18,'My Books'!$B$5:$B$24,0)),Config!$F$5))</f>
        <v/>
      </c>
      <c r="D18" s="97"/>
      <c r="E18" s="97"/>
      <c r="F18" s="97"/>
      <c r="G18" s="97"/>
      <c r="H18" s="98" t="str">
        <f t="shared" si="0"/>
        <v/>
      </c>
      <c r="I18" s="98" t="str">
        <f>IF(AND($A18="",$B18="",SUM($D18:$G18,$L18)=0,$N18=""),"",$F18*Config!$B$10+$E18*IF($C18="Pre-Draft Outline",Config!$B$11,IF($C18="Pre-Revision Outline",Config!$B$12,Config!$B$13))+$D18*Config!$B$14+IF($C18="Revision",$G18*Config!$B$15,$G18*Config!$B$16))</f>
        <v/>
      </c>
      <c r="J18" s="97" t="str">
        <f>IF(AND($A18="",$B18="",SUM($D18:$G18,$L18)=0,$N18=""),"",Config!$B$5)</f>
        <v/>
      </c>
      <c r="K18" s="96" t="str">
        <f>IF($A18="","",IF(COUNTIF($A$5:A18,$A18)&gt;1,"",IF(SUMIFS($I$5:$I$34,$A$5:$A$34,$A18)&gt;=$J18,"✅ Yes","—")))</f>
        <v/>
      </c>
      <c r="L18" s="97"/>
      <c r="M18" s="97" t="str">
        <f t="shared" si="1"/>
        <v/>
      </c>
      <c r="N18" s="99"/>
    </row>
    <row r="19" spans="1:14" ht="19.5" customHeight="1" x14ac:dyDescent="0.3">
      <c r="A19" s="88"/>
      <c r="B19" s="89"/>
      <c r="C19" s="90" t="str">
        <f>IF($B19="","",IF(COUNTIF('My Books'!$B$5:$B$24,$B19)&gt;0,INDEX('My Books'!$F$5:$F$24,MATCH($B19,'My Books'!$B$5:$B$24,0)),Config!$F$5))</f>
        <v/>
      </c>
      <c r="D19" s="91"/>
      <c r="E19" s="91"/>
      <c r="F19" s="91"/>
      <c r="G19" s="91"/>
      <c r="H19" s="92" t="str">
        <f t="shared" si="0"/>
        <v/>
      </c>
      <c r="I19" s="92" t="str">
        <f>IF(AND($A19="",$B19="",SUM($D19:$G19,$L19)=0,$N19=""),"",$F19*Config!$B$10+$E19*IF($C19="Pre-Draft Outline",Config!$B$11,IF($C19="Pre-Revision Outline",Config!$B$12,Config!$B$13))+$D19*Config!$B$14+IF($C19="Revision",$G19*Config!$B$15,$G19*Config!$B$16))</f>
        <v/>
      </c>
      <c r="J19" s="91" t="str">
        <f>IF(AND($A19="",$B19="",SUM($D19:$G19,$L19)=0,$N19=""),"",Config!$B$5)</f>
        <v/>
      </c>
      <c r="K19" s="90" t="str">
        <f>IF($A19="","",IF(COUNTIF($A$5:A19,$A19)&gt;1,"",IF(SUMIFS($I$5:$I$34,$A$5:$A$34,$A19)&gt;=$J19,"✅ Yes","—")))</f>
        <v/>
      </c>
      <c r="L19" s="91"/>
      <c r="M19" s="91" t="str">
        <f t="shared" si="1"/>
        <v/>
      </c>
      <c r="N19" s="93"/>
    </row>
    <row r="20" spans="1:14" ht="19.5" customHeight="1" x14ac:dyDescent="0.3">
      <c r="A20" s="94"/>
      <c r="B20" s="95"/>
      <c r="C20" s="96" t="str">
        <f>IF($B20="","",IF(COUNTIF('My Books'!$B$5:$B$24,$B20)&gt;0,INDEX('My Books'!$F$5:$F$24,MATCH($B20,'My Books'!$B$5:$B$24,0)),Config!$F$5))</f>
        <v/>
      </c>
      <c r="D20" s="97"/>
      <c r="E20" s="97"/>
      <c r="F20" s="97"/>
      <c r="G20" s="97"/>
      <c r="H20" s="98" t="str">
        <f t="shared" si="0"/>
        <v/>
      </c>
      <c r="I20" s="98" t="str">
        <f>IF(AND($A20="",$B20="",SUM($D20:$G20,$L20)=0,$N20=""),"",$F20*Config!$B$10+$E20*IF($C20="Pre-Draft Outline",Config!$B$11,IF($C20="Pre-Revision Outline",Config!$B$12,Config!$B$13))+$D20*Config!$B$14+IF($C20="Revision",$G20*Config!$B$15,$G20*Config!$B$16))</f>
        <v/>
      </c>
      <c r="J20" s="97" t="str">
        <f>IF(AND($A20="",$B20="",SUM($D20:$G20,$L20)=0,$N20=""),"",Config!$B$5)</f>
        <v/>
      </c>
      <c r="K20" s="96" t="str">
        <f>IF($A20="","",IF(COUNTIF($A$5:A20,$A20)&gt;1,"",IF(SUMIFS($I$5:$I$34,$A$5:$A$34,$A20)&gt;=$J20,"✅ Yes","—")))</f>
        <v/>
      </c>
      <c r="L20" s="97"/>
      <c r="M20" s="97" t="str">
        <f t="shared" si="1"/>
        <v/>
      </c>
      <c r="N20" s="99"/>
    </row>
    <row r="21" spans="1:14" ht="19.5" customHeight="1" x14ac:dyDescent="0.3">
      <c r="A21" s="88"/>
      <c r="B21" s="89"/>
      <c r="C21" s="90" t="str">
        <f>IF($B21="","",IF(COUNTIF('My Books'!$B$5:$B$24,$B21)&gt;0,INDEX('My Books'!$F$5:$F$24,MATCH($B21,'My Books'!$B$5:$B$24,0)),Config!$F$5))</f>
        <v/>
      </c>
      <c r="D21" s="91"/>
      <c r="E21" s="91"/>
      <c r="F21" s="91"/>
      <c r="G21" s="91"/>
      <c r="H21" s="92" t="str">
        <f t="shared" si="0"/>
        <v/>
      </c>
      <c r="I21" s="92" t="str">
        <f>IF(AND($A21="",$B21="",SUM($D21:$G21,$L21)=0,$N21=""),"",$F21*Config!$B$10+$E21*IF($C21="Pre-Draft Outline",Config!$B$11,IF($C21="Pre-Revision Outline",Config!$B$12,Config!$B$13))+$D21*Config!$B$14+IF($C21="Revision",$G21*Config!$B$15,$G21*Config!$B$16))</f>
        <v/>
      </c>
      <c r="J21" s="91" t="str">
        <f>IF(AND($A21="",$B21="",SUM($D21:$G21,$L21)=0,$N21=""),"",Config!$B$5)</f>
        <v/>
      </c>
      <c r="K21" s="90" t="str">
        <f>IF($A21="","",IF(COUNTIF($A$5:A21,$A21)&gt;1,"",IF(SUMIFS($I$5:$I$34,$A$5:$A$34,$A21)&gt;=$J21,"✅ Yes","—")))</f>
        <v/>
      </c>
      <c r="L21" s="91"/>
      <c r="M21" s="91" t="str">
        <f t="shared" si="1"/>
        <v/>
      </c>
      <c r="N21" s="93"/>
    </row>
    <row r="22" spans="1:14" ht="19.5" customHeight="1" x14ac:dyDescent="0.3">
      <c r="A22" s="94"/>
      <c r="B22" s="95"/>
      <c r="C22" s="96" t="str">
        <f>IF($B22="","",IF(COUNTIF('My Books'!$B$5:$B$24,$B22)&gt;0,INDEX('My Books'!$F$5:$F$24,MATCH($B22,'My Books'!$B$5:$B$24,0)),Config!$F$5))</f>
        <v/>
      </c>
      <c r="D22" s="97"/>
      <c r="E22" s="97"/>
      <c r="F22" s="97"/>
      <c r="G22" s="97"/>
      <c r="H22" s="98" t="str">
        <f t="shared" si="0"/>
        <v/>
      </c>
      <c r="I22" s="98" t="str">
        <f>IF(AND($A22="",$B22="",SUM($D22:$G22,$L22)=0,$N22=""),"",$F22*Config!$B$10+$E22*IF($C22="Pre-Draft Outline",Config!$B$11,IF($C22="Pre-Revision Outline",Config!$B$12,Config!$B$13))+$D22*Config!$B$14+IF($C22="Revision",$G22*Config!$B$15,$G22*Config!$B$16))</f>
        <v/>
      </c>
      <c r="J22" s="97" t="str">
        <f>IF(AND($A22="",$B22="",SUM($D22:$G22,$L22)=0,$N22=""),"",Config!$B$5)</f>
        <v/>
      </c>
      <c r="K22" s="96" t="str">
        <f>IF($A22="","",IF(COUNTIF($A$5:A22,$A22)&gt;1,"",IF(SUMIFS($I$5:$I$34,$A$5:$A$34,$A22)&gt;=$J22,"✅ Yes","—")))</f>
        <v/>
      </c>
      <c r="L22" s="97"/>
      <c r="M22" s="97" t="str">
        <f t="shared" si="1"/>
        <v/>
      </c>
      <c r="N22" s="99"/>
    </row>
    <row r="23" spans="1:14" ht="19.5" customHeight="1" x14ac:dyDescent="0.3">
      <c r="A23" s="88"/>
      <c r="B23" s="89"/>
      <c r="C23" s="90" t="str">
        <f>IF($B23="","",IF(COUNTIF('My Books'!$B$5:$B$24,$B23)&gt;0,INDEX('My Books'!$F$5:$F$24,MATCH($B23,'My Books'!$B$5:$B$24,0)),Config!$F$5))</f>
        <v/>
      </c>
      <c r="D23" s="91"/>
      <c r="E23" s="91"/>
      <c r="F23" s="91"/>
      <c r="G23" s="91"/>
      <c r="H23" s="92" t="str">
        <f t="shared" si="0"/>
        <v/>
      </c>
      <c r="I23" s="92" t="str">
        <f>IF(AND($A23="",$B23="",SUM($D23:$G23,$L23)=0,$N23=""),"",$F23*Config!$B$10+$E23*IF($C23="Pre-Draft Outline",Config!$B$11,IF($C23="Pre-Revision Outline",Config!$B$12,Config!$B$13))+$D23*Config!$B$14+IF($C23="Revision",$G23*Config!$B$15,$G23*Config!$B$16))</f>
        <v/>
      </c>
      <c r="J23" s="91" t="str">
        <f>IF(AND($A23="",$B23="",SUM($D23:$G23,$L23)=0,$N23=""),"",Config!$B$5)</f>
        <v/>
      </c>
      <c r="K23" s="90" t="str">
        <f>IF($A23="","",IF(COUNTIF($A$5:A23,$A23)&gt;1,"",IF(SUMIFS($I$5:$I$34,$A$5:$A$34,$A23)&gt;=$J23,"✅ Yes","—")))</f>
        <v/>
      </c>
      <c r="L23" s="91"/>
      <c r="M23" s="91" t="str">
        <f t="shared" si="1"/>
        <v/>
      </c>
      <c r="N23" s="93"/>
    </row>
    <row r="24" spans="1:14" ht="19.5" customHeight="1" x14ac:dyDescent="0.3">
      <c r="A24" s="94"/>
      <c r="B24" s="95"/>
      <c r="C24" s="96" t="str">
        <f>IF($B24="","",IF(COUNTIF('My Books'!$B$5:$B$24,$B24)&gt;0,INDEX('My Books'!$F$5:$F$24,MATCH($B24,'My Books'!$B$5:$B$24,0)),Config!$F$5))</f>
        <v/>
      </c>
      <c r="D24" s="97"/>
      <c r="E24" s="97"/>
      <c r="F24" s="97"/>
      <c r="G24" s="97"/>
      <c r="H24" s="98" t="str">
        <f t="shared" si="0"/>
        <v/>
      </c>
      <c r="I24" s="98" t="str">
        <f>IF(AND($A24="",$B24="",SUM($D24:$G24,$L24)=0,$N24=""),"",$F24*Config!$B$10+$E24*IF($C24="Pre-Draft Outline",Config!$B$11,IF($C24="Pre-Revision Outline",Config!$B$12,Config!$B$13))+$D24*Config!$B$14+IF($C24="Revision",$G24*Config!$B$15,$G24*Config!$B$16))</f>
        <v/>
      </c>
      <c r="J24" s="97" t="str">
        <f>IF(AND($A24="",$B24="",SUM($D24:$G24,$L24)=0,$N24=""),"",Config!$B$5)</f>
        <v/>
      </c>
      <c r="K24" s="96" t="str">
        <f>IF($A24="","",IF(COUNTIF($A$5:A24,$A24)&gt;1,"",IF(SUMIFS($I$5:$I$34,$A$5:$A$34,$A24)&gt;=$J24,"✅ Yes","—")))</f>
        <v/>
      </c>
      <c r="L24" s="97"/>
      <c r="M24" s="97" t="str">
        <f t="shared" si="1"/>
        <v/>
      </c>
      <c r="N24" s="99"/>
    </row>
    <row r="25" spans="1:14" ht="19.5" customHeight="1" x14ac:dyDescent="0.3">
      <c r="A25" s="88"/>
      <c r="B25" s="89"/>
      <c r="C25" s="90" t="str">
        <f>IF($B25="","",IF(COUNTIF('My Books'!$B$5:$B$24,$B25)&gt;0,INDEX('My Books'!$F$5:$F$24,MATCH($B25,'My Books'!$B$5:$B$24,0)),Config!$F$5))</f>
        <v/>
      </c>
      <c r="D25" s="91"/>
      <c r="E25" s="91"/>
      <c r="F25" s="91"/>
      <c r="G25" s="91"/>
      <c r="H25" s="92" t="str">
        <f t="shared" si="0"/>
        <v/>
      </c>
      <c r="I25" s="92" t="str">
        <f>IF(AND($A25="",$B25="",SUM($D25:$G25,$L25)=0,$N25=""),"",$F25*Config!$B$10+$E25*IF($C25="Pre-Draft Outline",Config!$B$11,IF($C25="Pre-Revision Outline",Config!$B$12,Config!$B$13))+$D25*Config!$B$14+IF($C25="Revision",$G25*Config!$B$15,$G25*Config!$B$16))</f>
        <v/>
      </c>
      <c r="J25" s="91" t="str">
        <f>IF(AND($A25="",$B25="",SUM($D25:$G25,$L25)=0,$N25=""),"",Config!$B$5)</f>
        <v/>
      </c>
      <c r="K25" s="90" t="str">
        <f>IF($A25="","",IF(COUNTIF($A$5:A25,$A25)&gt;1,"",IF(SUMIFS($I$5:$I$34,$A$5:$A$34,$A25)&gt;=$J25,"✅ Yes","—")))</f>
        <v/>
      </c>
      <c r="L25" s="91"/>
      <c r="M25" s="91" t="str">
        <f t="shared" si="1"/>
        <v/>
      </c>
      <c r="N25" s="93"/>
    </row>
    <row r="26" spans="1:14" ht="19.5" customHeight="1" x14ac:dyDescent="0.3">
      <c r="A26" s="94"/>
      <c r="B26" s="95"/>
      <c r="C26" s="96" t="str">
        <f>IF($B26="","",IF(COUNTIF('My Books'!$B$5:$B$24,$B26)&gt;0,INDEX('My Books'!$F$5:$F$24,MATCH($B26,'My Books'!$B$5:$B$24,0)),Config!$F$5))</f>
        <v/>
      </c>
      <c r="D26" s="97"/>
      <c r="E26" s="97"/>
      <c r="F26" s="97"/>
      <c r="G26" s="97"/>
      <c r="H26" s="98" t="str">
        <f t="shared" si="0"/>
        <v/>
      </c>
      <c r="I26" s="98" t="str">
        <f>IF(AND($A26="",$B26="",SUM($D26:$G26,$L26)=0,$N26=""),"",$F26*Config!$B$10+$E26*IF($C26="Pre-Draft Outline",Config!$B$11,IF($C26="Pre-Revision Outline",Config!$B$12,Config!$B$13))+$D26*Config!$B$14+IF($C26="Revision",$G26*Config!$B$15,$G26*Config!$B$16))</f>
        <v/>
      </c>
      <c r="J26" s="97" t="str">
        <f>IF(AND($A26="",$B26="",SUM($D26:$G26,$L26)=0,$N26=""),"",Config!$B$5)</f>
        <v/>
      </c>
      <c r="K26" s="96" t="str">
        <f>IF($A26="","",IF(COUNTIF($A$5:A26,$A26)&gt;1,"",IF(SUMIFS($I$5:$I$34,$A$5:$A$34,$A26)&gt;=$J26,"✅ Yes","—")))</f>
        <v/>
      </c>
      <c r="L26" s="97"/>
      <c r="M26" s="97" t="str">
        <f t="shared" si="1"/>
        <v/>
      </c>
      <c r="N26" s="99"/>
    </row>
    <row r="27" spans="1:14" ht="19.5" customHeight="1" x14ac:dyDescent="0.3">
      <c r="A27" s="88"/>
      <c r="B27" s="89"/>
      <c r="C27" s="90" t="str">
        <f>IF($B27="","",IF(COUNTIF('My Books'!$B$5:$B$24,$B27)&gt;0,INDEX('My Books'!$F$5:$F$24,MATCH($B27,'My Books'!$B$5:$B$24,0)),Config!$F$5))</f>
        <v/>
      </c>
      <c r="D27" s="91"/>
      <c r="E27" s="91"/>
      <c r="F27" s="91"/>
      <c r="G27" s="91"/>
      <c r="H27" s="92" t="str">
        <f t="shared" si="0"/>
        <v/>
      </c>
      <c r="I27" s="92" t="str">
        <f>IF(AND($A27="",$B27="",SUM($D27:$G27,$L27)=0,$N27=""),"",$F27*Config!$B$10+$E27*IF($C27="Pre-Draft Outline",Config!$B$11,IF($C27="Pre-Revision Outline",Config!$B$12,Config!$B$13))+$D27*Config!$B$14+IF($C27="Revision",$G27*Config!$B$15,$G27*Config!$B$16))</f>
        <v/>
      </c>
      <c r="J27" s="91" t="str">
        <f>IF(AND($A27="",$B27="",SUM($D27:$G27,$L27)=0,$N27=""),"",Config!$B$5)</f>
        <v/>
      </c>
      <c r="K27" s="90" t="str">
        <f>IF($A27="","",IF(COUNTIF($A$5:A27,$A27)&gt;1,"",IF(SUMIFS($I$5:$I$34,$A$5:$A$34,$A27)&gt;=$J27,"✅ Yes","—")))</f>
        <v/>
      </c>
      <c r="L27" s="91"/>
      <c r="M27" s="91" t="str">
        <f t="shared" si="1"/>
        <v/>
      </c>
      <c r="N27" s="93"/>
    </row>
    <row r="28" spans="1:14" ht="19.5" customHeight="1" x14ac:dyDescent="0.3">
      <c r="A28" s="94"/>
      <c r="B28" s="95"/>
      <c r="C28" s="96" t="str">
        <f>IF($B28="","",IF(COUNTIF('My Books'!$B$5:$B$24,$B28)&gt;0,INDEX('My Books'!$F$5:$F$24,MATCH($B28,'My Books'!$B$5:$B$24,0)),Config!$F$5))</f>
        <v/>
      </c>
      <c r="D28" s="97"/>
      <c r="E28" s="97"/>
      <c r="F28" s="97"/>
      <c r="G28" s="97"/>
      <c r="H28" s="98" t="str">
        <f t="shared" si="0"/>
        <v/>
      </c>
      <c r="I28" s="98" t="str">
        <f>IF(AND($A28="",$B28="",SUM($D28:$G28,$L28)=0,$N28=""),"",$F28*Config!$B$10+$E28*IF($C28="Pre-Draft Outline",Config!$B$11,IF($C28="Pre-Revision Outline",Config!$B$12,Config!$B$13))+$D28*Config!$B$14+IF($C28="Revision",$G28*Config!$B$15,$G28*Config!$B$16))</f>
        <v/>
      </c>
      <c r="J28" s="97" t="str">
        <f>IF(AND($A28="",$B28="",SUM($D28:$G28,$L28)=0,$N28=""),"",Config!$B$5)</f>
        <v/>
      </c>
      <c r="K28" s="96" t="str">
        <f>IF($A28="","",IF(COUNTIF($A$5:A28,$A28)&gt;1,"",IF(SUMIFS($I$5:$I$34,$A$5:$A$34,$A28)&gt;=$J28,"✅ Yes","—")))</f>
        <v/>
      </c>
      <c r="L28" s="97"/>
      <c r="M28" s="97" t="str">
        <f t="shared" si="1"/>
        <v/>
      </c>
      <c r="N28" s="99"/>
    </row>
    <row r="29" spans="1:14" ht="19.5" customHeight="1" x14ac:dyDescent="0.3">
      <c r="A29" s="88"/>
      <c r="B29" s="89"/>
      <c r="C29" s="90" t="str">
        <f>IF($B29="","",IF(COUNTIF('My Books'!$B$5:$B$24,$B29)&gt;0,INDEX('My Books'!$F$5:$F$24,MATCH($B29,'My Books'!$B$5:$B$24,0)),Config!$F$5))</f>
        <v/>
      </c>
      <c r="D29" s="91"/>
      <c r="E29" s="91"/>
      <c r="F29" s="91"/>
      <c r="G29" s="91"/>
      <c r="H29" s="92" t="str">
        <f t="shared" si="0"/>
        <v/>
      </c>
      <c r="I29" s="92" t="str">
        <f>IF(AND($A29="",$B29="",SUM($D29:$G29,$L29)=0,$N29=""),"",$F29*Config!$B$10+$E29*IF($C29="Pre-Draft Outline",Config!$B$11,IF($C29="Pre-Revision Outline",Config!$B$12,Config!$B$13))+$D29*Config!$B$14+IF($C29="Revision",$G29*Config!$B$15,$G29*Config!$B$16))</f>
        <v/>
      </c>
      <c r="J29" s="91" t="str">
        <f>IF(AND($A29="",$B29="",SUM($D29:$G29,$L29)=0,$N29=""),"",Config!$B$5)</f>
        <v/>
      </c>
      <c r="K29" s="90" t="str">
        <f>IF($A29="","",IF(COUNTIF($A$5:A29,$A29)&gt;1,"",IF(SUMIFS($I$5:$I$34,$A$5:$A$34,$A29)&gt;=$J29,"✅ Yes","—")))</f>
        <v/>
      </c>
      <c r="L29" s="91"/>
      <c r="M29" s="91" t="str">
        <f t="shared" si="1"/>
        <v/>
      </c>
      <c r="N29" s="93"/>
    </row>
    <row r="30" spans="1:14" ht="19.5" customHeight="1" x14ac:dyDescent="0.3">
      <c r="A30" s="94"/>
      <c r="B30" s="95"/>
      <c r="C30" s="96" t="str">
        <f>IF($B30="","",IF(COUNTIF('My Books'!$B$5:$B$24,$B30)&gt;0,INDEX('My Books'!$F$5:$F$24,MATCH($B30,'My Books'!$B$5:$B$24,0)),Config!$F$5))</f>
        <v/>
      </c>
      <c r="D30" s="97"/>
      <c r="E30" s="97"/>
      <c r="F30" s="97"/>
      <c r="G30" s="97"/>
      <c r="H30" s="98" t="str">
        <f t="shared" si="0"/>
        <v/>
      </c>
      <c r="I30" s="98" t="str">
        <f>IF(AND($A30="",$B30="",SUM($D30:$G30,$L30)=0,$N30=""),"",$F30*Config!$B$10+$E30*IF($C30="Pre-Draft Outline",Config!$B$11,IF($C30="Pre-Revision Outline",Config!$B$12,Config!$B$13))+$D30*Config!$B$14+IF($C30="Revision",$G30*Config!$B$15,$G30*Config!$B$16))</f>
        <v/>
      </c>
      <c r="J30" s="97" t="str">
        <f>IF(AND($A30="",$B30="",SUM($D30:$G30,$L30)=0,$N30=""),"",Config!$B$5)</f>
        <v/>
      </c>
      <c r="K30" s="96" t="str">
        <f>IF($A30="","",IF(COUNTIF($A$5:A30,$A30)&gt;1,"",IF(SUMIFS($I$5:$I$34,$A$5:$A$34,$A30)&gt;=$J30,"✅ Yes","—")))</f>
        <v/>
      </c>
      <c r="L30" s="97"/>
      <c r="M30" s="97" t="str">
        <f t="shared" si="1"/>
        <v/>
      </c>
      <c r="N30" s="99"/>
    </row>
    <row r="31" spans="1:14" ht="19.5" customHeight="1" x14ac:dyDescent="0.3">
      <c r="A31" s="88"/>
      <c r="B31" s="89"/>
      <c r="C31" s="90" t="str">
        <f>IF($B31="","",IF(COUNTIF('My Books'!$B$5:$B$24,$B31)&gt;0,INDEX('My Books'!$F$5:$F$24,MATCH($B31,'My Books'!$B$5:$B$24,0)),Config!$F$5))</f>
        <v/>
      </c>
      <c r="D31" s="91"/>
      <c r="E31" s="91"/>
      <c r="F31" s="91"/>
      <c r="G31" s="91"/>
      <c r="H31" s="92" t="str">
        <f t="shared" si="0"/>
        <v/>
      </c>
      <c r="I31" s="92" t="str">
        <f>IF(AND($A31="",$B31="",SUM($D31:$G31,$L31)=0,$N31=""),"",$F31*Config!$B$10+$E31*IF($C31="Pre-Draft Outline",Config!$B$11,IF($C31="Pre-Revision Outline",Config!$B$12,Config!$B$13))+$D31*Config!$B$14+IF($C31="Revision",$G31*Config!$B$15,$G31*Config!$B$16))</f>
        <v/>
      </c>
      <c r="J31" s="91" t="str">
        <f>IF(AND($A31="",$B31="",SUM($D31:$G31,$L31)=0,$N31=""),"",Config!$B$5)</f>
        <v/>
      </c>
      <c r="K31" s="90" t="str">
        <f>IF($A31="","",IF(COUNTIF($A$5:A31,$A31)&gt;1,"",IF(SUMIFS($I$5:$I$34,$A$5:$A$34,$A31)&gt;=$J31,"✅ Yes","—")))</f>
        <v/>
      </c>
      <c r="L31" s="91"/>
      <c r="M31" s="91" t="str">
        <f t="shared" si="1"/>
        <v/>
      </c>
      <c r="N31" s="93"/>
    </row>
    <row r="32" spans="1:14" ht="19.5" customHeight="1" x14ac:dyDescent="0.3">
      <c r="A32" s="94"/>
      <c r="B32" s="95"/>
      <c r="C32" s="96" t="str">
        <f>IF($B32="","",IF(COUNTIF('My Books'!$B$5:$B$24,$B32)&gt;0,INDEX('My Books'!$F$5:$F$24,MATCH($B32,'My Books'!$B$5:$B$24,0)),Config!$F$5))</f>
        <v/>
      </c>
      <c r="D32" s="97"/>
      <c r="E32" s="97"/>
      <c r="F32" s="97"/>
      <c r="G32" s="97"/>
      <c r="H32" s="98" t="str">
        <f t="shared" si="0"/>
        <v/>
      </c>
      <c r="I32" s="98" t="str">
        <f>IF(AND($A32="",$B32="",SUM($D32:$G32,$L32)=0,$N32=""),"",$F32*Config!$B$10+$E32*IF($C32="Pre-Draft Outline",Config!$B$11,IF($C32="Pre-Revision Outline",Config!$B$12,Config!$B$13))+$D32*Config!$B$14+IF($C32="Revision",$G32*Config!$B$15,$G32*Config!$B$16))</f>
        <v/>
      </c>
      <c r="J32" s="97" t="str">
        <f>IF(AND($A32="",$B32="",SUM($D32:$G32,$L32)=0,$N32=""),"",Config!$B$5)</f>
        <v/>
      </c>
      <c r="K32" s="96" t="str">
        <f>IF($A32="","",IF(COUNTIF($A$5:A32,$A32)&gt;1,"",IF(SUMIFS($I$5:$I$34,$A$5:$A$34,$A32)&gt;=$J32,"✅ Yes","—")))</f>
        <v/>
      </c>
      <c r="L32" s="97"/>
      <c r="M32" s="97" t="str">
        <f t="shared" si="1"/>
        <v/>
      </c>
      <c r="N32" s="99"/>
    </row>
    <row r="33" spans="1:14" ht="19.5" customHeight="1" x14ac:dyDescent="0.3">
      <c r="A33" s="88"/>
      <c r="B33" s="89"/>
      <c r="C33" s="90" t="str">
        <f>IF($B33="","",IF(COUNTIF('My Books'!$B$5:$B$24,$B33)&gt;0,INDEX('My Books'!$F$5:$F$24,MATCH($B33,'My Books'!$B$5:$B$24,0)),Config!$F$5))</f>
        <v/>
      </c>
      <c r="D33" s="91"/>
      <c r="E33" s="91"/>
      <c r="F33" s="91"/>
      <c r="G33" s="91"/>
      <c r="H33" s="92" t="str">
        <f t="shared" si="0"/>
        <v/>
      </c>
      <c r="I33" s="92" t="str">
        <f>IF(AND($A33="",$B33="",SUM($D33:$G33,$L33)=0,$N33=""),"",$F33*Config!$B$10+$E33*IF($C33="Pre-Draft Outline",Config!$B$11,IF($C33="Pre-Revision Outline",Config!$B$12,Config!$B$13))+$D33*Config!$B$14+IF($C33="Revision",$G33*Config!$B$15,$G33*Config!$B$16))</f>
        <v/>
      </c>
      <c r="J33" s="91" t="str">
        <f>IF(AND($A33="",$B33="",SUM($D33:$G33,$L33)=0,$N33=""),"",Config!$B$5)</f>
        <v/>
      </c>
      <c r="K33" s="90" t="str">
        <f>IF($A33="","",IF(COUNTIF($A$5:A33,$A33)&gt;1,"",IF(SUMIFS($I$5:$I$34,$A$5:$A$34,$A33)&gt;=$J33,"✅ Yes","—")))</f>
        <v/>
      </c>
      <c r="L33" s="91"/>
      <c r="M33" s="91" t="str">
        <f t="shared" si="1"/>
        <v/>
      </c>
      <c r="N33" s="93"/>
    </row>
    <row r="34" spans="1:14" ht="19.5" customHeight="1" x14ac:dyDescent="0.3">
      <c r="A34" s="94"/>
      <c r="B34" s="95"/>
      <c r="C34" s="96" t="str">
        <f>IF($B34="","",IF(COUNTIF('My Books'!$B$5:$B$24,$B34)&gt;0,INDEX('My Books'!$F$5:$F$24,MATCH($B34,'My Books'!$B$5:$B$24,0)),Config!$F$5))</f>
        <v/>
      </c>
      <c r="D34" s="97"/>
      <c r="E34" s="97"/>
      <c r="F34" s="97"/>
      <c r="G34" s="97"/>
      <c r="H34" s="98" t="str">
        <f t="shared" si="0"/>
        <v/>
      </c>
      <c r="I34" s="98" t="str">
        <f>IF(AND($A34="",$B34="",SUM($D34:$G34,$L34)=0,$N34=""),"",$F34*Config!$B$10+$E34*IF($C34="Pre-Draft Outline",Config!$B$11,IF($C34="Pre-Revision Outline",Config!$B$12,Config!$B$13))+$D34*Config!$B$14+IF($C34="Revision",$G34*Config!$B$15,$G34*Config!$B$16))</f>
        <v/>
      </c>
      <c r="J34" s="97" t="str">
        <f>IF(AND($A34="",$B34="",SUM($D34:$G34,$L34)=0,$N34=""),"",Config!$B$5)</f>
        <v/>
      </c>
      <c r="K34" s="96" t="str">
        <f>IF($A34="","",IF(COUNTIF($A$5:A34,$A34)&gt;1,"",IF(SUMIFS($I$5:$I$34,$A$5:$A$34,$A34)&gt;=$J34,"✅ Yes","—")))</f>
        <v/>
      </c>
      <c r="L34" s="97"/>
      <c r="M34" s="97" t="str">
        <f t="shared" si="1"/>
        <v/>
      </c>
      <c r="N34" s="99"/>
    </row>
    <row r="35" spans="1:14" ht="21.75" customHeight="1" x14ac:dyDescent="0.3">
      <c r="A35" s="100"/>
      <c r="B35" s="100" t="s">
        <v>175</v>
      </c>
      <c r="C35" s="101"/>
      <c r="D35" s="102">
        <f t="shared" ref="D35:I35" si="2">SUM(D5:D34)</f>
        <v>800</v>
      </c>
      <c r="E35" s="102">
        <f t="shared" si="2"/>
        <v>200</v>
      </c>
      <c r="F35" s="102">
        <f t="shared" si="2"/>
        <v>5700</v>
      </c>
      <c r="G35" s="102">
        <f t="shared" si="2"/>
        <v>750</v>
      </c>
      <c r="H35" s="102">
        <f t="shared" si="2"/>
        <v>7450</v>
      </c>
      <c r="I35" s="102">
        <f t="shared" si="2"/>
        <v>6200</v>
      </c>
      <c r="J35" s="103"/>
      <c r="K35" s="101" t="str">
        <f>COUNTIF(K5:K34,"✅ Yes")&amp;" Goal Days"</f>
        <v>3 Goal Days</v>
      </c>
      <c r="L35" s="102">
        <f>SUM(L5:L34)</f>
        <v>285</v>
      </c>
      <c r="M35" s="102">
        <f>IF(L35&gt;0,ROUND(H35/(L35/60),0),0)</f>
        <v>1568</v>
      </c>
      <c r="N35" s="100"/>
    </row>
    <row r="36" spans="1:14" ht="18" customHeight="1" x14ac:dyDescent="0.3"/>
    <row r="37" spans="1:14" ht="21.75" customHeight="1" x14ac:dyDescent="0.3">
      <c r="A37" s="168" t="s">
        <v>176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</row>
    <row r="38" spans="1:14" ht="18" customHeight="1" x14ac:dyDescent="0.3"/>
    <row r="39" spans="1:14" ht="18" customHeight="1" x14ac:dyDescent="0.3"/>
    <row r="40" spans="1:14" ht="18" customHeight="1" x14ac:dyDescent="0.3"/>
    <row r="41" spans="1:14" ht="18" customHeight="1" x14ac:dyDescent="0.3"/>
    <row r="42" spans="1:14" ht="18" customHeight="1" x14ac:dyDescent="0.3"/>
    <row r="43" spans="1:14" ht="18" customHeight="1" x14ac:dyDescent="0.3"/>
    <row r="44" spans="1:14" ht="18" customHeight="1" x14ac:dyDescent="0.3"/>
    <row r="45" spans="1:14" ht="18" customHeight="1" x14ac:dyDescent="0.3"/>
    <row r="46" spans="1:14" ht="18" customHeight="1" x14ac:dyDescent="0.3"/>
    <row r="47" spans="1:14" ht="18" customHeight="1" x14ac:dyDescent="0.3"/>
    <row r="48" spans="1:1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I1"/>
    <mergeCell ref="A37:N37"/>
    <mergeCell ref="A2:I2"/>
  </mergeCells>
  <conditionalFormatting sqref="A5:N34">
    <cfRule type="expression" dxfId="0" priority="2">
      <formula>$K5="✅ Yes"</formula>
    </cfRule>
  </conditionalFormatting>
  <dataValidations count="4">
    <dataValidation type="date" operator="greaterThanOrEqual" allowBlank="1" sqref="A5:A34" xr:uid="{00000000-0002-0000-0400-000000000000}">
      <formula1>DATE(1900,1,1)</formula1>
      <formula2>0</formula2>
    </dataValidation>
    <dataValidation type="list" allowBlank="1" sqref="B5:B34" xr:uid="{00000000-0002-0000-0400-000001000000}">
      <formula1>lst_Books</formula1>
      <formula2>0</formula2>
    </dataValidation>
    <dataValidation type="list" allowBlank="1" sqref="C5:C34" xr:uid="{00000000-0002-0000-0400-000002000000}">
      <formula1>lst_Stages</formula1>
      <formula2>0</formula2>
    </dataValidation>
    <dataValidation type="whole" operator="greaterThanOrEqual" allowBlank="1" sqref="D5:G34 L5:L34" xr:uid="{00000000-0002-0000-0400-000003000000}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  <pageSetUpPr fitToPage="1"/>
  </sheetPr>
  <dimension ref="A1:BC734"/>
  <sheetViews>
    <sheetView zoomScaleNormal="100" zoomScalePageLayoutView="60" workbookViewId="0">
      <selection sqref="A1:S1"/>
    </sheetView>
  </sheetViews>
  <sheetFormatPr defaultColWidth="8.6640625" defaultRowHeight="14.4" x14ac:dyDescent="0.3"/>
  <cols>
    <col min="1" max="1" width="12" customWidth="1"/>
    <col min="2" max="3" width="13" customWidth="1"/>
    <col min="4" max="4" width="11" customWidth="1"/>
    <col min="5" max="5" width="12" customWidth="1"/>
    <col min="6" max="7" width="16" customWidth="1"/>
    <col min="8" max="8" width="9" customWidth="1"/>
    <col min="9" max="9" width="3" customWidth="1"/>
    <col min="10" max="10" width="15" customWidth="1"/>
    <col min="11" max="11" width="10" customWidth="1"/>
    <col min="12" max="12" width="3" customWidth="1"/>
    <col min="13" max="13" width="14" customWidth="1"/>
    <col min="14" max="14" width="3" customWidth="1"/>
    <col min="15" max="15" width="7" customWidth="1"/>
    <col min="16" max="16" width="12" customWidth="1"/>
    <col min="17" max="17" width="3" customWidth="1"/>
    <col min="18" max="18" width="28" customWidth="1"/>
    <col min="19" max="19" width="12" customWidth="1"/>
  </cols>
  <sheetData>
    <row r="1" spans="1:55" ht="18" customHeight="1" x14ac:dyDescent="0.3">
      <c r="A1" s="171" t="s">
        <v>177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</row>
    <row r="2" spans="1:55" x14ac:dyDescent="0.3">
      <c r="A2" s="170" t="s">
        <v>178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</row>
    <row r="4" spans="1:55" ht="30" customHeight="1" x14ac:dyDescent="0.3">
      <c r="A4" s="104" t="s">
        <v>157</v>
      </c>
      <c r="B4" s="104" t="s">
        <v>179</v>
      </c>
      <c r="C4" s="104" t="s">
        <v>83</v>
      </c>
      <c r="D4" s="104" t="s">
        <v>180</v>
      </c>
      <c r="E4" s="104" t="s">
        <v>181</v>
      </c>
      <c r="F4" s="104" t="s">
        <v>182</v>
      </c>
      <c r="G4" s="104" t="s">
        <v>183</v>
      </c>
      <c r="H4" s="104" t="s">
        <v>184</v>
      </c>
      <c r="J4" s="104" t="s">
        <v>185</v>
      </c>
      <c r="K4" s="104" t="s">
        <v>35</v>
      </c>
      <c r="M4" s="104" t="s">
        <v>186</v>
      </c>
      <c r="O4" s="104" t="s">
        <v>187</v>
      </c>
      <c r="P4" s="104" t="s">
        <v>188</v>
      </c>
      <c r="R4" s="104" t="s">
        <v>189</v>
      </c>
      <c r="S4" s="104" t="s">
        <v>30</v>
      </c>
      <c r="U4" s="105" t="s">
        <v>190</v>
      </c>
      <c r="V4" s="105" t="s">
        <v>191</v>
      </c>
      <c r="W4" s="105" t="s">
        <v>192</v>
      </c>
      <c r="X4" s="105" t="s">
        <v>193</v>
      </c>
      <c r="Y4" s="105" t="s">
        <v>194</v>
      </c>
      <c r="Z4" s="105" t="s">
        <v>10</v>
      </c>
      <c r="AB4" s="105" t="s">
        <v>195</v>
      </c>
      <c r="AC4" s="105" t="s">
        <v>196</v>
      </c>
      <c r="AD4" s="105" t="s">
        <v>197</v>
      </c>
      <c r="AE4" s="105" t="s">
        <v>198</v>
      </c>
      <c r="AF4" s="105" t="s">
        <v>9</v>
      </c>
      <c r="AG4" s="105" t="s">
        <v>10</v>
      </c>
      <c r="AH4" s="105" t="s">
        <v>161</v>
      </c>
      <c r="AI4" s="105" t="s">
        <v>137</v>
      </c>
      <c r="AJ4" s="105" t="s">
        <v>138</v>
      </c>
      <c r="AL4" s="105" t="s">
        <v>199</v>
      </c>
      <c r="AM4" s="105" t="s">
        <v>200</v>
      </c>
      <c r="AN4" s="105" t="s">
        <v>197</v>
      </c>
      <c r="AO4" s="105" t="s">
        <v>108</v>
      </c>
      <c r="AP4" s="105" t="s">
        <v>110</v>
      </c>
      <c r="AQ4" s="105" t="s">
        <v>111</v>
      </c>
      <c r="AR4" s="105" t="s">
        <v>201</v>
      </c>
      <c r="AS4" s="105" t="s">
        <v>202</v>
      </c>
      <c r="AT4" s="105" t="s">
        <v>10</v>
      </c>
      <c r="AV4" s="105" t="s">
        <v>203</v>
      </c>
      <c r="AW4" s="105" t="s">
        <v>204</v>
      </c>
      <c r="AX4" s="105" t="s">
        <v>205</v>
      </c>
      <c r="AY4" s="105" t="s">
        <v>206</v>
      </c>
      <c r="AZ4" s="105" t="s">
        <v>207</v>
      </c>
      <c r="BA4" s="114" t="s">
        <v>208</v>
      </c>
      <c r="BB4" s="114" t="s">
        <v>209</v>
      </c>
      <c r="BC4" s="114" t="s">
        <v>210</v>
      </c>
    </row>
    <row r="5" spans="1:55" x14ac:dyDescent="0.3">
      <c r="A5" s="106">
        <f ca="1">Config!$A$2-729</f>
        <v>45583</v>
      </c>
      <c r="B5" s="107">
        <f ca="1">SUMIFS('Daily Writing Log'!$H$5:$H$34,'Daily Writing Log'!$A$5:$A$34,$A5)</f>
        <v>0</v>
      </c>
      <c r="C5" s="107">
        <f ca="1">SUMIFS('Daily Writing Log'!$I$5:$I$34,'Daily Writing Log'!$A$5:$A$34,$A5)</f>
        <v>0</v>
      </c>
      <c r="D5" s="108">
        <f ca="1">IF($C5&gt;=Config!$B$5,1,0)</f>
        <v>0</v>
      </c>
      <c r="E5" s="108">
        <v>0</v>
      </c>
      <c r="F5" s="108">
        <v>0</v>
      </c>
      <c r="G5" s="108">
        <v>0</v>
      </c>
      <c r="H5" s="108">
        <f ca="1">IF($D5=1,1,0)</f>
        <v>0</v>
      </c>
      <c r="J5" s="106">
        <f ca="1">Config!$A$2-29</f>
        <v>46283</v>
      </c>
      <c r="K5" s="107">
        <f ca="1">SUMIFS('Daily Writing Log'!$H$5:$H$34,'Daily Writing Log'!$A$5:$A$34,$J5)</f>
        <v>0</v>
      </c>
      <c r="M5" s="109">
        <f>IF('My Books'!$B5="","",IF(OR('My Books'!$F5=Config!$F$14,AND(N('My Books'!$G5)&gt;0,N('My Books'!$Q5)&gt;=N('My Books'!$G5))),"",IF(ISNUMBER('My Books'!$L5),'My Books'!$L5,99999)+ROW()/100000))</f>
        <v>46569.000050000002</v>
      </c>
      <c r="O5" s="108">
        <v>1</v>
      </c>
      <c r="P5" s="108">
        <f t="shared" ref="P5:P12" si="0">IF(COUNT($M$5:$M$24)&lt;$O5,0,MATCH(SMALL($M$5:$M$24,$O5),$M$5:$M$24,0)+4)</f>
        <v>5</v>
      </c>
      <c r="R5" s="110" t="s">
        <v>211</v>
      </c>
      <c r="S5" s="107">
        <f ca="1">ROUND(Config!$B$7/(DATE(YEAR(Config!$A$2),12,31)-DATE(YEAR(Config!$A$2),1,1)+1)*DAY(EOMONTH(Config!$A$2,0)),0)</f>
        <v>62000</v>
      </c>
      <c r="U5" s="111" t="str">
        <f>IF($P5=0,"",INDEX('My Books'!$B$1:$B$24,$P5))</f>
        <v>Prisoner of Sand Sea</v>
      </c>
      <c r="V5" s="112">
        <f>IF($P5=0,0,N(INDEX('My Books'!$Q$1:$Q$24,$P5)))</f>
        <v>0</v>
      </c>
      <c r="W5" s="112">
        <f>IF($P5=0,0,MAX(0,N(INDEX('My Books'!$G$1:$G$24,$P5))-N(INDEX('My Books'!$Q$1:$Q$24,$P5))))</f>
        <v>200000</v>
      </c>
      <c r="X5" s="112">
        <f ca="1">IF($P5=0,0,N(INDEX('My Books'!$N$1:$N$24,$P5)))</f>
        <v>1105</v>
      </c>
      <c r="Y5" s="112">
        <f ca="1">IF($P5=0,0,N(INDEX('My Books'!$O$1:$O$24,$P5)))</f>
        <v>0</v>
      </c>
      <c r="Z5" s="112">
        <f>IF($P5=0,0,N(INDEX('My Books'!$H$1:$H$24,$P5)))</f>
        <v>0</v>
      </c>
      <c r="AB5" s="111">
        <f>IF('My Books'!$B5="","",ROW())</f>
        <v>5</v>
      </c>
      <c r="AC5" s="112">
        <v>1</v>
      </c>
      <c r="AD5" s="112">
        <f t="shared" ref="AD5:AD12" si="1">IF(COUNT($AB$5:$AB$24)&lt;$AC5,0,MATCH(SMALL($AB$5:$AB$24,$AC5),$AB$5:$AB$24,0)+4)</f>
        <v>5</v>
      </c>
      <c r="AE5" s="111" t="str">
        <f>IF($AD5=0,"",INDEX('My Books'!$B$1:$B$24,$AD5))</f>
        <v>Prisoner of Sand Sea</v>
      </c>
      <c r="AF5" s="112">
        <f>IF($AD5=0,0,N(INDEX('My Books'!$G$1:$G$24,$AD5)))</f>
        <v>200000</v>
      </c>
      <c r="AG5" s="112">
        <f>IF($AD5=0,0,N(INDEX('My Books'!$H$1:$H$24,$AD5)))</f>
        <v>0</v>
      </c>
      <c r="AH5" s="112">
        <f>IF($AD5=0,0,N(INDEX('My Books'!$Q$1:$Q$24,$AD5)))</f>
        <v>0</v>
      </c>
      <c r="AI5" s="112">
        <f ca="1">IF($AD5=0,0,N(INDEX('My Books'!$N$1:$N$24,$AD5)))</f>
        <v>1105</v>
      </c>
      <c r="AJ5" s="112">
        <f ca="1">IF($AD5=0,0,N(INDEX('My Books'!$O$1:$O$24,$AD5)))</f>
        <v>0</v>
      </c>
      <c r="AL5" s="111">
        <f>IF('Universes &amp; Series'!$A5="","",ROW())</f>
        <v>5</v>
      </c>
      <c r="AM5" s="112">
        <v>1</v>
      </c>
      <c r="AN5" s="112">
        <f t="shared" ref="AN5:AN10" si="2">IF(COUNT($AL$5:$AL$24)&lt;$AM5,0,MATCH(SMALL($AL$5:$AL$24,$AM5),$AL$5:$AL$24,0)+4)</f>
        <v>5</v>
      </c>
      <c r="AO5" s="111" t="str">
        <f>IF($AN5=0,"",INDEX('Universes &amp; Series'!$A$1:$A$24,$AN5))</f>
        <v>Sand Sea Saga</v>
      </c>
      <c r="AP5" s="112">
        <f>IF($AN5=0,0,N(INDEX('Universes &amp; Series'!$D$1:$D$24,$AN5)))</f>
        <v>0</v>
      </c>
      <c r="AQ5" s="112">
        <f>IF($AN5=0,0,N(INDEX('Universes &amp; Series'!$E$1:$E$24,$AN5)))</f>
        <v>2</v>
      </c>
      <c r="AR5" s="112">
        <f>IF($AN5=0,0,MAX(0,N(INDEX('Universes &amp; Series'!$C$1:$C$24,$AN5))-N(INDEX('Universes &amp; Series'!$D$1:$D$24,$AN5))-N(INDEX('Universes &amp; Series'!$E$1:$E$24,$AN5))))</f>
        <v>1</v>
      </c>
      <c r="AS5" s="112">
        <f>IF($AN5=0,0,SUMIF('My Books'!$E$5:$E$24,$AO5,'My Books'!$G$5:$G$24))</f>
        <v>400000</v>
      </c>
      <c r="AT5" s="112">
        <f>IF($AN5=0,0,N(INDEX('Universes &amp; Series'!$F$1:$F$24,$AN5)))</f>
        <v>0</v>
      </c>
      <c r="AV5" s="111" t="str">
        <f ca="1">"Year "&amp;(YEAR(Config!$A$2)+0)</f>
        <v>Year 2026</v>
      </c>
      <c r="AW5" s="112">
        <f ca="1">SUMIF('My Books'!$A$5:$A$24,YEAR(Config!$A$2)+0,'My Books'!$G$5:$G$24)</f>
        <v>120000</v>
      </c>
      <c r="AX5" s="112">
        <f ca="1">SUMIFS('Daily Writing Log'!$H$5:$H$34,'Daily Writing Log'!$A$5:$A$34,"&gt;="&amp;DATE(YEAR(Config!$A$2)+0,1,1),'Daily Writing Log'!$A$5:$A$34,"&lt;="&amp;DATE(YEAR(Config!$A$2)+0,12,31))</f>
        <v>0</v>
      </c>
      <c r="AY5" s="112">
        <f>Config!$B$7</f>
        <v>730000</v>
      </c>
      <c r="AZ5" s="111">
        <f>IF(ISNUMBER('Daily Writing Log'!$A5),WEEKDAY('Daily Writing Log'!$A5,2),0)</f>
        <v>5</v>
      </c>
      <c r="BA5" s="115" t="s">
        <v>212</v>
      </c>
      <c r="BB5" s="116">
        <f>SUM('Continuity &amp; Compilers'!$E$10:$E$29)</f>
        <v>0</v>
      </c>
      <c r="BC5" s="116">
        <f>COUNTIF('Continuity &amp; Compilers'!$D$10:$D$29,"&gt;0")</f>
        <v>6</v>
      </c>
    </row>
    <row r="6" spans="1:55" x14ac:dyDescent="0.3">
      <c r="A6" s="106">
        <f t="shared" ref="A6:A69" ca="1" si="3">A5+1</f>
        <v>45584</v>
      </c>
      <c r="B6" s="107">
        <f ca="1">SUMIFS('Daily Writing Log'!$H$5:$H$34,'Daily Writing Log'!$A$5:$A$34,$A6)</f>
        <v>0</v>
      </c>
      <c r="C6" s="107">
        <f ca="1">SUMIFS('Daily Writing Log'!$I$5:$I$34,'Daily Writing Log'!$A$5:$A$34,$A6)</f>
        <v>0</v>
      </c>
      <c r="D6" s="108">
        <f ca="1">IF($C6&gt;=Config!$B$5,1,0)</f>
        <v>0</v>
      </c>
      <c r="E6" s="108">
        <f t="shared" ref="E6:E69" ca="1" si="4">IF(MONTH($A6)&lt;&gt;MONTH($A5),0,$G5)</f>
        <v>0</v>
      </c>
      <c r="F6" s="108">
        <f ca="1">IF(AND($D6=0,$H5&gt;0,$E6&lt;Config!$B$8,$A6&lt;Config!$A$2),1,0)</f>
        <v>0</v>
      </c>
      <c r="G6" s="108">
        <f t="shared" ref="G6:G69" ca="1" si="5">$E6+$F6</f>
        <v>0</v>
      </c>
      <c r="H6" s="108">
        <f ca="1">IF($D6=1,$H5+1,IF($F6=1,$H5,IF($A6=Config!$A$2,$H5,0)))</f>
        <v>0</v>
      </c>
      <c r="J6" s="106">
        <f t="shared" ref="J6:J34" ca="1" si="6">J5+1</f>
        <v>46284</v>
      </c>
      <c r="K6" s="107">
        <f ca="1">SUMIFS('Daily Writing Log'!$H$5:$H$34,'Daily Writing Log'!$A$5:$A$34,$J6)</f>
        <v>0</v>
      </c>
      <c r="M6" s="109">
        <f>IF('My Books'!$B6="","",IF(OR('My Books'!$F6=Config!$F$14,AND(N('My Books'!$G6)&gt;0,N('My Books'!$Q6)&gt;=N('My Books'!$G6))),"",IF(ISNUMBER('My Books'!$L6),'My Books'!$L6,99999)+ROW()/100000))</f>
        <v>46753.000059999998</v>
      </c>
      <c r="O6" s="108">
        <v>2</v>
      </c>
      <c r="P6" s="108">
        <f t="shared" si="0"/>
        <v>6</v>
      </c>
      <c r="R6" s="110" t="s">
        <v>213</v>
      </c>
      <c r="S6" s="107">
        <f ca="1">SUMIFS('Daily Writing Log'!$H$5:$H$34,'Daily Writing Log'!$A$5:$A$34,"&gt;="&amp;DATE(YEAR(Config!$A$2),MONTH(Config!$A$2),1),'Daily Writing Log'!$A$5:$A$34,"&lt;="&amp;EOMONTH(Config!$A$2,0))</f>
        <v>0</v>
      </c>
      <c r="U6" s="111" t="str">
        <f>IF($P6=0,"",INDEX('My Books'!$B$1:$B$24,$P6))</f>
        <v>Gothic Fantasy 1</v>
      </c>
      <c r="V6" s="112">
        <f>IF($P6=0,0,N(INDEX('My Books'!$Q$1:$Q$24,$P6)))</f>
        <v>0</v>
      </c>
      <c r="W6" s="112">
        <f>IF($P6=0,0,MAX(0,N(INDEX('My Books'!$G$1:$G$24,$P6))-N(INDEX('My Books'!$Q$1:$Q$24,$P6))))</f>
        <v>150000</v>
      </c>
      <c r="X6" s="112">
        <f ca="1">IF($P6=0,0,N(INDEX('My Books'!$N$1:$N$24,$P6)))</f>
        <v>816</v>
      </c>
      <c r="Y6" s="112">
        <f ca="1">IF($P6=0,0,N(INDEX('My Books'!$O$1:$O$24,$P6)))</f>
        <v>0</v>
      </c>
      <c r="Z6" s="112">
        <f>IF($P6=0,0,N(INDEX('My Books'!$H$1:$H$24,$P6)))</f>
        <v>0</v>
      </c>
      <c r="AB6" s="111">
        <f>IF('My Books'!$B6="","",ROW())</f>
        <v>6</v>
      </c>
      <c r="AC6" s="112">
        <v>2</v>
      </c>
      <c r="AD6" s="112">
        <f t="shared" si="1"/>
        <v>6</v>
      </c>
      <c r="AE6" s="111" t="str">
        <f>IF($AD6=0,"",INDEX('My Books'!$B$1:$B$24,$AD6))</f>
        <v>Gothic Fantasy 1</v>
      </c>
      <c r="AF6" s="112">
        <f>IF($AD6=0,0,N(INDEX('My Books'!$G$1:$G$24,$AD6)))</f>
        <v>150000</v>
      </c>
      <c r="AG6" s="112">
        <f>IF($AD6=0,0,N(INDEX('My Books'!$H$1:$H$24,$AD6)))</f>
        <v>0</v>
      </c>
      <c r="AH6" s="112">
        <f>IF($AD6=0,0,N(INDEX('My Books'!$Q$1:$Q$24,$AD6)))</f>
        <v>0</v>
      </c>
      <c r="AI6" s="112">
        <f ca="1">IF($AD6=0,0,N(INDEX('My Books'!$N$1:$N$24,$AD6)))</f>
        <v>816</v>
      </c>
      <c r="AJ6" s="112">
        <f ca="1">IF($AD6=0,0,N(INDEX('My Books'!$O$1:$O$24,$AD6)))</f>
        <v>0</v>
      </c>
      <c r="AL6" s="111">
        <f>IF('Universes &amp; Series'!$A6="","",ROW())</f>
        <v>6</v>
      </c>
      <c r="AM6" s="112">
        <v>2</v>
      </c>
      <c r="AN6" s="112">
        <f t="shared" si="2"/>
        <v>6</v>
      </c>
      <c r="AO6" s="111" t="str">
        <f>IF($AN6=0,"",INDEX('Universes &amp; Series'!$A$1:$A$24,$AN6))</f>
        <v>Gothic Fantasy Series</v>
      </c>
      <c r="AP6" s="112">
        <f>IF($AN6=0,0,N(INDEX('Universes &amp; Series'!$D$1:$D$24,$AN6)))</f>
        <v>0</v>
      </c>
      <c r="AQ6" s="112">
        <f>IF($AN6=0,0,N(INDEX('Universes &amp; Series'!$E$1:$E$24,$AN6)))</f>
        <v>1</v>
      </c>
      <c r="AR6" s="112">
        <f>IF($AN6=0,0,MAX(0,N(INDEX('Universes &amp; Series'!$C$1:$C$24,$AN6))-N(INDEX('Universes &amp; Series'!$D$1:$D$24,$AN6))-N(INDEX('Universes &amp; Series'!$E$1:$E$24,$AN6))))</f>
        <v>3</v>
      </c>
      <c r="AS6" s="112">
        <f>IF($AN6=0,0,SUMIF('My Books'!$E$5:$E$24,$AO6,'My Books'!$G$5:$G$24))</f>
        <v>150000</v>
      </c>
      <c r="AT6" s="112">
        <f>IF($AN6=0,0,N(INDEX('Universes &amp; Series'!$F$1:$F$24,$AN6)))</f>
        <v>0</v>
      </c>
      <c r="AV6" s="111" t="str">
        <f ca="1">"Year "&amp;(YEAR(Config!$A$2)+1)</f>
        <v>Year 2027</v>
      </c>
      <c r="AW6" s="112">
        <f ca="1">SUMIF('My Books'!$A$5:$A$24,YEAR(Config!$A$2)+1,'My Books'!$G$5:$G$24)</f>
        <v>350000</v>
      </c>
      <c r="AX6" s="112">
        <f ca="1">SUMIFS('Daily Writing Log'!$H$5:$H$34,'Daily Writing Log'!$A$5:$A$34,"&gt;="&amp;DATE(YEAR(Config!$A$2)+1,1,1),'Daily Writing Log'!$A$5:$A$34,"&lt;="&amp;DATE(YEAR(Config!$A$2)+1,12,31))</f>
        <v>2600</v>
      </c>
      <c r="AY6" s="112">
        <f>Config!$B$7</f>
        <v>730000</v>
      </c>
      <c r="AZ6" s="111">
        <f>IF(ISNUMBER('Daily Writing Log'!$A6),WEEKDAY('Daily Writing Log'!$A6,2),0)</f>
        <v>0</v>
      </c>
      <c r="BA6" s="115" t="s">
        <v>214</v>
      </c>
      <c r="BB6" s="116">
        <f>SUM('Continuity &amp; Compilers'!$F$10:$F$29)</f>
        <v>0</v>
      </c>
      <c r="BC6" s="116">
        <f>COUNTIF('Continuity &amp; Compilers'!$D$10:$D$29,"&gt;0")</f>
        <v>6</v>
      </c>
    </row>
    <row r="7" spans="1:55" x14ac:dyDescent="0.3">
      <c r="A7" s="106">
        <f t="shared" ca="1" si="3"/>
        <v>45585</v>
      </c>
      <c r="B7" s="107">
        <f ca="1">SUMIFS('Daily Writing Log'!$H$5:$H$34,'Daily Writing Log'!$A$5:$A$34,$A7)</f>
        <v>0</v>
      </c>
      <c r="C7" s="107">
        <f ca="1">SUMIFS('Daily Writing Log'!$I$5:$I$34,'Daily Writing Log'!$A$5:$A$34,$A7)</f>
        <v>0</v>
      </c>
      <c r="D7" s="108">
        <f ca="1">IF($C7&gt;=Config!$B$5,1,0)</f>
        <v>0</v>
      </c>
      <c r="E7" s="108">
        <f t="shared" ca="1" si="4"/>
        <v>0</v>
      </c>
      <c r="F7" s="108">
        <f ca="1">IF(AND($D7=0,$H6&gt;0,$E7&lt;Config!$B$8,$A7&lt;Config!$A$2),1,0)</f>
        <v>0</v>
      </c>
      <c r="G7" s="108">
        <f t="shared" ca="1" si="5"/>
        <v>0</v>
      </c>
      <c r="H7" s="108">
        <f ca="1">IF($D7=1,$H6+1,IF($F7=1,$H6,IF($A7=Config!$A$2,$H6,0)))</f>
        <v>0</v>
      </c>
      <c r="J7" s="106">
        <f t="shared" ca="1" si="6"/>
        <v>46285</v>
      </c>
      <c r="K7" s="107">
        <f ca="1">SUMIFS('Daily Writing Log'!$H$5:$H$34,'Daily Writing Log'!$A$5:$A$34,$J7)</f>
        <v>0</v>
      </c>
      <c r="M7" s="109">
        <f>IF('My Books'!$B7="","",IF(OR('My Books'!$F7=Config!$F$14,AND(N('My Books'!$G7)&gt;0,N('My Books'!$Q7)&gt;=N('My Books'!$G7))),"",IF(ISNUMBER('My Books'!$L7),'My Books'!$L7,99999)+ROW()/100000))</f>
        <v>46874.000070000002</v>
      </c>
      <c r="O7" s="108">
        <v>3</v>
      </c>
      <c r="P7" s="108">
        <f t="shared" si="0"/>
        <v>7</v>
      </c>
      <c r="R7" s="110" t="s">
        <v>215</v>
      </c>
      <c r="S7" s="107">
        <f ca="1">SUMIFS('Daily Writing Log'!$H$5:$H$34,'Daily Writing Log'!$A$5:$A$34,"&gt;="&amp;DATE(YEAR(Config!$A$2),1,1),'Daily Writing Log'!$A$5:$A$34,"&lt;="&amp;Config!$A$2)</f>
        <v>0</v>
      </c>
      <c r="U7" s="111" t="str">
        <f>IF($P7=0,"",INDEX('My Books'!$B$1:$B$24,$P7))</f>
        <v>Quest Fantasy 1</v>
      </c>
      <c r="V7" s="112">
        <f>IF($P7=0,0,N(INDEX('My Books'!$Q$1:$Q$24,$P7)))</f>
        <v>0</v>
      </c>
      <c r="W7" s="112">
        <f>IF($P7=0,0,MAX(0,N(INDEX('My Books'!$G$1:$G$24,$P7))-N(INDEX('My Books'!$Q$1:$Q$24,$P7))))</f>
        <v>200000</v>
      </c>
      <c r="X7" s="112">
        <f ca="1">IF($P7=0,0,N(INDEX('My Books'!$N$1:$N$24,$P7)))</f>
        <v>1653</v>
      </c>
      <c r="Y7" s="112">
        <f ca="1">IF($P7=0,0,N(INDEX('My Books'!$O$1:$O$24,$P7)))</f>
        <v>0</v>
      </c>
      <c r="Z7" s="112">
        <f>IF($P7=0,0,N(INDEX('My Books'!$H$1:$H$24,$P7)))</f>
        <v>0</v>
      </c>
      <c r="AB7" s="111">
        <f>IF('My Books'!$B7="","",ROW())</f>
        <v>7</v>
      </c>
      <c r="AC7" s="112">
        <v>3</v>
      </c>
      <c r="AD7" s="112">
        <f t="shared" si="1"/>
        <v>7</v>
      </c>
      <c r="AE7" s="111" t="str">
        <f>IF($AD7=0,"",INDEX('My Books'!$B$1:$B$24,$AD7))</f>
        <v>Quest Fantasy 1</v>
      </c>
      <c r="AF7" s="112">
        <f>IF($AD7=0,0,N(INDEX('My Books'!$G$1:$G$24,$AD7)))</f>
        <v>200000</v>
      </c>
      <c r="AG7" s="112">
        <f>IF($AD7=0,0,N(INDEX('My Books'!$H$1:$H$24,$AD7)))</f>
        <v>0</v>
      </c>
      <c r="AH7" s="112">
        <f>IF($AD7=0,0,N(INDEX('My Books'!$Q$1:$Q$24,$AD7)))</f>
        <v>0</v>
      </c>
      <c r="AI7" s="112">
        <f ca="1">IF($AD7=0,0,N(INDEX('My Books'!$N$1:$N$24,$AD7)))</f>
        <v>1653</v>
      </c>
      <c r="AJ7" s="112">
        <f ca="1">IF($AD7=0,0,N(INDEX('My Books'!$O$1:$O$24,$AD7)))</f>
        <v>0</v>
      </c>
      <c r="AL7" s="111">
        <f>IF('Universes &amp; Series'!$A7="","",ROW())</f>
        <v>7</v>
      </c>
      <c r="AM7" s="112">
        <v>3</v>
      </c>
      <c r="AN7" s="112">
        <f t="shared" si="2"/>
        <v>7</v>
      </c>
      <c r="AO7" s="111" t="str">
        <f>IF($AN7=0,"",INDEX('Universes &amp; Series'!$A$1:$A$24,$AN7))</f>
        <v>Classic Quest Fantasy</v>
      </c>
      <c r="AP7" s="112">
        <f>IF($AN7=0,0,N(INDEX('Universes &amp; Series'!$D$1:$D$24,$AN7)))</f>
        <v>0</v>
      </c>
      <c r="AQ7" s="112">
        <f>IF($AN7=0,0,N(INDEX('Universes &amp; Series'!$E$1:$E$24,$AN7)))</f>
        <v>1</v>
      </c>
      <c r="AR7" s="112">
        <f>IF($AN7=0,0,MAX(0,N(INDEX('Universes &amp; Series'!$C$1:$C$24,$AN7))-N(INDEX('Universes &amp; Series'!$D$1:$D$24,$AN7))-N(INDEX('Universes &amp; Series'!$E$1:$E$24,$AN7))))</f>
        <v>2</v>
      </c>
      <c r="AS7" s="112">
        <f>IF($AN7=0,0,SUMIF('My Books'!$E$5:$E$24,$AO7,'My Books'!$G$5:$G$24))</f>
        <v>200000</v>
      </c>
      <c r="AT7" s="112">
        <f>IF($AN7=0,0,N(INDEX('Universes &amp; Series'!$F$1:$F$24,$AN7)))</f>
        <v>0</v>
      </c>
      <c r="AV7" s="111" t="str">
        <f ca="1">"Year "&amp;(YEAR(Config!$A$2)+2)</f>
        <v>Year 2028</v>
      </c>
      <c r="AW7" s="112">
        <f ca="1">SUMIF('My Books'!$A$5:$A$24,YEAR(Config!$A$2)+2,'My Books'!$G$5:$G$24)</f>
        <v>550000</v>
      </c>
      <c r="AX7" s="112">
        <f ca="1">SUMIFS('Daily Writing Log'!$H$5:$H$34,'Daily Writing Log'!$A$5:$A$34,"&gt;="&amp;DATE(YEAR(Config!$A$2)+2,1,1),'Daily Writing Log'!$A$5:$A$34,"&lt;="&amp;DATE(YEAR(Config!$A$2)+2,12,31))</f>
        <v>0</v>
      </c>
      <c r="AY7" s="112">
        <f>Config!$B$7</f>
        <v>730000</v>
      </c>
      <c r="AZ7" s="111">
        <f>IF(ISNUMBER('Daily Writing Log'!$A7),WEEKDAY('Daily Writing Log'!$A7,2),0)</f>
        <v>0</v>
      </c>
      <c r="BA7" s="115" t="s">
        <v>216</v>
      </c>
      <c r="BB7" s="116">
        <f>SUM('Continuity &amp; Compilers'!$G$10:$G$29)</f>
        <v>0</v>
      </c>
      <c r="BC7" s="116">
        <f>COUNTIF('Continuity &amp; Compilers'!$D$10:$D$29,"&gt;0")</f>
        <v>6</v>
      </c>
    </row>
    <row r="8" spans="1:55" x14ac:dyDescent="0.3">
      <c r="A8" s="106">
        <f t="shared" ca="1" si="3"/>
        <v>45586</v>
      </c>
      <c r="B8" s="107">
        <f ca="1">SUMIFS('Daily Writing Log'!$H$5:$H$34,'Daily Writing Log'!$A$5:$A$34,$A8)</f>
        <v>0</v>
      </c>
      <c r="C8" s="107">
        <f ca="1">SUMIFS('Daily Writing Log'!$I$5:$I$34,'Daily Writing Log'!$A$5:$A$34,$A8)</f>
        <v>0</v>
      </c>
      <c r="D8" s="108">
        <f ca="1">IF($C8&gt;=Config!$B$5,1,0)</f>
        <v>0</v>
      </c>
      <c r="E8" s="108">
        <f t="shared" ca="1" si="4"/>
        <v>0</v>
      </c>
      <c r="F8" s="108">
        <f ca="1">IF(AND($D8=0,$H7&gt;0,$E8&lt;Config!$B$8,$A8&lt;Config!$A$2),1,0)</f>
        <v>0</v>
      </c>
      <c r="G8" s="108">
        <f t="shared" ca="1" si="5"/>
        <v>0</v>
      </c>
      <c r="H8" s="108">
        <f ca="1">IF($D8=1,$H7+1,IF($F8=1,$H7,IF($A8=Config!$A$2,$H7,0)))</f>
        <v>0</v>
      </c>
      <c r="J8" s="106">
        <f t="shared" ca="1" si="6"/>
        <v>46286</v>
      </c>
      <c r="K8" s="107">
        <f ca="1">SUMIFS('Daily Writing Log'!$H$5:$H$34,'Daily Writing Log'!$A$5:$A$34,$J8)</f>
        <v>0</v>
      </c>
      <c r="M8" s="109">
        <f>IF('My Books'!$B8="","",IF(OR('My Books'!$F8=Config!$F$14,AND(N('My Books'!$G8)&gt;0,N('My Books'!$Q8)&gt;=N('My Books'!$G8))),"",IF(ISNUMBER('My Books'!$L8),'My Books'!$L8,99999)+ROW()/100000))</f>
        <v>46997.000079999998</v>
      </c>
      <c r="O8" s="108">
        <v>4</v>
      </c>
      <c r="P8" s="108">
        <f t="shared" si="0"/>
        <v>8</v>
      </c>
      <c r="R8" s="110" t="s">
        <v>217</v>
      </c>
      <c r="S8" s="108">
        <f ca="1">$H$734</f>
        <v>2</v>
      </c>
      <c r="U8" s="111" t="str">
        <f>IF($P8=0,"",INDEX('My Books'!$B$1:$B$24,$P8))</f>
        <v>Ruler of Sand Sea</v>
      </c>
      <c r="V8" s="112">
        <f>IF($P8=0,0,N(INDEX('My Books'!$Q$1:$Q$24,$P8)))</f>
        <v>0</v>
      </c>
      <c r="W8" s="112">
        <f>IF($P8=0,0,MAX(0,N(INDEX('My Books'!$G$1:$G$24,$P8))-N(INDEX('My Books'!$Q$1:$Q$24,$P8))))</f>
        <v>200000</v>
      </c>
      <c r="X8" s="112">
        <f ca="1">IF($P8=0,0,N(INDEX('My Books'!$N$1:$N$24,$P8)))</f>
        <v>1627</v>
      </c>
      <c r="Y8" s="112">
        <f ca="1">IF($P8=0,0,N(INDEX('My Books'!$O$1:$O$24,$P8)))</f>
        <v>0</v>
      </c>
      <c r="Z8" s="112">
        <f>IF($P8=0,0,N(INDEX('My Books'!$H$1:$H$24,$P8)))</f>
        <v>0</v>
      </c>
      <c r="AB8" s="111">
        <f>IF('My Books'!$B8="","",ROW())</f>
        <v>8</v>
      </c>
      <c r="AC8" s="112">
        <v>4</v>
      </c>
      <c r="AD8" s="112">
        <f t="shared" si="1"/>
        <v>8</v>
      </c>
      <c r="AE8" s="111" t="str">
        <f>IF($AD8=0,"",INDEX('My Books'!$B$1:$B$24,$AD8))</f>
        <v>Ruler of Sand Sea</v>
      </c>
      <c r="AF8" s="112">
        <f>IF($AD8=0,0,N(INDEX('My Books'!$G$1:$G$24,$AD8)))</f>
        <v>200000</v>
      </c>
      <c r="AG8" s="112">
        <f>IF($AD8=0,0,N(INDEX('My Books'!$H$1:$H$24,$AD8)))</f>
        <v>0</v>
      </c>
      <c r="AH8" s="112">
        <f>IF($AD8=0,0,N(INDEX('My Books'!$Q$1:$Q$24,$AD8)))</f>
        <v>0</v>
      </c>
      <c r="AI8" s="112">
        <f ca="1">IF($AD8=0,0,N(INDEX('My Books'!$N$1:$N$24,$AD8)))</f>
        <v>1627</v>
      </c>
      <c r="AJ8" s="112">
        <f ca="1">IF($AD8=0,0,N(INDEX('My Books'!$O$1:$O$24,$AD8)))</f>
        <v>0</v>
      </c>
      <c r="AL8" s="111">
        <f>IF('Universes &amp; Series'!$A8="","",ROW())</f>
        <v>8</v>
      </c>
      <c r="AM8" s="112">
        <v>4</v>
      </c>
      <c r="AN8" s="112">
        <f t="shared" si="2"/>
        <v>8</v>
      </c>
      <c r="AO8" s="111" t="str">
        <f>IF($AN8=0,"",INDEX('Universes &amp; Series'!$A$1:$A$24,$AN8))</f>
        <v>Stormbreaker Chronicles</v>
      </c>
      <c r="AP8" s="112">
        <f>IF($AN8=0,0,N(INDEX('Universes &amp; Series'!$D$1:$D$24,$AN8)))</f>
        <v>0</v>
      </c>
      <c r="AQ8" s="112">
        <f>IF($AN8=0,0,N(INDEX('Universes &amp; Series'!$E$1:$E$24,$AN8)))</f>
        <v>1</v>
      </c>
      <c r="AR8" s="112">
        <f>IF($AN8=0,0,MAX(0,N(INDEX('Universes &amp; Series'!$C$1:$C$24,$AN8))-N(INDEX('Universes &amp; Series'!$D$1:$D$24,$AN8))-N(INDEX('Universes &amp; Series'!$E$1:$E$24,$AN8))))</f>
        <v>7</v>
      </c>
      <c r="AS8" s="112">
        <f>IF($AN8=0,0,SUMIF('My Books'!$E$5:$E$24,$AO8,'My Books'!$G$5:$G$24))</f>
        <v>150000</v>
      </c>
      <c r="AT8" s="112">
        <f>IF($AN8=0,0,N(INDEX('Universes &amp; Series'!$F$1:$F$24,$AN8)))</f>
        <v>0</v>
      </c>
      <c r="AV8" s="111" t="str">
        <f ca="1">"Year "&amp;(YEAR(Config!$A$2)+3)</f>
        <v>Year 2029</v>
      </c>
      <c r="AW8" s="112">
        <f ca="1">SUMIF('My Books'!$A$5:$A$24,YEAR(Config!$A$2)+3,'My Books'!$G$5:$G$24)</f>
        <v>0</v>
      </c>
      <c r="AX8" s="112">
        <f ca="1">SUMIFS('Daily Writing Log'!$H$5:$H$34,'Daily Writing Log'!$A$5:$A$34,"&gt;="&amp;DATE(YEAR(Config!$A$2)+3,1,1),'Daily Writing Log'!$A$5:$A$34,"&lt;="&amp;DATE(YEAR(Config!$A$2)+3,12,31))</f>
        <v>0</v>
      </c>
      <c r="AY8" s="112">
        <f>Config!$B$7</f>
        <v>730000</v>
      </c>
      <c r="AZ8" s="111">
        <f>IF(ISNUMBER('Daily Writing Log'!$A8),WEEKDAY('Daily Writing Log'!$A8,2),0)</f>
        <v>0</v>
      </c>
      <c r="BA8" s="115" t="s">
        <v>218</v>
      </c>
      <c r="BB8" s="116">
        <f>SUM('Continuity &amp; Compilers'!$H$10:$H$29)</f>
        <v>0</v>
      </c>
      <c r="BC8" s="116">
        <f>COUNTIF('Continuity &amp; Compilers'!$D$10:$D$29,"&gt;0")</f>
        <v>6</v>
      </c>
    </row>
    <row r="9" spans="1:55" x14ac:dyDescent="0.3">
      <c r="A9" s="106">
        <f t="shared" ca="1" si="3"/>
        <v>45587</v>
      </c>
      <c r="B9" s="107">
        <f ca="1">SUMIFS('Daily Writing Log'!$H$5:$H$34,'Daily Writing Log'!$A$5:$A$34,$A9)</f>
        <v>0</v>
      </c>
      <c r="C9" s="107">
        <f ca="1">SUMIFS('Daily Writing Log'!$I$5:$I$34,'Daily Writing Log'!$A$5:$A$34,$A9)</f>
        <v>0</v>
      </c>
      <c r="D9" s="108">
        <f ca="1">IF($C9&gt;=Config!$B$5,1,0)</f>
        <v>0</v>
      </c>
      <c r="E9" s="108">
        <f t="shared" ca="1" si="4"/>
        <v>0</v>
      </c>
      <c r="F9" s="108">
        <f ca="1">IF(AND($D9=0,$H8&gt;0,$E9&lt;Config!$B$8,$A9&lt;Config!$A$2),1,0)</f>
        <v>0</v>
      </c>
      <c r="G9" s="108">
        <f t="shared" ca="1" si="5"/>
        <v>0</v>
      </c>
      <c r="H9" s="108">
        <f ca="1">IF($D9=1,$H8+1,IF($F9=1,$H8,IF($A9=Config!$A$2,$H8,0)))</f>
        <v>0</v>
      </c>
      <c r="J9" s="106">
        <f t="shared" ca="1" si="6"/>
        <v>46287</v>
      </c>
      <c r="K9" s="107">
        <f ca="1">SUMIFS('Daily Writing Log'!$H$5:$H$34,'Daily Writing Log'!$A$5:$A$34,$J9)</f>
        <v>0</v>
      </c>
      <c r="M9" s="109">
        <f>IF('My Books'!$B9="","",IF(OR('My Books'!$F9=Config!$F$14,AND(N('My Books'!$G9)&gt;0,N('My Books'!$Q9)&gt;=N('My Books'!$G9))),"",IF(ISNUMBER('My Books'!$L9),'My Books'!$L9,99999)+ROW()/100000))</f>
        <v>47119.000090000001</v>
      </c>
      <c r="O9" s="108">
        <v>5</v>
      </c>
      <c r="P9" s="108">
        <f t="shared" si="0"/>
        <v>9</v>
      </c>
      <c r="R9" s="110" t="s">
        <v>219</v>
      </c>
      <c r="S9" s="108">
        <f ca="1">MAX($H$5:$H$734)</f>
        <v>2</v>
      </c>
      <c r="U9" s="111" t="str">
        <f>IF($P9=0,"",INDEX('My Books'!$B$1:$B$24,$P9))</f>
        <v>Company of the Storm</v>
      </c>
      <c r="V9" s="112">
        <f>IF($P9=0,0,N(INDEX('My Books'!$Q$1:$Q$24,$P9)))</f>
        <v>0</v>
      </c>
      <c r="W9" s="112">
        <f>IF($P9=0,0,MAX(0,N(INDEX('My Books'!$G$1:$G$24,$P9))-N(INDEX('My Books'!$Q$1:$Q$24,$P9))))</f>
        <v>150000</v>
      </c>
      <c r="X9" s="112">
        <f ca="1">IF($P9=0,0,N(INDEX('My Books'!$N$1:$N$24,$P9)))</f>
        <v>1230</v>
      </c>
      <c r="Y9" s="112">
        <f ca="1">IF($P9=0,0,N(INDEX('My Books'!$O$1:$O$24,$P9)))</f>
        <v>0</v>
      </c>
      <c r="Z9" s="112">
        <f>IF($P9=0,0,N(INDEX('My Books'!$H$1:$H$24,$P9)))</f>
        <v>0</v>
      </c>
      <c r="AB9" s="111">
        <f>IF('My Books'!$B9="","",ROW())</f>
        <v>9</v>
      </c>
      <c r="AC9" s="112">
        <v>5</v>
      </c>
      <c r="AD9" s="112">
        <f t="shared" si="1"/>
        <v>9</v>
      </c>
      <c r="AE9" s="111" t="str">
        <f>IF($AD9=0,"",INDEX('My Books'!$B$1:$B$24,$AD9))</f>
        <v>Company of the Storm</v>
      </c>
      <c r="AF9" s="112">
        <f>IF($AD9=0,0,N(INDEX('My Books'!$G$1:$G$24,$AD9)))</f>
        <v>150000</v>
      </c>
      <c r="AG9" s="112">
        <f>IF($AD9=0,0,N(INDEX('My Books'!$H$1:$H$24,$AD9)))</f>
        <v>0</v>
      </c>
      <c r="AH9" s="112">
        <f>IF($AD9=0,0,N(INDEX('My Books'!$Q$1:$Q$24,$AD9)))</f>
        <v>0</v>
      </c>
      <c r="AI9" s="112">
        <f ca="1">IF($AD9=0,0,N(INDEX('My Books'!$N$1:$N$24,$AD9)))</f>
        <v>1230</v>
      </c>
      <c r="AJ9" s="112">
        <f ca="1">IF($AD9=0,0,N(INDEX('My Books'!$O$1:$O$24,$AD9)))</f>
        <v>0</v>
      </c>
      <c r="AL9" s="111">
        <f>IF('Universes &amp; Series'!$A9="","",ROW())</f>
        <v>9</v>
      </c>
      <c r="AM9" s="112">
        <v>5</v>
      </c>
      <c r="AN9" s="112">
        <f t="shared" si="2"/>
        <v>9</v>
      </c>
      <c r="AO9" s="111" t="str">
        <f>IF($AN9=0,"",INDEX('Universes &amp; Series'!$A$1:$A$24,$AN9))</f>
        <v>The Silver Chronicles</v>
      </c>
      <c r="AP9" s="112">
        <f>IF($AN9=0,0,N(INDEX('Universes &amp; Series'!$D$1:$D$24,$AN9)))</f>
        <v>0</v>
      </c>
      <c r="AQ9" s="112">
        <f>IF($AN9=0,0,N(INDEX('Universes &amp; Series'!$E$1:$E$24,$AN9)))</f>
        <v>1</v>
      </c>
      <c r="AR9" s="112">
        <f>IF($AN9=0,0,MAX(0,N(INDEX('Universes &amp; Series'!$C$1:$C$24,$AN9))-N(INDEX('Universes &amp; Series'!$D$1:$D$24,$AN9))-N(INDEX('Universes &amp; Series'!$E$1:$E$24,$AN9))))</f>
        <v>2</v>
      </c>
      <c r="AS9" s="112">
        <f>IF($AN9=0,0,SUMIF('My Books'!$E$5:$E$24,$AO9,'My Books'!$G$5:$G$24))</f>
        <v>120000</v>
      </c>
      <c r="AT9" s="112">
        <f>IF($AN9=0,0,N(INDEX('Universes &amp; Series'!$F$1:$F$24,$AN9)))</f>
        <v>7450</v>
      </c>
      <c r="AV9" s="111" t="str">
        <f ca="1">"Year "&amp;(YEAR(Config!$A$2)+4)</f>
        <v>Year 2030</v>
      </c>
      <c r="AW9" s="112">
        <f ca="1">SUMIF('My Books'!$A$5:$A$24,YEAR(Config!$A$2)+4,'My Books'!$G$5:$G$24)</f>
        <v>0</v>
      </c>
      <c r="AX9" s="112">
        <f ca="1">SUMIFS('Daily Writing Log'!$H$5:$H$34,'Daily Writing Log'!$A$5:$A$34,"&gt;="&amp;DATE(YEAR(Config!$A$2)+4,1,1),'Daily Writing Log'!$A$5:$A$34,"&lt;="&amp;DATE(YEAR(Config!$A$2)+4,12,31))</f>
        <v>0</v>
      </c>
      <c r="AY9" s="112">
        <f>Config!$B$7</f>
        <v>730000</v>
      </c>
      <c r="AZ9" s="111">
        <f>IF(ISNUMBER('Daily Writing Log'!$A9),WEEKDAY('Daily Writing Log'!$A9,2),0)</f>
        <v>0</v>
      </c>
      <c r="BA9" s="115" t="s">
        <v>220</v>
      </c>
      <c r="BB9" s="116">
        <f>SUM('Continuity &amp; Compilers'!$I$10:$I$29)</f>
        <v>0</v>
      </c>
      <c r="BC9" s="116">
        <f>COUNTIF('Continuity &amp; Compilers'!$D$10:$D$29,"&gt;0")</f>
        <v>6</v>
      </c>
    </row>
    <row r="10" spans="1:55" x14ac:dyDescent="0.3">
      <c r="A10" s="106">
        <f t="shared" ca="1" si="3"/>
        <v>45588</v>
      </c>
      <c r="B10" s="107">
        <f ca="1">SUMIFS('Daily Writing Log'!$H$5:$H$34,'Daily Writing Log'!$A$5:$A$34,$A10)</f>
        <v>0</v>
      </c>
      <c r="C10" s="107">
        <f ca="1">SUMIFS('Daily Writing Log'!$I$5:$I$34,'Daily Writing Log'!$A$5:$A$34,$A10)</f>
        <v>0</v>
      </c>
      <c r="D10" s="108">
        <f ca="1">IF($C10&gt;=Config!$B$5,1,0)</f>
        <v>0</v>
      </c>
      <c r="E10" s="108">
        <f t="shared" ca="1" si="4"/>
        <v>0</v>
      </c>
      <c r="F10" s="108">
        <f ca="1">IF(AND($D10=0,$H9&gt;0,$E10&lt;Config!$B$8,$A10&lt;Config!$A$2),1,0)</f>
        <v>0</v>
      </c>
      <c r="G10" s="108">
        <f t="shared" ca="1" si="5"/>
        <v>0</v>
      </c>
      <c r="H10" s="108">
        <f ca="1">IF($D10=1,$H9+1,IF($F10=1,$H9,IF($A10=Config!$A$2,$H9,0)))</f>
        <v>0</v>
      </c>
      <c r="J10" s="106">
        <f t="shared" ca="1" si="6"/>
        <v>46288</v>
      </c>
      <c r="K10" s="107">
        <f ca="1">SUMIFS('Daily Writing Log'!$H$5:$H$34,'Daily Writing Log'!$A$5:$A$34,$J10)</f>
        <v>0</v>
      </c>
      <c r="M10" s="109">
        <f>IF('My Books'!$B10="","",IF(OR('My Books'!$F10=Config!$F$14,AND(N('My Books'!$G10)&gt;0,N('My Books'!$Q10)&gt;=N('My Books'!$G10))),"",IF(ISNUMBER('My Books'!$L10),'My Books'!$L10,99999)+ROW()/100000))</f>
        <v>99999.000100000005</v>
      </c>
      <c r="O10" s="108">
        <v>6</v>
      </c>
      <c r="P10" s="108">
        <f t="shared" si="0"/>
        <v>10</v>
      </c>
      <c r="R10" s="110" t="s">
        <v>221</v>
      </c>
      <c r="S10" s="108">
        <f ca="1">MAX(0,Config!$B$8-$G$734)</f>
        <v>0</v>
      </c>
      <c r="U10" s="111" t="str">
        <f>IF($P10=0,"",INDEX('My Books'!$B$1:$B$24,$P10))</f>
        <v>The Silver Chronicles</v>
      </c>
      <c r="V10" s="112">
        <f>IF($P10=0,0,N(INDEX('My Books'!$Q$1:$Q$24,$P10)))</f>
        <v>5700</v>
      </c>
      <c r="W10" s="112">
        <f>IF($P10=0,0,MAX(0,N(INDEX('My Books'!$G$1:$G$24,$P10))-N(INDEX('My Books'!$Q$1:$Q$24,$P10))))</f>
        <v>114300</v>
      </c>
      <c r="X10" s="112">
        <f>IF($P10=0,0,N(INDEX('My Books'!$N$1:$N$24,$P10)))</f>
        <v>0</v>
      </c>
      <c r="Y10" s="112">
        <f ca="1">IF($P10=0,0,N(INDEX('My Books'!$O$1:$O$24,$P10)))</f>
        <v>0</v>
      </c>
      <c r="Z10" s="112">
        <f>IF($P10=0,0,N(INDEX('My Books'!$H$1:$H$24,$P10)))</f>
        <v>7450</v>
      </c>
      <c r="AB10" s="111">
        <f>IF('My Books'!$B10="","",ROW())</f>
        <v>10</v>
      </c>
      <c r="AC10" s="112">
        <v>6</v>
      </c>
      <c r="AD10" s="112">
        <f t="shared" si="1"/>
        <v>10</v>
      </c>
      <c r="AE10" s="111" t="str">
        <f>IF($AD10=0,"",INDEX('My Books'!$B$1:$B$24,$AD10))</f>
        <v>The Silver Chronicles</v>
      </c>
      <c r="AF10" s="112">
        <f>IF($AD10=0,0,N(INDEX('My Books'!$G$1:$G$24,$AD10)))</f>
        <v>120000</v>
      </c>
      <c r="AG10" s="112">
        <f>IF($AD10=0,0,N(INDEX('My Books'!$H$1:$H$24,$AD10)))</f>
        <v>7450</v>
      </c>
      <c r="AH10" s="112">
        <f>IF($AD10=0,0,N(INDEX('My Books'!$Q$1:$Q$24,$AD10)))</f>
        <v>5700</v>
      </c>
      <c r="AI10" s="112">
        <f>IF($AD10=0,0,N(INDEX('My Books'!$N$1:$N$24,$AD10)))</f>
        <v>0</v>
      </c>
      <c r="AJ10" s="112">
        <f ca="1">IF($AD10=0,0,N(INDEX('My Books'!$O$1:$O$24,$AD10)))</f>
        <v>0</v>
      </c>
      <c r="AL10" s="111">
        <f>IF('Universes &amp; Series'!$A10="","",ROW())</f>
        <v>10</v>
      </c>
      <c r="AM10" s="112">
        <v>6</v>
      </c>
      <c r="AN10" s="112">
        <f t="shared" si="2"/>
        <v>10</v>
      </c>
      <c r="AO10" s="111" t="str">
        <f>IF($AN10=0,"",INDEX('Universes &amp; Series'!$A$1:$A$24,$AN10))</f>
        <v>Silver Chronicles</v>
      </c>
      <c r="AP10" s="112">
        <f>IF($AN10=0,0,N(INDEX('Universes &amp; Series'!$D$1:$D$24,$AN10)))</f>
        <v>0</v>
      </c>
      <c r="AQ10" s="112">
        <f>IF($AN10=0,0,N(INDEX('Universes &amp; Series'!$E$1:$E$24,$AN10)))</f>
        <v>0</v>
      </c>
      <c r="AR10" s="112">
        <f>IF($AN10=0,0,MAX(0,N(INDEX('Universes &amp; Series'!$C$1:$C$24,$AN10))-N(INDEX('Universes &amp; Series'!$D$1:$D$24,$AN10))-N(INDEX('Universes &amp; Series'!$E$1:$E$24,$AN10))))</f>
        <v>3</v>
      </c>
      <c r="AS10" s="112">
        <f>IF($AN10=0,0,SUMIF('My Books'!$E$5:$E$24,$AO10,'My Books'!$G$5:$G$24))</f>
        <v>0</v>
      </c>
      <c r="AT10" s="112">
        <f>IF($AN10=0,0,N(INDEX('Universes &amp; Series'!$F$1:$F$24,$AN10)))</f>
        <v>0</v>
      </c>
      <c r="AZ10" s="111">
        <f>IF(ISNUMBER('Daily Writing Log'!$A10),WEEKDAY('Daily Writing Log'!$A10,2),0)</f>
        <v>0</v>
      </c>
    </row>
    <row r="11" spans="1:55" x14ac:dyDescent="0.3">
      <c r="A11" s="106">
        <f t="shared" ca="1" si="3"/>
        <v>45589</v>
      </c>
      <c r="B11" s="107">
        <f ca="1">SUMIFS('Daily Writing Log'!$H$5:$H$34,'Daily Writing Log'!$A$5:$A$34,$A11)</f>
        <v>0</v>
      </c>
      <c r="C11" s="107">
        <f ca="1">SUMIFS('Daily Writing Log'!$I$5:$I$34,'Daily Writing Log'!$A$5:$A$34,$A11)</f>
        <v>0</v>
      </c>
      <c r="D11" s="108">
        <f ca="1">IF($C11&gt;=Config!$B$5,1,0)</f>
        <v>0</v>
      </c>
      <c r="E11" s="108">
        <f t="shared" ca="1" si="4"/>
        <v>0</v>
      </c>
      <c r="F11" s="108">
        <f ca="1">IF(AND($D11=0,$H10&gt;0,$E11&lt;Config!$B$8,$A11&lt;Config!$A$2),1,0)</f>
        <v>0</v>
      </c>
      <c r="G11" s="108">
        <f t="shared" ca="1" si="5"/>
        <v>0</v>
      </c>
      <c r="H11" s="108">
        <f ca="1">IF($D11=1,$H10+1,IF($F11=1,$H10,IF($A11=Config!$A$2,$H10,0)))</f>
        <v>0</v>
      </c>
      <c r="J11" s="106">
        <f t="shared" ca="1" si="6"/>
        <v>46289</v>
      </c>
      <c r="K11" s="107">
        <f ca="1">SUMIFS('Daily Writing Log'!$H$5:$H$34,'Daily Writing Log'!$A$5:$A$34,$J11)</f>
        <v>0</v>
      </c>
      <c r="M11" s="109" t="str">
        <f>IF('My Books'!$B11="","",IF(OR('My Books'!$F11=Config!$F$14,AND(N('My Books'!$G11)&gt;0,N('My Books'!$Q11)&gt;=N('My Books'!$G11))),"",IF(ISNUMBER('My Books'!$L11),'My Books'!$L11,99999)+ROW()/100000))</f>
        <v/>
      </c>
      <c r="O11" s="108">
        <v>7</v>
      </c>
      <c r="P11" s="108">
        <f t="shared" si="0"/>
        <v>0</v>
      </c>
      <c r="R11" s="110" t="s">
        <v>222</v>
      </c>
      <c r="S11" s="107">
        <f ca="1">ROUND(SUM($K$5:$K$34)/30,0)</f>
        <v>162</v>
      </c>
      <c r="U11" s="111" t="str">
        <f>IF($P11=0,"",INDEX('My Books'!$B$1:$B$24,$P11))</f>
        <v/>
      </c>
      <c r="V11" s="112">
        <f>IF($P11=0,0,N(INDEX('My Books'!$Q$1:$Q$24,$P11)))</f>
        <v>0</v>
      </c>
      <c r="W11" s="112">
        <f>IF($P11=0,0,MAX(0,N(INDEX('My Books'!$G$1:$G$24,$P11))-N(INDEX('My Books'!$Q$1:$Q$24,$P11))))</f>
        <v>0</v>
      </c>
      <c r="X11" s="112">
        <f>IF($P11=0,0,N(INDEX('My Books'!$N$1:$N$24,$P11)))</f>
        <v>0</v>
      </c>
      <c r="Y11" s="112">
        <f>IF($P11=0,0,N(INDEX('My Books'!$O$1:$O$24,$P11)))</f>
        <v>0</v>
      </c>
      <c r="Z11" s="112">
        <f>IF($P11=0,0,N(INDEX('My Books'!$H$1:$H$24,$P11)))</f>
        <v>0</v>
      </c>
      <c r="AB11" s="111" t="str">
        <f>IF('My Books'!$B11="","",ROW())</f>
        <v/>
      </c>
      <c r="AC11" s="112">
        <v>7</v>
      </c>
      <c r="AD11" s="112">
        <f t="shared" si="1"/>
        <v>0</v>
      </c>
      <c r="AE11" s="111" t="str">
        <f>IF($AD11=0,"",INDEX('My Books'!$B$1:$B$24,$AD11))</f>
        <v/>
      </c>
      <c r="AF11" s="112">
        <f>IF($AD11=0,0,N(INDEX('My Books'!$G$1:$G$24,$AD11)))</f>
        <v>0</v>
      </c>
      <c r="AG11" s="112">
        <f>IF($AD11=0,0,N(INDEX('My Books'!$H$1:$H$24,$AD11)))</f>
        <v>0</v>
      </c>
      <c r="AH11" s="112">
        <f>IF($AD11=0,0,N(INDEX('My Books'!$Q$1:$Q$24,$AD11)))</f>
        <v>0</v>
      </c>
      <c r="AI11" s="112">
        <f>IF($AD11=0,0,N(INDEX('My Books'!$N$1:$N$24,$AD11)))</f>
        <v>0</v>
      </c>
      <c r="AJ11" s="112">
        <f>IF($AD11=0,0,N(INDEX('My Books'!$O$1:$O$24,$AD11)))</f>
        <v>0</v>
      </c>
      <c r="AL11" s="111" t="str">
        <f>IF('Universes &amp; Series'!$A11="","",ROW())</f>
        <v/>
      </c>
      <c r="AZ11" s="111">
        <f>IF(ISNUMBER('Daily Writing Log'!$A11),WEEKDAY('Daily Writing Log'!$A11,2),0)</f>
        <v>0</v>
      </c>
    </row>
    <row r="12" spans="1:55" x14ac:dyDescent="0.3">
      <c r="A12" s="106">
        <f t="shared" ca="1" si="3"/>
        <v>45590</v>
      </c>
      <c r="B12" s="107">
        <f ca="1">SUMIFS('Daily Writing Log'!$H$5:$H$34,'Daily Writing Log'!$A$5:$A$34,$A12)</f>
        <v>0</v>
      </c>
      <c r="C12" s="107">
        <f ca="1">SUMIFS('Daily Writing Log'!$I$5:$I$34,'Daily Writing Log'!$A$5:$A$34,$A12)</f>
        <v>0</v>
      </c>
      <c r="D12" s="108">
        <f ca="1">IF($C12&gt;=Config!$B$5,1,0)</f>
        <v>0</v>
      </c>
      <c r="E12" s="108">
        <f t="shared" ca="1" si="4"/>
        <v>0</v>
      </c>
      <c r="F12" s="108">
        <f ca="1">IF(AND($D12=0,$H11&gt;0,$E12&lt;Config!$B$8,$A12&lt;Config!$A$2),1,0)</f>
        <v>0</v>
      </c>
      <c r="G12" s="108">
        <f t="shared" ca="1" si="5"/>
        <v>0</v>
      </c>
      <c r="H12" s="108">
        <f ca="1">IF($D12=1,$H11+1,IF($F12=1,$H11,IF($A12=Config!$A$2,$H11,0)))</f>
        <v>0</v>
      </c>
      <c r="J12" s="106">
        <f t="shared" ca="1" si="6"/>
        <v>46290</v>
      </c>
      <c r="K12" s="107">
        <f ca="1">SUMIFS('Daily Writing Log'!$H$5:$H$34,'Daily Writing Log'!$A$5:$A$34,$J12)</f>
        <v>0</v>
      </c>
      <c r="M12" s="109" t="str">
        <f>IF('My Books'!$B12="","",IF(OR('My Books'!$F12=Config!$F$14,AND(N('My Books'!$G12)&gt;0,N('My Books'!$Q12)&gt;=N('My Books'!$G12))),"",IF(ISNUMBER('My Books'!$L12),'My Books'!$L12,99999)+ROW()/100000))</f>
        <v/>
      </c>
      <c r="O12" s="108">
        <v>8</v>
      </c>
      <c r="P12" s="108">
        <f t="shared" si="0"/>
        <v>0</v>
      </c>
      <c r="R12" t="s">
        <v>223</v>
      </c>
      <c r="S12" s="46">
        <f ca="1">SUM($D$5:$D$734)</f>
        <v>2</v>
      </c>
      <c r="U12" s="111" t="str">
        <f>IF($P12=0,"",INDEX('My Books'!$B$1:$B$24,$P12))</f>
        <v/>
      </c>
      <c r="V12" s="112">
        <f>IF($P12=0,0,N(INDEX('My Books'!$Q$1:$Q$24,$P12)))</f>
        <v>0</v>
      </c>
      <c r="W12" s="112">
        <f>IF($P12=0,0,MAX(0,N(INDEX('My Books'!$G$1:$G$24,$P12))-N(INDEX('My Books'!$Q$1:$Q$24,$P12))))</f>
        <v>0</v>
      </c>
      <c r="X12" s="112">
        <f>IF($P12=0,0,N(INDEX('My Books'!$N$1:$N$24,$P12)))</f>
        <v>0</v>
      </c>
      <c r="Y12" s="112">
        <f>IF($P12=0,0,N(INDEX('My Books'!$O$1:$O$24,$P12)))</f>
        <v>0</v>
      </c>
      <c r="Z12" s="112">
        <f>IF($P12=0,0,N(INDEX('My Books'!$H$1:$H$24,$P12)))</f>
        <v>0</v>
      </c>
      <c r="AB12" s="111" t="str">
        <f>IF('My Books'!$B12="","",ROW())</f>
        <v/>
      </c>
      <c r="AC12" s="112">
        <v>8</v>
      </c>
      <c r="AD12" s="112">
        <f t="shared" si="1"/>
        <v>0</v>
      </c>
      <c r="AE12" s="111" t="str">
        <f>IF($AD12=0,"",INDEX('My Books'!$B$1:$B$24,$AD12))</f>
        <v/>
      </c>
      <c r="AF12" s="112">
        <f>IF($AD12=0,0,N(INDEX('My Books'!$G$1:$G$24,$AD12)))</f>
        <v>0</v>
      </c>
      <c r="AG12" s="112">
        <f>IF($AD12=0,0,N(INDEX('My Books'!$H$1:$H$24,$AD12)))</f>
        <v>0</v>
      </c>
      <c r="AH12" s="112">
        <f>IF($AD12=0,0,N(INDEX('My Books'!$Q$1:$Q$24,$AD12)))</f>
        <v>0</v>
      </c>
      <c r="AI12" s="112">
        <f>IF($AD12=0,0,N(INDEX('My Books'!$N$1:$N$24,$AD12)))</f>
        <v>0</v>
      </c>
      <c r="AJ12" s="112">
        <f>IF($AD12=0,0,N(INDEX('My Books'!$O$1:$O$24,$AD12)))</f>
        <v>0</v>
      </c>
      <c r="AL12" s="111" t="str">
        <f>IF('Universes &amp; Series'!$A12="","",ROW())</f>
        <v/>
      </c>
      <c r="AV12" s="105" t="s">
        <v>224</v>
      </c>
      <c r="AW12" s="105" t="s">
        <v>225</v>
      </c>
      <c r="AX12" s="105" t="s">
        <v>226</v>
      </c>
      <c r="AZ12" s="111">
        <f>IF(ISNUMBER('Daily Writing Log'!$A12),WEEKDAY('Daily Writing Log'!$A12,2),0)</f>
        <v>0</v>
      </c>
      <c r="BA12" s="114" t="s">
        <v>227</v>
      </c>
      <c r="BB12" s="114" t="s">
        <v>228</v>
      </c>
      <c r="BC12" s="114" t="s">
        <v>229</v>
      </c>
    </row>
    <row r="13" spans="1:55" x14ac:dyDescent="0.3">
      <c r="A13" s="106">
        <f t="shared" ca="1" si="3"/>
        <v>45591</v>
      </c>
      <c r="B13" s="107">
        <f ca="1">SUMIFS('Daily Writing Log'!$H$5:$H$34,'Daily Writing Log'!$A$5:$A$34,$A13)</f>
        <v>0</v>
      </c>
      <c r="C13" s="107">
        <f ca="1">SUMIFS('Daily Writing Log'!$I$5:$I$34,'Daily Writing Log'!$A$5:$A$34,$A13)</f>
        <v>0</v>
      </c>
      <c r="D13" s="108">
        <f ca="1">IF($C13&gt;=Config!$B$5,1,0)</f>
        <v>0</v>
      </c>
      <c r="E13" s="108">
        <f t="shared" ca="1" si="4"/>
        <v>0</v>
      </c>
      <c r="F13" s="108">
        <f ca="1">IF(AND($D13=0,$H12&gt;0,$E13&lt;Config!$B$8,$A13&lt;Config!$A$2),1,0)</f>
        <v>0</v>
      </c>
      <c r="G13" s="108">
        <f t="shared" ca="1" si="5"/>
        <v>0</v>
      </c>
      <c r="H13" s="108">
        <f ca="1">IF($D13=1,$H12+1,IF($F13=1,$H12,IF($A13=Config!$A$2,$H12,0)))</f>
        <v>0</v>
      </c>
      <c r="J13" s="106">
        <f t="shared" ca="1" si="6"/>
        <v>46291</v>
      </c>
      <c r="K13" s="107">
        <f ca="1">SUMIFS('Daily Writing Log'!$H$5:$H$34,'Daily Writing Log'!$A$5:$A$34,$J13)</f>
        <v>0</v>
      </c>
      <c r="M13" s="109" t="str">
        <f>IF('My Books'!$B13="","",IF(OR('My Books'!$F13=Config!$F$14,AND(N('My Books'!$G13)&gt;0,N('My Books'!$Q13)&gt;=N('My Books'!$G13))),"",IF(ISNUMBER('My Books'!$L13),'My Books'!$L13,99999)+ROW()/100000))</f>
        <v/>
      </c>
      <c r="R13" t="s">
        <v>230</v>
      </c>
      <c r="S13" s="46">
        <f>SUM('Daily Writing Log'!$I$5:$I$34)</f>
        <v>6200</v>
      </c>
      <c r="AB13" s="111" t="str">
        <f>IF('My Books'!$B13="","",ROW())</f>
        <v/>
      </c>
      <c r="AL13" s="111" t="str">
        <f>IF('Universes &amp; Series'!$A13="","",ROW())</f>
        <v/>
      </c>
      <c r="AV13" s="111" t="str">
        <f>Config!$F$5</f>
        <v>Concept</v>
      </c>
      <c r="AW13" s="112">
        <f>COUNTIF('My Books'!$F$5:$F$24,$AV13)</f>
        <v>5</v>
      </c>
      <c r="AX13" s="112">
        <f>ROUND(SUMIF('My Books'!$F$5:$F$24,$AV13,'My Books'!$G$5:$G$24)/1000,1)</f>
        <v>900</v>
      </c>
      <c r="AZ13" s="111">
        <f>IF(ISNUMBER('Daily Writing Log'!$A13),WEEKDAY('Daily Writing Log'!$A13,2),0)</f>
        <v>0</v>
      </c>
      <c r="BA13" s="115" t="str">
        <f>'Continuity &amp; Compilers'!$A$10</f>
        <v>Prisoner of Sand Sea</v>
      </c>
      <c r="BB13" s="116">
        <f>N('Continuity &amp; Compilers'!$D$10)</f>
        <v>3</v>
      </c>
      <c r="BC13" s="116">
        <f>N('Continuity &amp; Compilers'!$L$10)</f>
        <v>0</v>
      </c>
    </row>
    <row r="14" spans="1:55" x14ac:dyDescent="0.3">
      <c r="A14" s="106">
        <f t="shared" ca="1" si="3"/>
        <v>45592</v>
      </c>
      <c r="B14" s="107">
        <f ca="1">SUMIFS('Daily Writing Log'!$H$5:$H$34,'Daily Writing Log'!$A$5:$A$34,$A14)</f>
        <v>0</v>
      </c>
      <c r="C14" s="107">
        <f ca="1">SUMIFS('Daily Writing Log'!$I$5:$I$34,'Daily Writing Log'!$A$5:$A$34,$A14)</f>
        <v>0</v>
      </c>
      <c r="D14" s="108">
        <f ca="1">IF($C14&gt;=Config!$B$5,1,0)</f>
        <v>0</v>
      </c>
      <c r="E14" s="108">
        <f t="shared" ca="1" si="4"/>
        <v>0</v>
      </c>
      <c r="F14" s="108">
        <f ca="1">IF(AND($D14=0,$H13&gt;0,$E14&lt;Config!$B$8,$A14&lt;Config!$A$2),1,0)</f>
        <v>0</v>
      </c>
      <c r="G14" s="108">
        <f t="shared" ca="1" si="5"/>
        <v>0</v>
      </c>
      <c r="H14" s="108">
        <f ca="1">IF($D14=1,$H13+1,IF($F14=1,$H13,IF($A14=Config!$A$2,$H13,0)))</f>
        <v>0</v>
      </c>
      <c r="J14" s="106">
        <f t="shared" ca="1" si="6"/>
        <v>46292</v>
      </c>
      <c r="K14" s="107">
        <f ca="1">SUMIFS('Daily Writing Log'!$H$5:$H$34,'Daily Writing Log'!$A$5:$A$34,$J14)</f>
        <v>0</v>
      </c>
      <c r="M14" s="109" t="str">
        <f>IF('My Books'!$B14="","",IF(OR('My Books'!$F14=Config!$F$14,AND(N('My Books'!$G14)&gt;0,N('My Books'!$Q14)&gt;=N('My Books'!$G14))),"",IF(ISNUMBER('My Books'!$L14),'My Books'!$L14,99999)+ROW()/100000))</f>
        <v/>
      </c>
      <c r="R14" t="s">
        <v>231</v>
      </c>
      <c r="S14" s="46">
        <f>IF(SUM('Daily Writing Log'!$L$5:$L$34)&gt;0,ROUND(SUM('Daily Writing Log'!$H$5:$H$34)/(SUM('Daily Writing Log'!$L$5:$L$34)/60),0),0)</f>
        <v>1568</v>
      </c>
      <c r="AB14" s="111" t="str">
        <f>IF('My Books'!$B14="","",ROW())</f>
        <v/>
      </c>
      <c r="AL14" s="111" t="str">
        <f>IF('Universes &amp; Series'!$A14="","",ROW())</f>
        <v/>
      </c>
      <c r="AV14" s="111" t="str">
        <f>Config!$F$6</f>
        <v>Pre-Draft Outline</v>
      </c>
      <c r="AW14" s="112">
        <f>COUNTIF('My Books'!$F$5:$F$24,$AV14)</f>
        <v>0</v>
      </c>
      <c r="AX14" s="112">
        <f>ROUND(SUMIF('My Books'!$F$5:$F$24,$AV14,'My Books'!$G$5:$G$24)/1000,1)</f>
        <v>0</v>
      </c>
      <c r="AZ14" s="111">
        <f>IF(ISNUMBER('Daily Writing Log'!$A14),WEEKDAY('Daily Writing Log'!$A14,2),0)</f>
        <v>0</v>
      </c>
      <c r="BA14" s="115" t="str">
        <f>'Continuity &amp; Compilers'!$A$11</f>
        <v>Gothic Fantasy 1</v>
      </c>
      <c r="BB14" s="116">
        <f>N('Continuity &amp; Compilers'!$D$11)</f>
        <v>2</v>
      </c>
      <c r="BC14" s="116">
        <f>N('Continuity &amp; Compilers'!$L$11)</f>
        <v>0</v>
      </c>
    </row>
    <row r="15" spans="1:55" x14ac:dyDescent="0.3">
      <c r="A15" s="106">
        <f t="shared" ca="1" si="3"/>
        <v>45593</v>
      </c>
      <c r="B15" s="107">
        <f ca="1">SUMIFS('Daily Writing Log'!$H$5:$H$34,'Daily Writing Log'!$A$5:$A$34,$A15)</f>
        <v>0</v>
      </c>
      <c r="C15" s="107">
        <f ca="1">SUMIFS('Daily Writing Log'!$I$5:$I$34,'Daily Writing Log'!$A$5:$A$34,$A15)</f>
        <v>0</v>
      </c>
      <c r="D15" s="108">
        <f ca="1">IF($C15&gt;=Config!$B$5,1,0)</f>
        <v>0</v>
      </c>
      <c r="E15" s="108">
        <f t="shared" ca="1" si="4"/>
        <v>0</v>
      </c>
      <c r="F15" s="108">
        <f ca="1">IF(AND($D15=0,$H14&gt;0,$E15&lt;Config!$B$8,$A15&lt;Config!$A$2),1,0)</f>
        <v>0</v>
      </c>
      <c r="G15" s="108">
        <f t="shared" ca="1" si="5"/>
        <v>0</v>
      </c>
      <c r="H15" s="108">
        <f ca="1">IF($D15=1,$H14+1,IF($F15=1,$H14,IF($A15=Config!$A$2,$H14,0)))</f>
        <v>0</v>
      </c>
      <c r="J15" s="106">
        <f t="shared" ca="1" si="6"/>
        <v>46293</v>
      </c>
      <c r="K15" s="107">
        <f ca="1">SUMIFS('Daily Writing Log'!$H$5:$H$34,'Daily Writing Log'!$A$5:$A$34,$J15)</f>
        <v>0</v>
      </c>
      <c r="M15" s="109" t="str">
        <f>IF('My Books'!$B15="","",IF(OR('My Books'!$F15=Config!$F$14,AND(N('My Books'!$G15)&gt;0,N('My Books'!$Q15)&gt;=N('My Books'!$G15))),"",IF(ISNUMBER('My Books'!$L15),'My Books'!$L15,99999)+ROW()/100000))</f>
        <v/>
      </c>
      <c r="AB15" s="111" t="str">
        <f>IF('My Books'!$B15="","",ROW())</f>
        <v/>
      </c>
      <c r="AL15" s="111" t="str">
        <f>IF('Universes &amp; Series'!$A15="","",ROW())</f>
        <v/>
      </c>
      <c r="AV15" s="111" t="str">
        <f>Config!$F$7</f>
        <v>Drafting</v>
      </c>
      <c r="AW15" s="112">
        <f>COUNTIF('My Books'!$F$5:$F$24,$AV15)</f>
        <v>1</v>
      </c>
      <c r="AX15" s="112">
        <f>ROUND(SUMIF('My Books'!$F$5:$F$24,$AV15,'My Books'!$G$5:$G$24)/1000,1)</f>
        <v>120</v>
      </c>
      <c r="AZ15" s="111">
        <f>IF(ISNUMBER('Daily Writing Log'!$A15),WEEKDAY('Daily Writing Log'!$A15,2),0)</f>
        <v>0</v>
      </c>
      <c r="BA15" s="115" t="str">
        <f>'Continuity &amp; Compilers'!$A$12</f>
        <v>Quest Fantasy 1</v>
      </c>
      <c r="BB15" s="116">
        <f>N('Continuity &amp; Compilers'!$D$12)</f>
        <v>1</v>
      </c>
      <c r="BC15" s="116">
        <f>N('Continuity &amp; Compilers'!$L$12)</f>
        <v>0</v>
      </c>
    </row>
    <row r="16" spans="1:55" x14ac:dyDescent="0.3">
      <c r="A16" s="106">
        <f t="shared" ca="1" si="3"/>
        <v>45594</v>
      </c>
      <c r="B16" s="107">
        <f ca="1">SUMIFS('Daily Writing Log'!$H$5:$H$34,'Daily Writing Log'!$A$5:$A$34,$A16)</f>
        <v>0</v>
      </c>
      <c r="C16" s="107">
        <f ca="1">SUMIFS('Daily Writing Log'!$I$5:$I$34,'Daily Writing Log'!$A$5:$A$34,$A16)</f>
        <v>0</v>
      </c>
      <c r="D16" s="108">
        <f ca="1">IF($C16&gt;=Config!$B$5,1,0)</f>
        <v>0</v>
      </c>
      <c r="E16" s="108">
        <f t="shared" ca="1" si="4"/>
        <v>0</v>
      </c>
      <c r="F16" s="108">
        <f ca="1">IF(AND($D16=0,$H15&gt;0,$E16&lt;Config!$B$8,$A16&lt;Config!$A$2),1,0)</f>
        <v>0</v>
      </c>
      <c r="G16" s="108">
        <f t="shared" ca="1" si="5"/>
        <v>0</v>
      </c>
      <c r="H16" s="108">
        <f ca="1">IF($D16=1,$H15+1,IF($F16=1,$H15,IF($A16=Config!$A$2,$H15,0)))</f>
        <v>0</v>
      </c>
      <c r="J16" s="106">
        <f t="shared" ca="1" si="6"/>
        <v>46294</v>
      </c>
      <c r="K16" s="107">
        <f ca="1">SUMIFS('Daily Writing Log'!$H$5:$H$34,'Daily Writing Log'!$A$5:$A$34,$J16)</f>
        <v>0</v>
      </c>
      <c r="M16" s="109" t="str">
        <f>IF('My Books'!$B16="","",IF(OR('My Books'!$F16=Config!$F$14,AND(N('My Books'!$G16)&gt;0,N('My Books'!$Q16)&gt;=N('My Books'!$G16))),"",IF(ISNUMBER('My Books'!$L16),'My Books'!$L16,99999)+ROW()/100000))</f>
        <v/>
      </c>
      <c r="AB16" s="111" t="str">
        <f>IF('My Books'!$B16="","",ROW())</f>
        <v/>
      </c>
      <c r="AL16" s="111" t="str">
        <f>IF('Universes &amp; Series'!$A16="","",ROW())</f>
        <v/>
      </c>
      <c r="AV16" s="111" t="str">
        <f>Config!$F$8</f>
        <v>Pre-Revision Outline</v>
      </c>
      <c r="AW16" s="112">
        <f>COUNTIF('My Books'!$F$5:$F$24,$AV16)</f>
        <v>0</v>
      </c>
      <c r="AX16" s="112">
        <f>ROUND(SUMIF('My Books'!$F$5:$F$24,$AV16,'My Books'!$G$5:$G$24)/1000,1)</f>
        <v>0</v>
      </c>
      <c r="AZ16" s="111">
        <f>IF(ISNUMBER('Daily Writing Log'!$A16),WEEKDAY('Daily Writing Log'!$A16,2),0)</f>
        <v>0</v>
      </c>
      <c r="BA16" s="115" t="str">
        <f>'Continuity &amp; Compilers'!$A$13</f>
        <v>Ruler of Sand Sea</v>
      </c>
      <c r="BB16" s="116">
        <f>N('Continuity &amp; Compilers'!$D$13)</f>
        <v>1</v>
      </c>
      <c r="BC16" s="116">
        <f>N('Continuity &amp; Compilers'!$L$13)</f>
        <v>0</v>
      </c>
    </row>
    <row r="17" spans="1:55" x14ac:dyDescent="0.3">
      <c r="A17" s="106">
        <f t="shared" ca="1" si="3"/>
        <v>45595</v>
      </c>
      <c r="B17" s="107">
        <f ca="1">SUMIFS('Daily Writing Log'!$H$5:$H$34,'Daily Writing Log'!$A$5:$A$34,$A17)</f>
        <v>0</v>
      </c>
      <c r="C17" s="107">
        <f ca="1">SUMIFS('Daily Writing Log'!$I$5:$I$34,'Daily Writing Log'!$A$5:$A$34,$A17)</f>
        <v>0</v>
      </c>
      <c r="D17" s="108">
        <f ca="1">IF($C17&gt;=Config!$B$5,1,0)</f>
        <v>0</v>
      </c>
      <c r="E17" s="108">
        <f t="shared" ca="1" si="4"/>
        <v>0</v>
      </c>
      <c r="F17" s="108">
        <f ca="1">IF(AND($D17=0,$H16&gt;0,$E17&lt;Config!$B$8,$A17&lt;Config!$A$2),1,0)</f>
        <v>0</v>
      </c>
      <c r="G17" s="108">
        <f t="shared" ca="1" si="5"/>
        <v>0</v>
      </c>
      <c r="H17" s="108">
        <f ca="1">IF($D17=1,$H16+1,IF($F17=1,$H16,IF($A17=Config!$A$2,$H16,0)))</f>
        <v>0</v>
      </c>
      <c r="J17" s="106">
        <f t="shared" ca="1" si="6"/>
        <v>46295</v>
      </c>
      <c r="K17" s="107">
        <f ca="1">SUMIFS('Daily Writing Log'!$H$5:$H$34,'Daily Writing Log'!$A$5:$A$34,$J17)</f>
        <v>0</v>
      </c>
      <c r="M17" s="109" t="str">
        <f>IF('My Books'!$B17="","",IF(OR('My Books'!$F17=Config!$F$14,AND(N('My Books'!$G17)&gt;0,N('My Books'!$Q17)&gt;=N('My Books'!$G17))),"",IF(ISNUMBER('My Books'!$L17),'My Books'!$L17,99999)+ROW()/100000))</f>
        <v/>
      </c>
      <c r="AB17" s="111" t="str">
        <f>IF('My Books'!$B17="","",ROW())</f>
        <v/>
      </c>
      <c r="AL17" s="111" t="str">
        <f>IF('Universes &amp; Series'!$A17="","",ROW())</f>
        <v/>
      </c>
      <c r="AV17" s="111" t="str">
        <f>Config!$F$9</f>
        <v>Revision</v>
      </c>
      <c r="AW17" s="112">
        <f>COUNTIF('My Books'!$F$5:$F$24,$AV17)</f>
        <v>0</v>
      </c>
      <c r="AX17" s="112">
        <f>ROUND(SUMIF('My Books'!$F$5:$F$24,$AV17,'My Books'!$G$5:$G$24)/1000,1)</f>
        <v>0</v>
      </c>
      <c r="AZ17" s="111">
        <f>IF(ISNUMBER('Daily Writing Log'!$A17),WEEKDAY('Daily Writing Log'!$A17,2),0)</f>
        <v>0</v>
      </c>
      <c r="BA17" s="115" t="str">
        <f>'Continuity &amp; Compilers'!$A$14</f>
        <v>Company of the Storm</v>
      </c>
      <c r="BB17" s="116">
        <f>N('Continuity &amp; Compilers'!$D$14)</f>
        <v>1</v>
      </c>
      <c r="BC17" s="116">
        <f>N('Continuity &amp; Compilers'!$L$14)</f>
        <v>0</v>
      </c>
    </row>
    <row r="18" spans="1:55" x14ac:dyDescent="0.3">
      <c r="A18" s="106">
        <f t="shared" ca="1" si="3"/>
        <v>45596</v>
      </c>
      <c r="B18" s="107">
        <f ca="1">SUMIFS('Daily Writing Log'!$H$5:$H$34,'Daily Writing Log'!$A$5:$A$34,$A18)</f>
        <v>0</v>
      </c>
      <c r="C18" s="107">
        <f ca="1">SUMIFS('Daily Writing Log'!$I$5:$I$34,'Daily Writing Log'!$A$5:$A$34,$A18)</f>
        <v>0</v>
      </c>
      <c r="D18" s="108">
        <f ca="1">IF($C18&gt;=Config!$B$5,1,0)</f>
        <v>0</v>
      </c>
      <c r="E18" s="108">
        <f t="shared" ca="1" si="4"/>
        <v>0</v>
      </c>
      <c r="F18" s="108">
        <f ca="1">IF(AND($D18=0,$H17&gt;0,$E18&lt;Config!$B$8,$A18&lt;Config!$A$2),1,0)</f>
        <v>0</v>
      </c>
      <c r="G18" s="108">
        <f t="shared" ca="1" si="5"/>
        <v>0</v>
      </c>
      <c r="H18" s="108">
        <f ca="1">IF($D18=1,$H17+1,IF($F18=1,$H17,IF($A18=Config!$A$2,$H17,0)))</f>
        <v>0</v>
      </c>
      <c r="J18" s="106">
        <f t="shared" ca="1" si="6"/>
        <v>46296</v>
      </c>
      <c r="K18" s="107">
        <f ca="1">SUMIFS('Daily Writing Log'!$H$5:$H$34,'Daily Writing Log'!$A$5:$A$34,$J18)</f>
        <v>0</v>
      </c>
      <c r="M18" s="109" t="str">
        <f>IF('My Books'!$B18="","",IF(OR('My Books'!$F18=Config!$F$14,AND(N('My Books'!$G18)&gt;0,N('My Books'!$Q18)&gt;=N('My Books'!$G18))),"",IF(ISNUMBER('My Books'!$L18),'My Books'!$L18,99999)+ROW()/100000))</f>
        <v/>
      </c>
      <c r="AB18" s="111" t="str">
        <f>IF('My Books'!$B18="","",ROW())</f>
        <v/>
      </c>
      <c r="AL18" s="111" t="str">
        <f>IF('Universes &amp; Series'!$A18="","",ROW())</f>
        <v/>
      </c>
      <c r="AV18" s="111" t="str">
        <f>Config!$F$10</f>
        <v>Beta Review</v>
      </c>
      <c r="AW18" s="112">
        <f>COUNTIF('My Books'!$F$5:$F$24,$AV18)</f>
        <v>0</v>
      </c>
      <c r="AX18" s="112">
        <f>ROUND(SUMIF('My Books'!$F$5:$F$24,$AV18,'My Books'!$G$5:$G$24)/1000,1)</f>
        <v>0</v>
      </c>
      <c r="AZ18" s="111">
        <f>IF(ISNUMBER('Daily Writing Log'!$A18),WEEKDAY('Daily Writing Log'!$A18,2),0)</f>
        <v>0</v>
      </c>
      <c r="BA18" s="115" t="str">
        <f>'Continuity &amp; Compilers'!$A$15</f>
        <v>The Silver Chronicles</v>
      </c>
      <c r="BB18" s="116">
        <f>N('Continuity &amp; Compilers'!$D$15)</f>
        <v>20</v>
      </c>
      <c r="BC18" s="116">
        <f>N('Continuity &amp; Compilers'!$L$15)</f>
        <v>1</v>
      </c>
    </row>
    <row r="19" spans="1:55" x14ac:dyDescent="0.3">
      <c r="A19" s="106">
        <f t="shared" ca="1" si="3"/>
        <v>45597</v>
      </c>
      <c r="B19" s="107">
        <f ca="1">SUMIFS('Daily Writing Log'!$H$5:$H$34,'Daily Writing Log'!$A$5:$A$34,$A19)</f>
        <v>0</v>
      </c>
      <c r="C19" s="107">
        <f ca="1">SUMIFS('Daily Writing Log'!$I$5:$I$34,'Daily Writing Log'!$A$5:$A$34,$A19)</f>
        <v>0</v>
      </c>
      <c r="D19" s="108">
        <f ca="1">IF($C19&gt;=Config!$B$5,1,0)</f>
        <v>0</v>
      </c>
      <c r="E19" s="108">
        <f t="shared" ca="1" si="4"/>
        <v>0</v>
      </c>
      <c r="F19" s="108">
        <f ca="1">IF(AND($D19=0,$H18&gt;0,$E19&lt;Config!$B$8,$A19&lt;Config!$A$2),1,0)</f>
        <v>0</v>
      </c>
      <c r="G19" s="108">
        <f t="shared" ca="1" si="5"/>
        <v>0</v>
      </c>
      <c r="H19" s="108">
        <f ca="1">IF($D19=1,$H18+1,IF($F19=1,$H18,IF($A19=Config!$A$2,$H18,0)))</f>
        <v>0</v>
      </c>
      <c r="J19" s="106">
        <f t="shared" ca="1" si="6"/>
        <v>46297</v>
      </c>
      <c r="K19" s="107">
        <f ca="1">SUMIFS('Daily Writing Log'!$H$5:$H$34,'Daily Writing Log'!$A$5:$A$34,$J19)</f>
        <v>0</v>
      </c>
      <c r="M19" s="109" t="str">
        <f>IF('My Books'!$B19="","",IF(OR('My Books'!$F19=Config!$F$14,AND(N('My Books'!$G19)&gt;0,N('My Books'!$Q19)&gt;=N('My Books'!$G19))),"",IF(ISNUMBER('My Books'!$L19),'My Books'!$L19,99999)+ROW()/100000))</f>
        <v/>
      </c>
      <c r="AB19" s="111" t="str">
        <f>IF('My Books'!$B19="","",ROW())</f>
        <v/>
      </c>
      <c r="AL19" s="111" t="str">
        <f>IF('Universes &amp; Series'!$A19="","",ROW())</f>
        <v/>
      </c>
      <c r="AV19" s="111" t="str">
        <f>Config!$F$11</f>
        <v>Proofing</v>
      </c>
      <c r="AW19" s="112">
        <f>COUNTIF('My Books'!$F$5:$F$24,$AV19)</f>
        <v>0</v>
      </c>
      <c r="AX19" s="112">
        <f>ROUND(SUMIF('My Books'!$F$5:$F$24,$AV19,'My Books'!$G$5:$G$24)/1000,1)</f>
        <v>0</v>
      </c>
      <c r="AZ19" s="111">
        <f>IF(ISNUMBER('Daily Writing Log'!$A19),WEEKDAY('Daily Writing Log'!$A19,2),0)</f>
        <v>0</v>
      </c>
    </row>
    <row r="20" spans="1:55" x14ac:dyDescent="0.3">
      <c r="A20" s="106">
        <f t="shared" ca="1" si="3"/>
        <v>45598</v>
      </c>
      <c r="B20" s="107">
        <f ca="1">SUMIFS('Daily Writing Log'!$H$5:$H$34,'Daily Writing Log'!$A$5:$A$34,$A20)</f>
        <v>0</v>
      </c>
      <c r="C20" s="107">
        <f ca="1">SUMIFS('Daily Writing Log'!$I$5:$I$34,'Daily Writing Log'!$A$5:$A$34,$A20)</f>
        <v>0</v>
      </c>
      <c r="D20" s="108">
        <f ca="1">IF($C20&gt;=Config!$B$5,1,0)</f>
        <v>0</v>
      </c>
      <c r="E20" s="108">
        <f t="shared" ca="1" si="4"/>
        <v>0</v>
      </c>
      <c r="F20" s="108">
        <f ca="1">IF(AND($D20=0,$H19&gt;0,$E20&lt;Config!$B$8,$A20&lt;Config!$A$2),1,0)</f>
        <v>0</v>
      </c>
      <c r="G20" s="108">
        <f t="shared" ca="1" si="5"/>
        <v>0</v>
      </c>
      <c r="H20" s="108">
        <f ca="1">IF($D20=1,$H19+1,IF($F20=1,$H19,IF($A20=Config!$A$2,$H19,0)))</f>
        <v>0</v>
      </c>
      <c r="J20" s="106">
        <f t="shared" ca="1" si="6"/>
        <v>46298</v>
      </c>
      <c r="K20" s="107">
        <f ca="1">SUMIFS('Daily Writing Log'!$H$5:$H$34,'Daily Writing Log'!$A$5:$A$34,$J20)</f>
        <v>0</v>
      </c>
      <c r="M20" s="109" t="str">
        <f>IF('My Books'!$B20="","",IF(OR('My Books'!$F20=Config!$F$14,AND(N('My Books'!$G20)&gt;0,N('My Books'!$Q20)&gt;=N('My Books'!$G20))),"",IF(ISNUMBER('My Books'!$L20),'My Books'!$L20,99999)+ROW()/100000))</f>
        <v/>
      </c>
      <c r="AB20" s="111" t="str">
        <f>IF('My Books'!$B20="","",ROW())</f>
        <v/>
      </c>
      <c r="AL20" s="111" t="str">
        <f>IF('Universes &amp; Series'!$A20="","",ROW())</f>
        <v/>
      </c>
      <c r="AV20" s="111" t="str">
        <f>Config!$F$12</f>
        <v>Querying</v>
      </c>
      <c r="AW20" s="112">
        <f>COUNTIF('My Books'!$F$5:$F$24,$AV20)</f>
        <v>0</v>
      </c>
      <c r="AX20" s="112">
        <f>ROUND(SUMIF('My Books'!$F$5:$F$24,$AV20,'My Books'!$G$5:$G$24)/1000,1)</f>
        <v>0</v>
      </c>
      <c r="AZ20" s="111">
        <f>IF(ISNUMBER('Daily Writing Log'!$A20),WEEKDAY('Daily Writing Log'!$A20,2),0)</f>
        <v>0</v>
      </c>
    </row>
    <row r="21" spans="1:55" x14ac:dyDescent="0.3">
      <c r="A21" s="106">
        <f t="shared" ca="1" si="3"/>
        <v>45599</v>
      </c>
      <c r="B21" s="107">
        <f ca="1">SUMIFS('Daily Writing Log'!$H$5:$H$34,'Daily Writing Log'!$A$5:$A$34,$A21)</f>
        <v>0</v>
      </c>
      <c r="C21" s="107">
        <f ca="1">SUMIFS('Daily Writing Log'!$I$5:$I$34,'Daily Writing Log'!$A$5:$A$34,$A21)</f>
        <v>0</v>
      </c>
      <c r="D21" s="108">
        <f ca="1">IF($C21&gt;=Config!$B$5,1,0)</f>
        <v>0</v>
      </c>
      <c r="E21" s="108">
        <f t="shared" ca="1" si="4"/>
        <v>0</v>
      </c>
      <c r="F21" s="108">
        <f ca="1">IF(AND($D21=0,$H20&gt;0,$E21&lt;Config!$B$8,$A21&lt;Config!$A$2),1,0)</f>
        <v>0</v>
      </c>
      <c r="G21" s="108">
        <f t="shared" ca="1" si="5"/>
        <v>0</v>
      </c>
      <c r="H21" s="108">
        <f ca="1">IF($D21=1,$H20+1,IF($F21=1,$H20,IF($A21=Config!$A$2,$H20,0)))</f>
        <v>0</v>
      </c>
      <c r="J21" s="106">
        <f t="shared" ca="1" si="6"/>
        <v>46299</v>
      </c>
      <c r="K21" s="107">
        <f ca="1">SUMIFS('Daily Writing Log'!$H$5:$H$34,'Daily Writing Log'!$A$5:$A$34,$J21)</f>
        <v>0</v>
      </c>
      <c r="M21" s="109" t="str">
        <f>IF('My Books'!$B21="","",IF(OR('My Books'!$F21=Config!$F$14,AND(N('My Books'!$G21)&gt;0,N('My Books'!$Q21)&gt;=N('My Books'!$G21))),"",IF(ISNUMBER('My Books'!$L21),'My Books'!$L21,99999)+ROW()/100000))</f>
        <v/>
      </c>
      <c r="AB21" s="111" t="str">
        <f>IF('My Books'!$B21="","",ROW())</f>
        <v/>
      </c>
      <c r="AL21" s="111" t="str">
        <f>IF('Universes &amp; Series'!$A21="","",ROW())</f>
        <v/>
      </c>
      <c r="AV21" s="111" t="str">
        <f>Config!$F$13</f>
        <v>Publishing</v>
      </c>
      <c r="AW21" s="112">
        <f>COUNTIF('My Books'!$F$5:$F$24,$AV21)</f>
        <v>0</v>
      </c>
      <c r="AX21" s="112">
        <f>ROUND(SUMIF('My Books'!$F$5:$F$24,$AV21,'My Books'!$G$5:$G$24)/1000,1)</f>
        <v>0</v>
      </c>
      <c r="AZ21" s="111">
        <f>IF(ISNUMBER('Daily Writing Log'!$A21),WEEKDAY('Daily Writing Log'!$A21,2),0)</f>
        <v>0</v>
      </c>
      <c r="BA21" s="114" t="s">
        <v>232</v>
      </c>
      <c r="BB21" s="114" t="s">
        <v>233</v>
      </c>
    </row>
    <row r="22" spans="1:55" x14ac:dyDescent="0.3">
      <c r="A22" s="106">
        <f t="shared" ca="1" si="3"/>
        <v>45600</v>
      </c>
      <c r="B22" s="107">
        <f ca="1">SUMIFS('Daily Writing Log'!$H$5:$H$34,'Daily Writing Log'!$A$5:$A$34,$A22)</f>
        <v>0</v>
      </c>
      <c r="C22" s="107">
        <f ca="1">SUMIFS('Daily Writing Log'!$I$5:$I$34,'Daily Writing Log'!$A$5:$A$34,$A22)</f>
        <v>0</v>
      </c>
      <c r="D22" s="108">
        <f ca="1">IF($C22&gt;=Config!$B$5,1,0)</f>
        <v>0</v>
      </c>
      <c r="E22" s="108">
        <f t="shared" ca="1" si="4"/>
        <v>0</v>
      </c>
      <c r="F22" s="108">
        <f ca="1">IF(AND($D22=0,$H21&gt;0,$E22&lt;Config!$B$8,$A22&lt;Config!$A$2),1,0)</f>
        <v>0</v>
      </c>
      <c r="G22" s="108">
        <f t="shared" ca="1" si="5"/>
        <v>0</v>
      </c>
      <c r="H22" s="108">
        <f ca="1">IF($D22=1,$H21+1,IF($F22=1,$H21,IF($A22=Config!$A$2,$H21,0)))</f>
        <v>0</v>
      </c>
      <c r="J22" s="106">
        <f t="shared" ca="1" si="6"/>
        <v>46300</v>
      </c>
      <c r="K22" s="107">
        <f ca="1">SUMIFS('Daily Writing Log'!$H$5:$H$34,'Daily Writing Log'!$A$5:$A$34,$J22)</f>
        <v>0</v>
      </c>
      <c r="M22" s="109" t="str">
        <f>IF('My Books'!$B22="","",IF(OR('My Books'!$F22=Config!$F$14,AND(N('My Books'!$G22)&gt;0,N('My Books'!$Q22)&gt;=N('My Books'!$G22))),"",IF(ISNUMBER('My Books'!$L22),'My Books'!$L22,99999)+ROW()/100000))</f>
        <v/>
      </c>
      <c r="AB22" s="111" t="str">
        <f>IF('My Books'!$B22="","",ROW())</f>
        <v/>
      </c>
      <c r="AL22" s="111" t="str">
        <f>IF('Universes &amp; Series'!$A22="","",ROW())</f>
        <v/>
      </c>
      <c r="AV22" s="111" t="str">
        <f>Config!$F$14</f>
        <v>Published</v>
      </c>
      <c r="AW22" s="112">
        <f>COUNTIF('My Books'!$F$5:$F$24,$AV22)</f>
        <v>0</v>
      </c>
      <c r="AX22" s="112">
        <f>ROUND(SUMIF('My Books'!$F$5:$F$24,$AV22,'My Books'!$G$5:$G$24)/1000,1)</f>
        <v>0</v>
      </c>
      <c r="AZ22" s="111">
        <f>IF(ISNUMBER('Daily Writing Log'!$A22),WEEKDAY('Daily Writing Log'!$A22,2),0)</f>
        <v>0</v>
      </c>
      <c r="BA22" s="115" t="s">
        <v>234</v>
      </c>
      <c r="BB22" s="116">
        <f>SUM('World Bible &amp; Lore'!$C$10:$C$29)</f>
        <v>20</v>
      </c>
    </row>
    <row r="23" spans="1:55" x14ac:dyDescent="0.3">
      <c r="A23" s="106">
        <f t="shared" ca="1" si="3"/>
        <v>45601</v>
      </c>
      <c r="B23" s="107">
        <f ca="1">SUMIFS('Daily Writing Log'!$H$5:$H$34,'Daily Writing Log'!$A$5:$A$34,$A23)</f>
        <v>0</v>
      </c>
      <c r="C23" s="107">
        <f ca="1">SUMIFS('Daily Writing Log'!$I$5:$I$34,'Daily Writing Log'!$A$5:$A$34,$A23)</f>
        <v>0</v>
      </c>
      <c r="D23" s="108">
        <f ca="1">IF($C23&gt;=Config!$B$5,1,0)</f>
        <v>0</v>
      </c>
      <c r="E23" s="108">
        <f t="shared" ca="1" si="4"/>
        <v>0</v>
      </c>
      <c r="F23" s="108">
        <f ca="1">IF(AND($D23=0,$H22&gt;0,$E23&lt;Config!$B$8,$A23&lt;Config!$A$2),1,0)</f>
        <v>0</v>
      </c>
      <c r="G23" s="108">
        <f t="shared" ca="1" si="5"/>
        <v>0</v>
      </c>
      <c r="H23" s="108">
        <f ca="1">IF($D23=1,$H22+1,IF($F23=1,$H22,IF($A23=Config!$A$2,$H22,0)))</f>
        <v>0</v>
      </c>
      <c r="J23" s="106">
        <f t="shared" ca="1" si="6"/>
        <v>46301</v>
      </c>
      <c r="K23" s="107">
        <f ca="1">SUMIFS('Daily Writing Log'!$H$5:$H$34,'Daily Writing Log'!$A$5:$A$34,$J23)</f>
        <v>0</v>
      </c>
      <c r="M23" s="109" t="str">
        <f>IF('My Books'!$B23="","",IF(OR('My Books'!$F23=Config!$F$14,AND(N('My Books'!$G23)&gt;0,N('My Books'!$Q23)&gt;=N('My Books'!$G23))),"",IF(ISNUMBER('My Books'!$L23),'My Books'!$L23,99999)+ROW()/100000))</f>
        <v/>
      </c>
      <c r="AB23" s="111" t="str">
        <f>IF('My Books'!$B23="","",ROW())</f>
        <v/>
      </c>
      <c r="AL23" s="111" t="str">
        <f>IF('Universes &amp; Series'!$A23="","",ROW())</f>
        <v/>
      </c>
      <c r="AZ23" s="111">
        <f>IF(ISNUMBER('Daily Writing Log'!$A23),WEEKDAY('Daily Writing Log'!$A23,2),0)</f>
        <v>0</v>
      </c>
      <c r="BA23" s="115" t="s">
        <v>235</v>
      </c>
      <c r="BB23" s="116">
        <f>SUM('World Bible &amp; Lore'!$D$10:$D$29)</f>
        <v>21</v>
      </c>
    </row>
    <row r="24" spans="1:55" x14ac:dyDescent="0.3">
      <c r="A24" s="106">
        <f t="shared" ca="1" si="3"/>
        <v>45602</v>
      </c>
      <c r="B24" s="107">
        <f ca="1">SUMIFS('Daily Writing Log'!$H$5:$H$34,'Daily Writing Log'!$A$5:$A$34,$A24)</f>
        <v>0</v>
      </c>
      <c r="C24" s="107">
        <f ca="1">SUMIFS('Daily Writing Log'!$I$5:$I$34,'Daily Writing Log'!$A$5:$A$34,$A24)</f>
        <v>0</v>
      </c>
      <c r="D24" s="108">
        <f ca="1">IF($C24&gt;=Config!$B$5,1,0)</f>
        <v>0</v>
      </c>
      <c r="E24" s="108">
        <f t="shared" ca="1" si="4"/>
        <v>0</v>
      </c>
      <c r="F24" s="108">
        <f ca="1">IF(AND($D24=0,$H23&gt;0,$E24&lt;Config!$B$8,$A24&lt;Config!$A$2),1,0)</f>
        <v>0</v>
      </c>
      <c r="G24" s="108">
        <f t="shared" ca="1" si="5"/>
        <v>0</v>
      </c>
      <c r="H24" s="108">
        <f ca="1">IF($D24=1,$H23+1,IF($F24=1,$H23,IF($A24=Config!$A$2,$H23,0)))</f>
        <v>0</v>
      </c>
      <c r="J24" s="106">
        <f t="shared" ca="1" si="6"/>
        <v>46302</v>
      </c>
      <c r="K24" s="107">
        <f ca="1">SUMIFS('Daily Writing Log'!$H$5:$H$34,'Daily Writing Log'!$A$5:$A$34,$J24)</f>
        <v>0</v>
      </c>
      <c r="M24" s="109" t="str">
        <f>IF('My Books'!$B24="","",IF(OR('My Books'!$F24=Config!$F$14,AND(N('My Books'!$G24)&gt;0,N('My Books'!$Q24)&gt;=N('My Books'!$G24))),"",IF(ISNUMBER('My Books'!$L24),'My Books'!$L24,99999)+ROW()/100000))</f>
        <v/>
      </c>
      <c r="AB24" s="111" t="str">
        <f>IF('My Books'!$B24="","",ROW())</f>
        <v/>
      </c>
      <c r="AL24" s="111" t="str">
        <f>IF('Universes &amp; Series'!$A24="","",ROW())</f>
        <v/>
      </c>
      <c r="AZ24" s="111">
        <f>IF(ISNUMBER('Daily Writing Log'!$A24),WEEKDAY('Daily Writing Log'!$A24,2),0)</f>
        <v>0</v>
      </c>
      <c r="BA24" s="115" t="s">
        <v>236</v>
      </c>
      <c r="BB24" s="116">
        <f>SUM('World Bible &amp; Lore'!$E$10:$E$29)</f>
        <v>10</v>
      </c>
    </row>
    <row r="25" spans="1:55" x14ac:dyDescent="0.3">
      <c r="A25" s="106">
        <f t="shared" ca="1" si="3"/>
        <v>45603</v>
      </c>
      <c r="B25" s="107">
        <f ca="1">SUMIFS('Daily Writing Log'!$H$5:$H$34,'Daily Writing Log'!$A$5:$A$34,$A25)</f>
        <v>0</v>
      </c>
      <c r="C25" s="107">
        <f ca="1">SUMIFS('Daily Writing Log'!$I$5:$I$34,'Daily Writing Log'!$A$5:$A$34,$A25)</f>
        <v>0</v>
      </c>
      <c r="D25" s="108">
        <f ca="1">IF($C25&gt;=Config!$B$5,1,0)</f>
        <v>0</v>
      </c>
      <c r="E25" s="108">
        <f t="shared" ca="1" si="4"/>
        <v>0</v>
      </c>
      <c r="F25" s="108">
        <f ca="1">IF(AND($D25=0,$H24&gt;0,$E25&lt;Config!$B$8,$A25&lt;Config!$A$2),1,0)</f>
        <v>0</v>
      </c>
      <c r="G25" s="108">
        <f t="shared" ca="1" si="5"/>
        <v>0</v>
      </c>
      <c r="H25" s="108">
        <f ca="1">IF($D25=1,$H24+1,IF($F25=1,$H24,IF($A25=Config!$A$2,$H24,0)))</f>
        <v>0</v>
      </c>
      <c r="J25" s="106">
        <f t="shared" ca="1" si="6"/>
        <v>46303</v>
      </c>
      <c r="K25" s="107">
        <f ca="1">SUMIFS('Daily Writing Log'!$H$5:$H$34,'Daily Writing Log'!$A$5:$A$34,$J25)</f>
        <v>0</v>
      </c>
      <c r="M25" s="109"/>
      <c r="AV25" s="105" t="s">
        <v>237</v>
      </c>
      <c r="AW25" s="105" t="s">
        <v>238</v>
      </c>
      <c r="AX25" s="105" t="s">
        <v>239</v>
      </c>
      <c r="AZ25" s="111">
        <f>IF(ISNUMBER('Daily Writing Log'!$A25),WEEKDAY('Daily Writing Log'!$A25,2),0)</f>
        <v>0</v>
      </c>
      <c r="BA25" s="115" t="s">
        <v>240</v>
      </c>
      <c r="BB25" s="116">
        <f>SUM('World Bible &amp; Lore'!$F$10:$F$29)</f>
        <v>15</v>
      </c>
    </row>
    <row r="26" spans="1:55" x14ac:dyDescent="0.3">
      <c r="A26" s="106">
        <f t="shared" ca="1" si="3"/>
        <v>45604</v>
      </c>
      <c r="B26" s="107">
        <f ca="1">SUMIFS('Daily Writing Log'!$H$5:$H$34,'Daily Writing Log'!$A$5:$A$34,$A26)</f>
        <v>0</v>
      </c>
      <c r="C26" s="107">
        <f ca="1">SUMIFS('Daily Writing Log'!$I$5:$I$34,'Daily Writing Log'!$A$5:$A$34,$A26)</f>
        <v>0</v>
      </c>
      <c r="D26" s="108">
        <f ca="1">IF($C26&gt;=Config!$B$5,1,0)</f>
        <v>0</v>
      </c>
      <c r="E26" s="108">
        <f t="shared" ca="1" si="4"/>
        <v>0</v>
      </c>
      <c r="F26" s="108">
        <f ca="1">IF(AND($D26=0,$H25&gt;0,$E26&lt;Config!$B$8,$A26&lt;Config!$A$2),1,0)</f>
        <v>0</v>
      </c>
      <c r="G26" s="108">
        <f t="shared" ca="1" si="5"/>
        <v>0</v>
      </c>
      <c r="H26" s="108">
        <f ca="1">IF($D26=1,$H25+1,IF($F26=1,$H25,IF($A26=Config!$A$2,$H25,0)))</f>
        <v>0</v>
      </c>
      <c r="J26" s="106">
        <f t="shared" ca="1" si="6"/>
        <v>46304</v>
      </c>
      <c r="K26" s="107">
        <f ca="1">SUMIFS('Daily Writing Log'!$H$5:$H$34,'Daily Writing Log'!$A$5:$A$34,$J26)</f>
        <v>0</v>
      </c>
      <c r="M26" s="109"/>
      <c r="AV26" s="111" t="s">
        <v>241</v>
      </c>
      <c r="AW26" s="112">
        <f>SUM('Daily Writing Log'!$D$5:$D$34)</f>
        <v>800</v>
      </c>
      <c r="AX26" s="112">
        <f>ROUND(SUM('Daily Writing Log'!$D$5:$D$34)*Config!$B$14,0)</f>
        <v>400</v>
      </c>
      <c r="AZ26" s="111">
        <f>IF(ISNUMBER('Daily Writing Log'!$A26),WEEKDAY('Daily Writing Log'!$A26,2),0)</f>
        <v>0</v>
      </c>
      <c r="BA26" s="115" t="s">
        <v>242</v>
      </c>
      <c r="BB26" s="116">
        <f>SUM('World Bible &amp; Lore'!$G$10:$G$29)</f>
        <v>13</v>
      </c>
    </row>
    <row r="27" spans="1:55" x14ac:dyDescent="0.3">
      <c r="A27" s="106">
        <f t="shared" ca="1" si="3"/>
        <v>45605</v>
      </c>
      <c r="B27" s="107">
        <f ca="1">SUMIFS('Daily Writing Log'!$H$5:$H$34,'Daily Writing Log'!$A$5:$A$34,$A27)</f>
        <v>0</v>
      </c>
      <c r="C27" s="107">
        <f ca="1">SUMIFS('Daily Writing Log'!$I$5:$I$34,'Daily Writing Log'!$A$5:$A$34,$A27)</f>
        <v>0</v>
      </c>
      <c r="D27" s="108">
        <f ca="1">IF($C27&gt;=Config!$B$5,1,0)</f>
        <v>0</v>
      </c>
      <c r="E27" s="108">
        <f t="shared" ca="1" si="4"/>
        <v>0</v>
      </c>
      <c r="F27" s="108">
        <f ca="1">IF(AND($D27=0,$H26&gt;0,$E27&lt;Config!$B$8,$A27&lt;Config!$A$2),1,0)</f>
        <v>0</v>
      </c>
      <c r="G27" s="108">
        <f t="shared" ca="1" si="5"/>
        <v>0</v>
      </c>
      <c r="H27" s="108">
        <f ca="1">IF($D27=1,$H26+1,IF($F27=1,$H26,IF($A27=Config!$A$2,$H26,0)))</f>
        <v>0</v>
      </c>
      <c r="J27" s="106">
        <f t="shared" ca="1" si="6"/>
        <v>46305</v>
      </c>
      <c r="K27" s="107">
        <f ca="1">SUMIFS('Daily Writing Log'!$H$5:$H$34,'Daily Writing Log'!$A$5:$A$34,$J27)</f>
        <v>0</v>
      </c>
      <c r="M27" s="109"/>
      <c r="AV27" s="111" t="s">
        <v>243</v>
      </c>
      <c r="AW27" s="112">
        <f>SUM('Daily Writing Log'!$E$5:$E$34)</f>
        <v>200</v>
      </c>
      <c r="AX27" s="112">
        <f>ROUND(SUMIFS('Daily Writing Log'!$E$5:$E$34,'Daily Writing Log'!$C$5:$C$34,"Pre-Draft Outline")*Config!$B$11+SUMIFS('Daily Writing Log'!$E$5:$E$34,'Daily Writing Log'!$C$5:$C$34,"Pre-Revision Outline")*Config!$B$12+(SUM('Daily Writing Log'!$E$5:$E$34)-SUMIFS('Daily Writing Log'!$E$5:$E$34,'Daily Writing Log'!$C$5:$C$34,"Pre-Draft Outline")-SUMIFS('Daily Writing Log'!$E$5:$E$34,'Daily Writing Log'!$C$5:$C$34,"Pre-Revision Outline"))*Config!$B$13,0)</f>
        <v>100</v>
      </c>
      <c r="AZ27" s="111">
        <f>IF(ISNUMBER('Daily Writing Log'!$A27),WEEKDAY('Daily Writing Log'!$A27,2),0)</f>
        <v>0</v>
      </c>
      <c r="BA27" s="115" t="s">
        <v>244</v>
      </c>
      <c r="BB27" s="116">
        <f>SUM('World Bible &amp; Lore'!$H$10:$H$29)</f>
        <v>14</v>
      </c>
    </row>
    <row r="28" spans="1:55" x14ac:dyDescent="0.3">
      <c r="A28" s="106">
        <f t="shared" ca="1" si="3"/>
        <v>45606</v>
      </c>
      <c r="B28" s="107">
        <f ca="1">SUMIFS('Daily Writing Log'!$H$5:$H$34,'Daily Writing Log'!$A$5:$A$34,$A28)</f>
        <v>0</v>
      </c>
      <c r="C28" s="107">
        <f ca="1">SUMIFS('Daily Writing Log'!$I$5:$I$34,'Daily Writing Log'!$A$5:$A$34,$A28)</f>
        <v>0</v>
      </c>
      <c r="D28" s="108">
        <f ca="1">IF($C28&gt;=Config!$B$5,1,0)</f>
        <v>0</v>
      </c>
      <c r="E28" s="108">
        <f t="shared" ca="1" si="4"/>
        <v>0</v>
      </c>
      <c r="F28" s="108">
        <f ca="1">IF(AND($D28=0,$H27&gt;0,$E28&lt;Config!$B$8,$A28&lt;Config!$A$2),1,0)</f>
        <v>0</v>
      </c>
      <c r="G28" s="108">
        <f t="shared" ca="1" si="5"/>
        <v>0</v>
      </c>
      <c r="H28" s="108">
        <f ca="1">IF($D28=1,$H27+1,IF($F28=1,$H27,IF($A28=Config!$A$2,$H27,0)))</f>
        <v>0</v>
      </c>
      <c r="J28" s="106">
        <f t="shared" ca="1" si="6"/>
        <v>46306</v>
      </c>
      <c r="K28" s="107">
        <f ca="1">SUMIFS('Daily Writing Log'!$H$5:$H$34,'Daily Writing Log'!$A$5:$A$34,$J28)</f>
        <v>0</v>
      </c>
      <c r="M28" s="109"/>
      <c r="AV28" s="111" t="s">
        <v>245</v>
      </c>
      <c r="AW28" s="112">
        <f>SUM('Daily Writing Log'!$F$5:$F$34)</f>
        <v>5700</v>
      </c>
      <c r="AX28" s="112">
        <f>ROUND(SUM('Daily Writing Log'!$F$5:$F$34)*Config!$B$10,0)</f>
        <v>5700</v>
      </c>
      <c r="AZ28" s="111">
        <f>IF(ISNUMBER('Daily Writing Log'!$A28),WEEKDAY('Daily Writing Log'!$A28,2),0)</f>
        <v>0</v>
      </c>
      <c r="BA28" s="115" t="s">
        <v>246</v>
      </c>
      <c r="BB28" s="116">
        <f>SUM('World Bible &amp; Lore'!$I$10:$I$29)</f>
        <v>13</v>
      </c>
    </row>
    <row r="29" spans="1:55" x14ac:dyDescent="0.3">
      <c r="A29" s="106">
        <f t="shared" ca="1" si="3"/>
        <v>45607</v>
      </c>
      <c r="B29" s="107">
        <f ca="1">SUMIFS('Daily Writing Log'!$H$5:$H$34,'Daily Writing Log'!$A$5:$A$34,$A29)</f>
        <v>0</v>
      </c>
      <c r="C29" s="107">
        <f ca="1">SUMIFS('Daily Writing Log'!$I$5:$I$34,'Daily Writing Log'!$A$5:$A$34,$A29)</f>
        <v>0</v>
      </c>
      <c r="D29" s="108">
        <f ca="1">IF($C29&gt;=Config!$B$5,1,0)</f>
        <v>0</v>
      </c>
      <c r="E29" s="108">
        <f t="shared" ca="1" si="4"/>
        <v>0</v>
      </c>
      <c r="F29" s="108">
        <f ca="1">IF(AND($D29=0,$H28&gt;0,$E29&lt;Config!$B$8,$A29&lt;Config!$A$2),1,0)</f>
        <v>0</v>
      </c>
      <c r="G29" s="108">
        <f t="shared" ca="1" si="5"/>
        <v>0</v>
      </c>
      <c r="H29" s="108">
        <f ca="1">IF($D29=1,$H28+1,IF($F29=1,$H28,IF($A29=Config!$A$2,$H28,0)))</f>
        <v>0</v>
      </c>
      <c r="J29" s="106">
        <f t="shared" ca="1" si="6"/>
        <v>46307</v>
      </c>
      <c r="K29" s="107">
        <f ca="1">SUMIFS('Daily Writing Log'!$H$5:$H$34,'Daily Writing Log'!$A$5:$A$34,$J29)</f>
        <v>2450</v>
      </c>
      <c r="M29" s="109"/>
      <c r="AV29" s="111" t="s">
        <v>247</v>
      </c>
      <c r="AW29" s="112">
        <f>SUM('Daily Writing Log'!$G$5:$G$34)</f>
        <v>750</v>
      </c>
      <c r="AX29" s="112">
        <f>ROUND(SUMIFS('Daily Writing Log'!$G$5:$G$34,'Daily Writing Log'!$C$5:$C$34,"Revision")*Config!$B$15+(SUM('Daily Writing Log'!$G$5:$G$34)-SUMIFS('Daily Writing Log'!$G$5:$G$34,'Daily Writing Log'!$C$5:$C$34,"Revision"))*Config!$B$16,0)</f>
        <v>0</v>
      </c>
      <c r="AZ29" s="111">
        <f>IF(ISNUMBER('Daily Writing Log'!$A29),WEEKDAY('Daily Writing Log'!$A29,2),0)</f>
        <v>0</v>
      </c>
    </row>
    <row r="30" spans="1:55" x14ac:dyDescent="0.3">
      <c r="A30" s="106">
        <f t="shared" ca="1" si="3"/>
        <v>45608</v>
      </c>
      <c r="B30" s="107">
        <f ca="1">SUMIFS('Daily Writing Log'!$H$5:$H$34,'Daily Writing Log'!$A$5:$A$34,$A30)</f>
        <v>0</v>
      </c>
      <c r="C30" s="107">
        <f ca="1">SUMIFS('Daily Writing Log'!$I$5:$I$34,'Daily Writing Log'!$A$5:$A$34,$A30)</f>
        <v>0</v>
      </c>
      <c r="D30" s="108">
        <f ca="1">IF($C30&gt;=Config!$B$5,1,0)</f>
        <v>0</v>
      </c>
      <c r="E30" s="108">
        <f t="shared" ca="1" si="4"/>
        <v>0</v>
      </c>
      <c r="F30" s="108">
        <f ca="1">IF(AND($D30=0,$H29&gt;0,$E30&lt;Config!$B$8,$A30&lt;Config!$A$2),1,0)</f>
        <v>0</v>
      </c>
      <c r="G30" s="108">
        <f t="shared" ca="1" si="5"/>
        <v>0</v>
      </c>
      <c r="H30" s="108">
        <f ca="1">IF($D30=1,$H29+1,IF($F30=1,$H29,IF($A30=Config!$A$2,$H29,0)))</f>
        <v>0</v>
      </c>
      <c r="J30" s="106">
        <f t="shared" ca="1" si="6"/>
        <v>46308</v>
      </c>
      <c r="K30" s="107">
        <f ca="1">SUMIFS('Daily Writing Log'!$H$5:$H$34,'Daily Writing Log'!$A$5:$A$34,$J30)</f>
        <v>2400</v>
      </c>
      <c r="M30" s="109"/>
      <c r="AZ30" s="111">
        <f>IF(ISNUMBER('Daily Writing Log'!$A30),WEEKDAY('Daily Writing Log'!$A30,2),0)</f>
        <v>0</v>
      </c>
    </row>
    <row r="31" spans="1:55" x14ac:dyDescent="0.3">
      <c r="A31" s="106">
        <f t="shared" ca="1" si="3"/>
        <v>45609</v>
      </c>
      <c r="B31" s="107">
        <f ca="1">SUMIFS('Daily Writing Log'!$H$5:$H$34,'Daily Writing Log'!$A$5:$A$34,$A31)</f>
        <v>0</v>
      </c>
      <c r="C31" s="107">
        <f ca="1">SUMIFS('Daily Writing Log'!$I$5:$I$34,'Daily Writing Log'!$A$5:$A$34,$A31)</f>
        <v>0</v>
      </c>
      <c r="D31" s="108">
        <f ca="1">IF($C31&gt;=Config!$B$5,1,0)</f>
        <v>0</v>
      </c>
      <c r="E31" s="108">
        <f t="shared" ca="1" si="4"/>
        <v>0</v>
      </c>
      <c r="F31" s="108">
        <f ca="1">IF(AND($D31=0,$H30&gt;0,$E31&lt;Config!$B$8,$A31&lt;Config!$A$2),1,0)</f>
        <v>0</v>
      </c>
      <c r="G31" s="108">
        <f t="shared" ca="1" si="5"/>
        <v>0</v>
      </c>
      <c r="H31" s="108">
        <f ca="1">IF($D31=1,$H30+1,IF($F31=1,$H30,IF($A31=Config!$A$2,$H30,0)))</f>
        <v>0</v>
      </c>
      <c r="J31" s="106">
        <f t="shared" ca="1" si="6"/>
        <v>46309</v>
      </c>
      <c r="K31" s="107">
        <f ca="1">SUMIFS('Daily Writing Log'!$H$5:$H$34,'Daily Writing Log'!$A$5:$A$34,$J31)</f>
        <v>0</v>
      </c>
      <c r="M31" s="109"/>
      <c r="AZ31" s="111">
        <f>IF(ISNUMBER('Daily Writing Log'!$A31),WEEKDAY('Daily Writing Log'!$A31,2),0)</f>
        <v>0</v>
      </c>
      <c r="BA31" s="114" t="s">
        <v>248</v>
      </c>
      <c r="BB31" s="114" t="s">
        <v>249</v>
      </c>
      <c r="BC31" s="114" t="s">
        <v>250</v>
      </c>
    </row>
    <row r="32" spans="1:55" x14ac:dyDescent="0.3">
      <c r="A32" s="106">
        <f t="shared" ca="1" si="3"/>
        <v>45610</v>
      </c>
      <c r="B32" s="107">
        <f ca="1">SUMIFS('Daily Writing Log'!$H$5:$H$34,'Daily Writing Log'!$A$5:$A$34,$A32)</f>
        <v>0</v>
      </c>
      <c r="C32" s="107">
        <f ca="1">SUMIFS('Daily Writing Log'!$I$5:$I$34,'Daily Writing Log'!$A$5:$A$34,$A32)</f>
        <v>0</v>
      </c>
      <c r="D32" s="108">
        <f ca="1">IF($C32&gt;=Config!$B$5,1,0)</f>
        <v>0</v>
      </c>
      <c r="E32" s="108">
        <f t="shared" ca="1" si="4"/>
        <v>0</v>
      </c>
      <c r="F32" s="108">
        <f ca="1">IF(AND($D32=0,$H31&gt;0,$E32&lt;Config!$B$8,$A32&lt;Config!$A$2),1,0)</f>
        <v>0</v>
      </c>
      <c r="G32" s="108">
        <f t="shared" ca="1" si="5"/>
        <v>0</v>
      </c>
      <c r="H32" s="108">
        <f ca="1">IF($D32=1,$H31+1,IF($F32=1,$H31,IF($A32=Config!$A$2,$H31,0)))</f>
        <v>0</v>
      </c>
      <c r="J32" s="106">
        <f t="shared" ca="1" si="6"/>
        <v>46310</v>
      </c>
      <c r="K32" s="107">
        <f ca="1">SUMIFS('Daily Writing Log'!$H$5:$H$34,'Daily Writing Log'!$A$5:$A$34,$J32)</f>
        <v>0</v>
      </c>
      <c r="M32" s="109"/>
      <c r="AV32" s="105" t="s">
        <v>251</v>
      </c>
      <c r="AW32" s="105" t="s">
        <v>179</v>
      </c>
      <c r="AX32" s="105" t="s">
        <v>83</v>
      </c>
      <c r="AY32" s="105" t="s">
        <v>167</v>
      </c>
      <c r="AZ32" s="111">
        <f>IF(ISNUMBER('Daily Writing Log'!$A32),WEEKDAY('Daily Writing Log'!$A32,2),0)</f>
        <v>0</v>
      </c>
      <c r="BA32" s="115" t="str">
        <f>'World Bible &amp; Lore'!$A$10</f>
        <v>Sand Sea Saga</v>
      </c>
      <c r="BB32" s="116">
        <f>SUM('World Bible &amp; Lore'!$C$10:$I$10)</f>
        <v>34</v>
      </c>
      <c r="BC32" s="116">
        <f>N('World Bible &amp; Lore'!$J$10)</f>
        <v>28</v>
      </c>
    </row>
    <row r="33" spans="1:55" x14ac:dyDescent="0.3">
      <c r="A33" s="106">
        <f t="shared" ca="1" si="3"/>
        <v>45611</v>
      </c>
      <c r="B33" s="107">
        <f ca="1">SUMIFS('Daily Writing Log'!$H$5:$H$34,'Daily Writing Log'!$A$5:$A$34,$A33)</f>
        <v>0</v>
      </c>
      <c r="C33" s="107">
        <f ca="1">SUMIFS('Daily Writing Log'!$I$5:$I$34,'Daily Writing Log'!$A$5:$A$34,$A33)</f>
        <v>0</v>
      </c>
      <c r="D33" s="108">
        <f ca="1">IF($C33&gt;=Config!$B$5,1,0)</f>
        <v>0</v>
      </c>
      <c r="E33" s="108">
        <f t="shared" ca="1" si="4"/>
        <v>0</v>
      </c>
      <c r="F33" s="108">
        <f ca="1">IF(AND($D33=0,$H32&gt;0,$E33&lt;Config!$B$8,$A33&lt;Config!$A$2),1,0)</f>
        <v>0</v>
      </c>
      <c r="G33" s="108">
        <f t="shared" ca="1" si="5"/>
        <v>0</v>
      </c>
      <c r="H33" s="108">
        <f ca="1">IF($D33=1,$H32+1,IF($F33=1,$H32,IF($A33=Config!$A$2,$H32,0)))</f>
        <v>0</v>
      </c>
      <c r="J33" s="106">
        <f t="shared" ca="1" si="6"/>
        <v>46311</v>
      </c>
      <c r="K33" s="107">
        <f ca="1">SUMIFS('Daily Writing Log'!$H$5:$H$34,'Daily Writing Log'!$A$5:$A$34,$J33)</f>
        <v>0</v>
      </c>
      <c r="M33" s="109"/>
      <c r="AV33" s="111" t="s">
        <v>252</v>
      </c>
      <c r="AW33" s="112">
        <f>SUMIFS('Daily Writing Log'!$H$5:$H$34,$AZ$5:$AZ$34,1)</f>
        <v>0</v>
      </c>
      <c r="AX33" s="112">
        <f>SUMIFS('Daily Writing Log'!$I$5:$I$34,$AZ$5:$AZ$34,1)</f>
        <v>0</v>
      </c>
      <c r="AY33" s="112">
        <f>SUMIFS('Daily Writing Log'!$L$5:$L$34,$AZ$5:$AZ$34,1)</f>
        <v>0</v>
      </c>
      <c r="AZ33" s="111">
        <f>IF(ISNUMBER('Daily Writing Log'!$A33),WEEKDAY('Daily Writing Log'!$A33,2),0)</f>
        <v>0</v>
      </c>
      <c r="BA33" s="115" t="str">
        <f>'World Bible &amp; Lore'!$A$11</f>
        <v>Gothic Fantasy Series</v>
      </c>
      <c r="BB33" s="116">
        <f>SUM('World Bible &amp; Lore'!$C$11:$I$11)</f>
        <v>15</v>
      </c>
      <c r="BC33" s="116">
        <f>N('World Bible &amp; Lore'!$J$11)</f>
        <v>16</v>
      </c>
    </row>
    <row r="34" spans="1:55" x14ac:dyDescent="0.3">
      <c r="A34" s="106">
        <f t="shared" ca="1" si="3"/>
        <v>45612</v>
      </c>
      <c r="B34" s="107">
        <f ca="1">SUMIFS('Daily Writing Log'!$H$5:$H$34,'Daily Writing Log'!$A$5:$A$34,$A34)</f>
        <v>0</v>
      </c>
      <c r="C34" s="107">
        <f ca="1">SUMIFS('Daily Writing Log'!$I$5:$I$34,'Daily Writing Log'!$A$5:$A$34,$A34)</f>
        <v>0</v>
      </c>
      <c r="D34" s="108">
        <f ca="1">IF($C34&gt;=Config!$B$5,1,0)</f>
        <v>0</v>
      </c>
      <c r="E34" s="108">
        <f t="shared" ca="1" si="4"/>
        <v>0</v>
      </c>
      <c r="F34" s="108">
        <f ca="1">IF(AND($D34=0,$H33&gt;0,$E34&lt;Config!$B$8,$A34&lt;Config!$A$2),1,0)</f>
        <v>0</v>
      </c>
      <c r="G34" s="108">
        <f t="shared" ca="1" si="5"/>
        <v>0</v>
      </c>
      <c r="H34" s="108">
        <f ca="1">IF($D34=1,$H33+1,IF($F34=1,$H33,IF($A34=Config!$A$2,$H33,0)))</f>
        <v>0</v>
      </c>
      <c r="J34" s="106">
        <f t="shared" ca="1" si="6"/>
        <v>46312</v>
      </c>
      <c r="K34" s="107">
        <f ca="1">SUMIFS('Daily Writing Log'!$H$5:$H$34,'Daily Writing Log'!$A$5:$A$34,$J34)</f>
        <v>0</v>
      </c>
      <c r="M34" s="109"/>
      <c r="AV34" s="111" t="s">
        <v>253</v>
      </c>
      <c r="AW34" s="112">
        <f>SUMIFS('Daily Writing Log'!$H$5:$H$34,$AZ$5:$AZ$34,2)</f>
        <v>0</v>
      </c>
      <c r="AX34" s="112">
        <f>SUMIFS('Daily Writing Log'!$I$5:$I$34,$AZ$5:$AZ$34,2)</f>
        <v>0</v>
      </c>
      <c r="AY34" s="112">
        <f>SUMIFS('Daily Writing Log'!$L$5:$L$34,$AZ$5:$AZ$34,2)</f>
        <v>0</v>
      </c>
      <c r="AZ34" s="111">
        <f>IF(ISNUMBER('Daily Writing Log'!$A34),WEEKDAY('Daily Writing Log'!$A34,2),0)</f>
        <v>0</v>
      </c>
      <c r="BA34" s="115" t="str">
        <f>'World Bible &amp; Lore'!$A$12</f>
        <v>Classic Quest Fantasy</v>
      </c>
      <c r="BB34" s="116">
        <f>SUM('World Bible &amp; Lore'!$C$12:$I$12)</f>
        <v>15</v>
      </c>
      <c r="BC34" s="116">
        <f>N('World Bible &amp; Lore'!$J$12)</f>
        <v>15</v>
      </c>
    </row>
    <row r="35" spans="1:55" x14ac:dyDescent="0.3">
      <c r="A35" s="106">
        <f t="shared" ca="1" si="3"/>
        <v>45613</v>
      </c>
      <c r="B35" s="107">
        <f ca="1">SUMIFS('Daily Writing Log'!$H$5:$H$34,'Daily Writing Log'!$A$5:$A$34,$A35)</f>
        <v>0</v>
      </c>
      <c r="C35" s="107">
        <f ca="1">SUMIFS('Daily Writing Log'!$I$5:$I$34,'Daily Writing Log'!$A$5:$A$34,$A35)</f>
        <v>0</v>
      </c>
      <c r="D35" s="108">
        <f ca="1">IF($C35&gt;=Config!$B$5,1,0)</f>
        <v>0</v>
      </c>
      <c r="E35" s="108">
        <f t="shared" ca="1" si="4"/>
        <v>0</v>
      </c>
      <c r="F35" s="108">
        <f ca="1">IF(AND($D35=0,$H34&gt;0,$E35&lt;Config!$B$8,$A35&lt;Config!$A$2),1,0)</f>
        <v>0</v>
      </c>
      <c r="G35" s="108">
        <f t="shared" ca="1" si="5"/>
        <v>0</v>
      </c>
      <c r="H35" s="108">
        <f ca="1">IF($D35=1,$H34+1,IF($F35=1,$H34,IF($A35=Config!$A$2,$H34,0)))</f>
        <v>0</v>
      </c>
      <c r="M35" s="109"/>
      <c r="AV35" s="111" t="s">
        <v>254</v>
      </c>
      <c r="AW35" s="112">
        <f>SUMIFS('Daily Writing Log'!$H$5:$H$34,$AZ$5:$AZ$34,3)</f>
        <v>0</v>
      </c>
      <c r="AX35" s="112">
        <f>SUMIFS('Daily Writing Log'!$I$5:$I$34,$AZ$5:$AZ$34,3)</f>
        <v>0</v>
      </c>
      <c r="AY35" s="112">
        <f>SUMIFS('Daily Writing Log'!$L$5:$L$34,$AZ$5:$AZ$34,3)</f>
        <v>0</v>
      </c>
      <c r="BA35" s="115" t="str">
        <f>'World Bible &amp; Lore'!$A$13</f>
        <v>Stormbreaker Chronicles</v>
      </c>
      <c r="BB35" s="116">
        <f>SUM('World Bible &amp; Lore'!$C$13:$I$13)</f>
        <v>18</v>
      </c>
      <c r="BC35" s="116">
        <f>N('World Bible &amp; Lore'!$J$13)</f>
        <v>19</v>
      </c>
    </row>
    <row r="36" spans="1:55" x14ac:dyDescent="0.3">
      <c r="A36" s="106">
        <f t="shared" ca="1" si="3"/>
        <v>45614</v>
      </c>
      <c r="B36" s="107">
        <f ca="1">SUMIFS('Daily Writing Log'!$H$5:$H$34,'Daily Writing Log'!$A$5:$A$34,$A36)</f>
        <v>0</v>
      </c>
      <c r="C36" s="107">
        <f ca="1">SUMIFS('Daily Writing Log'!$I$5:$I$34,'Daily Writing Log'!$A$5:$A$34,$A36)</f>
        <v>0</v>
      </c>
      <c r="D36" s="108">
        <f ca="1">IF($C36&gt;=Config!$B$5,1,0)</f>
        <v>0</v>
      </c>
      <c r="E36" s="108">
        <f t="shared" ca="1" si="4"/>
        <v>0</v>
      </c>
      <c r="F36" s="108">
        <f ca="1">IF(AND($D36=0,$H35&gt;0,$E36&lt;Config!$B$8,$A36&lt;Config!$A$2),1,0)</f>
        <v>0</v>
      </c>
      <c r="G36" s="108">
        <f t="shared" ca="1" si="5"/>
        <v>0</v>
      </c>
      <c r="H36" s="108">
        <f ca="1">IF($D36=1,$H35+1,IF($F36=1,$H35,IF($A36=Config!$A$2,$H35,0)))</f>
        <v>0</v>
      </c>
      <c r="M36" s="109"/>
      <c r="AV36" s="111" t="s">
        <v>255</v>
      </c>
      <c r="AW36" s="112">
        <f>SUMIFS('Daily Writing Log'!$H$5:$H$34,$AZ$5:$AZ$34,4)</f>
        <v>0</v>
      </c>
      <c r="AX36" s="112">
        <f>SUMIFS('Daily Writing Log'!$I$5:$I$34,$AZ$5:$AZ$34,4)</f>
        <v>0</v>
      </c>
      <c r="AY36" s="112">
        <f>SUMIFS('Daily Writing Log'!$L$5:$L$34,$AZ$5:$AZ$34,4)</f>
        <v>0</v>
      </c>
      <c r="BA36" s="115" t="str">
        <f>'World Bible &amp; Lore'!$A$14</f>
        <v>The Silver Chronicles</v>
      </c>
      <c r="BB36" s="116">
        <f>SUM('World Bible &amp; Lore'!$C$14:$I$14)</f>
        <v>16</v>
      </c>
      <c r="BC36" s="116">
        <f>N('World Bible &amp; Lore'!$J$14)</f>
        <v>75</v>
      </c>
    </row>
    <row r="37" spans="1:55" x14ac:dyDescent="0.3">
      <c r="A37" s="106">
        <f t="shared" ca="1" si="3"/>
        <v>45615</v>
      </c>
      <c r="B37" s="107">
        <f ca="1">SUMIFS('Daily Writing Log'!$H$5:$H$34,'Daily Writing Log'!$A$5:$A$34,$A37)</f>
        <v>0</v>
      </c>
      <c r="C37" s="107">
        <f ca="1">SUMIFS('Daily Writing Log'!$I$5:$I$34,'Daily Writing Log'!$A$5:$A$34,$A37)</f>
        <v>0</v>
      </c>
      <c r="D37" s="108">
        <f ca="1">IF($C37&gt;=Config!$B$5,1,0)</f>
        <v>0</v>
      </c>
      <c r="E37" s="108">
        <f t="shared" ca="1" si="4"/>
        <v>0</v>
      </c>
      <c r="F37" s="108">
        <f ca="1">IF(AND($D37=0,$H36&gt;0,$E37&lt;Config!$B$8,$A37&lt;Config!$A$2),1,0)</f>
        <v>0</v>
      </c>
      <c r="G37" s="108">
        <f t="shared" ca="1" si="5"/>
        <v>0</v>
      </c>
      <c r="H37" s="108">
        <f ca="1">IF($D37=1,$H36+1,IF($F37=1,$H36,IF($A37=Config!$A$2,$H36,0)))</f>
        <v>0</v>
      </c>
      <c r="M37" s="109"/>
      <c r="AV37" s="111" t="s">
        <v>256</v>
      </c>
      <c r="AW37" s="112">
        <f>SUMIFS('Daily Writing Log'!$H$5:$H$34,$AZ$5:$AZ$34,5)</f>
        <v>2600</v>
      </c>
      <c r="AX37" s="112">
        <f>SUMIFS('Daily Writing Log'!$I$5:$I$34,$AZ$5:$AZ$34,5)</f>
        <v>2200</v>
      </c>
      <c r="AY37" s="112">
        <f>SUMIFS('Daily Writing Log'!$L$5:$L$34,$AZ$5:$AZ$34,5)</f>
        <v>90</v>
      </c>
    </row>
    <row r="38" spans="1:55" x14ac:dyDescent="0.3">
      <c r="A38" s="106">
        <f t="shared" ca="1" si="3"/>
        <v>45616</v>
      </c>
      <c r="B38" s="107">
        <f ca="1">SUMIFS('Daily Writing Log'!$H$5:$H$34,'Daily Writing Log'!$A$5:$A$34,$A38)</f>
        <v>0</v>
      </c>
      <c r="C38" s="107">
        <f ca="1">SUMIFS('Daily Writing Log'!$I$5:$I$34,'Daily Writing Log'!$A$5:$A$34,$A38)</f>
        <v>0</v>
      </c>
      <c r="D38" s="108">
        <f ca="1">IF($C38&gt;=Config!$B$5,1,0)</f>
        <v>0</v>
      </c>
      <c r="E38" s="108">
        <f t="shared" ca="1" si="4"/>
        <v>0</v>
      </c>
      <c r="F38" s="108">
        <f ca="1">IF(AND($D38=0,$H37&gt;0,$E38&lt;Config!$B$8,$A38&lt;Config!$A$2),1,0)</f>
        <v>0</v>
      </c>
      <c r="G38" s="108">
        <f t="shared" ca="1" si="5"/>
        <v>0</v>
      </c>
      <c r="H38" s="108">
        <f ca="1">IF($D38=1,$H37+1,IF($F38=1,$H37,IF($A38=Config!$A$2,$H37,0)))</f>
        <v>0</v>
      </c>
      <c r="M38" s="109"/>
      <c r="AV38" s="111" t="s">
        <v>257</v>
      </c>
      <c r="AW38" s="112">
        <f>SUMIFS('Daily Writing Log'!$H$5:$H$34,$AZ$5:$AZ$34,6)</f>
        <v>0</v>
      </c>
      <c r="AX38" s="112">
        <f>SUMIFS('Daily Writing Log'!$I$5:$I$34,$AZ$5:$AZ$34,6)</f>
        <v>0</v>
      </c>
      <c r="AY38" s="112">
        <f>SUMIFS('Daily Writing Log'!$L$5:$L$34,$AZ$5:$AZ$34,6)</f>
        <v>0</v>
      </c>
    </row>
    <row r="39" spans="1:55" x14ac:dyDescent="0.3">
      <c r="A39" s="106">
        <f t="shared" ca="1" si="3"/>
        <v>45617</v>
      </c>
      <c r="B39" s="107">
        <f ca="1">SUMIFS('Daily Writing Log'!$H$5:$H$34,'Daily Writing Log'!$A$5:$A$34,$A39)</f>
        <v>0</v>
      </c>
      <c r="C39" s="107">
        <f ca="1">SUMIFS('Daily Writing Log'!$I$5:$I$34,'Daily Writing Log'!$A$5:$A$34,$A39)</f>
        <v>0</v>
      </c>
      <c r="D39" s="108">
        <f ca="1">IF($C39&gt;=Config!$B$5,1,0)</f>
        <v>0</v>
      </c>
      <c r="E39" s="108">
        <f t="shared" ca="1" si="4"/>
        <v>0</v>
      </c>
      <c r="F39" s="108">
        <f ca="1">IF(AND($D39=0,$H38&gt;0,$E39&lt;Config!$B$8,$A39&lt;Config!$A$2),1,0)</f>
        <v>0</v>
      </c>
      <c r="G39" s="108">
        <f t="shared" ca="1" si="5"/>
        <v>0</v>
      </c>
      <c r="H39" s="108">
        <f ca="1">IF($D39=1,$H38+1,IF($F39=1,$H38,IF($A39=Config!$A$2,$H38,0)))</f>
        <v>0</v>
      </c>
      <c r="M39" s="109"/>
      <c r="AV39" s="111" t="s">
        <v>258</v>
      </c>
      <c r="AW39" s="112">
        <f>SUMIFS('Daily Writing Log'!$H$5:$H$34,$AZ$5:$AZ$34,7)</f>
        <v>0</v>
      </c>
      <c r="AX39" s="112">
        <f>SUMIFS('Daily Writing Log'!$I$5:$I$34,$AZ$5:$AZ$34,7)</f>
        <v>0</v>
      </c>
      <c r="AY39" s="112">
        <f>SUMIFS('Daily Writing Log'!$L$5:$L$34,$AZ$5:$AZ$34,7)</f>
        <v>0</v>
      </c>
    </row>
    <row r="40" spans="1:55" x14ac:dyDescent="0.3">
      <c r="A40" s="106">
        <f t="shared" ca="1" si="3"/>
        <v>45618</v>
      </c>
      <c r="B40" s="107">
        <f ca="1">SUMIFS('Daily Writing Log'!$H$5:$H$34,'Daily Writing Log'!$A$5:$A$34,$A40)</f>
        <v>0</v>
      </c>
      <c r="C40" s="107">
        <f ca="1">SUMIFS('Daily Writing Log'!$I$5:$I$34,'Daily Writing Log'!$A$5:$A$34,$A40)</f>
        <v>0</v>
      </c>
      <c r="D40" s="108">
        <f ca="1">IF($C40&gt;=Config!$B$5,1,0)</f>
        <v>0</v>
      </c>
      <c r="E40" s="108">
        <f t="shared" ca="1" si="4"/>
        <v>0</v>
      </c>
      <c r="F40" s="108">
        <f ca="1">IF(AND($D40=0,$H39&gt;0,$E40&lt;Config!$B$8,$A40&lt;Config!$A$2),1,0)</f>
        <v>0</v>
      </c>
      <c r="G40" s="108">
        <f t="shared" ca="1" si="5"/>
        <v>0</v>
      </c>
      <c r="H40" s="108">
        <f ca="1">IF($D40=1,$H39+1,IF($F40=1,$H39,IF($A40=Config!$A$2,$H39,0)))</f>
        <v>0</v>
      </c>
      <c r="M40" s="109"/>
    </row>
    <row r="41" spans="1:55" x14ac:dyDescent="0.3">
      <c r="A41" s="106">
        <f t="shared" ca="1" si="3"/>
        <v>45619</v>
      </c>
      <c r="B41" s="107">
        <f ca="1">SUMIFS('Daily Writing Log'!$H$5:$H$34,'Daily Writing Log'!$A$5:$A$34,$A41)</f>
        <v>0</v>
      </c>
      <c r="C41" s="107">
        <f ca="1">SUMIFS('Daily Writing Log'!$I$5:$I$34,'Daily Writing Log'!$A$5:$A$34,$A41)</f>
        <v>0</v>
      </c>
      <c r="D41" s="108">
        <f ca="1">IF($C41&gt;=Config!$B$5,1,0)</f>
        <v>0</v>
      </c>
      <c r="E41" s="108">
        <f t="shared" ca="1" si="4"/>
        <v>0</v>
      </c>
      <c r="F41" s="108">
        <f ca="1">IF(AND($D41=0,$H40&gt;0,$E41&lt;Config!$B$8,$A41&lt;Config!$A$2),1,0)</f>
        <v>0</v>
      </c>
      <c r="G41" s="108">
        <f t="shared" ca="1" si="5"/>
        <v>0</v>
      </c>
      <c r="H41" s="108">
        <f ca="1">IF($D41=1,$H40+1,IF($F41=1,$H40,IF($A41=Config!$A$2,$H40,0)))</f>
        <v>0</v>
      </c>
      <c r="M41" s="109"/>
    </row>
    <row r="42" spans="1:55" x14ac:dyDescent="0.3">
      <c r="A42" s="106">
        <f t="shared" ca="1" si="3"/>
        <v>45620</v>
      </c>
      <c r="B42" s="107">
        <f ca="1">SUMIFS('Daily Writing Log'!$H$5:$H$34,'Daily Writing Log'!$A$5:$A$34,$A42)</f>
        <v>0</v>
      </c>
      <c r="C42" s="107">
        <f ca="1">SUMIFS('Daily Writing Log'!$I$5:$I$34,'Daily Writing Log'!$A$5:$A$34,$A42)</f>
        <v>0</v>
      </c>
      <c r="D42" s="108">
        <f ca="1">IF($C42&gt;=Config!$B$5,1,0)</f>
        <v>0</v>
      </c>
      <c r="E42" s="108">
        <f t="shared" ca="1" si="4"/>
        <v>0</v>
      </c>
      <c r="F42" s="108">
        <f ca="1">IF(AND($D42=0,$H41&gt;0,$E42&lt;Config!$B$8,$A42&lt;Config!$A$2),1,0)</f>
        <v>0</v>
      </c>
      <c r="G42" s="108">
        <f t="shared" ca="1" si="5"/>
        <v>0</v>
      </c>
      <c r="H42" s="108">
        <f ca="1">IF($D42=1,$H41+1,IF($F42=1,$H41,IF($A42=Config!$A$2,$H41,0)))</f>
        <v>0</v>
      </c>
      <c r="M42" s="109"/>
    </row>
    <row r="43" spans="1:55" x14ac:dyDescent="0.3">
      <c r="A43" s="106">
        <f t="shared" ca="1" si="3"/>
        <v>45621</v>
      </c>
      <c r="B43" s="107">
        <f ca="1">SUMIFS('Daily Writing Log'!$H$5:$H$34,'Daily Writing Log'!$A$5:$A$34,$A43)</f>
        <v>0</v>
      </c>
      <c r="C43" s="107">
        <f ca="1">SUMIFS('Daily Writing Log'!$I$5:$I$34,'Daily Writing Log'!$A$5:$A$34,$A43)</f>
        <v>0</v>
      </c>
      <c r="D43" s="108">
        <f ca="1">IF($C43&gt;=Config!$B$5,1,0)</f>
        <v>0</v>
      </c>
      <c r="E43" s="108">
        <f t="shared" ca="1" si="4"/>
        <v>0</v>
      </c>
      <c r="F43" s="108">
        <f ca="1">IF(AND($D43=0,$H42&gt;0,$E43&lt;Config!$B$8,$A43&lt;Config!$A$2),1,0)</f>
        <v>0</v>
      </c>
      <c r="G43" s="108">
        <f t="shared" ca="1" si="5"/>
        <v>0</v>
      </c>
      <c r="H43" s="108">
        <f ca="1">IF($D43=1,$H42+1,IF($F43=1,$H42,IF($A43=Config!$A$2,$H42,0)))</f>
        <v>0</v>
      </c>
      <c r="M43" s="109"/>
    </row>
    <row r="44" spans="1:55" x14ac:dyDescent="0.3">
      <c r="A44" s="106">
        <f t="shared" ca="1" si="3"/>
        <v>45622</v>
      </c>
      <c r="B44" s="107">
        <f ca="1">SUMIFS('Daily Writing Log'!$H$5:$H$34,'Daily Writing Log'!$A$5:$A$34,$A44)</f>
        <v>0</v>
      </c>
      <c r="C44" s="107">
        <f ca="1">SUMIFS('Daily Writing Log'!$I$5:$I$34,'Daily Writing Log'!$A$5:$A$34,$A44)</f>
        <v>0</v>
      </c>
      <c r="D44" s="108">
        <f ca="1">IF($C44&gt;=Config!$B$5,1,0)</f>
        <v>0</v>
      </c>
      <c r="E44" s="108">
        <f t="shared" ca="1" si="4"/>
        <v>0</v>
      </c>
      <c r="F44" s="108">
        <f ca="1">IF(AND($D44=0,$H43&gt;0,$E44&lt;Config!$B$8,$A44&lt;Config!$A$2),1,0)</f>
        <v>0</v>
      </c>
      <c r="G44" s="108">
        <f t="shared" ca="1" si="5"/>
        <v>0</v>
      </c>
      <c r="H44" s="108">
        <f ca="1">IF($D44=1,$H43+1,IF($F44=1,$H43,IF($A44=Config!$A$2,$H43,0)))</f>
        <v>0</v>
      </c>
      <c r="M44" s="109"/>
    </row>
    <row r="45" spans="1:55" x14ac:dyDescent="0.3">
      <c r="A45" s="106">
        <f t="shared" ca="1" si="3"/>
        <v>45623</v>
      </c>
      <c r="B45" s="107">
        <f ca="1">SUMIFS('Daily Writing Log'!$H$5:$H$34,'Daily Writing Log'!$A$5:$A$34,$A45)</f>
        <v>0</v>
      </c>
      <c r="C45" s="107">
        <f ca="1">SUMIFS('Daily Writing Log'!$I$5:$I$34,'Daily Writing Log'!$A$5:$A$34,$A45)</f>
        <v>0</v>
      </c>
      <c r="D45" s="108">
        <f ca="1">IF($C45&gt;=Config!$B$5,1,0)</f>
        <v>0</v>
      </c>
      <c r="E45" s="108">
        <f t="shared" ca="1" si="4"/>
        <v>0</v>
      </c>
      <c r="F45" s="108">
        <f ca="1">IF(AND($D45=0,$H44&gt;0,$E45&lt;Config!$B$8,$A45&lt;Config!$A$2),1,0)</f>
        <v>0</v>
      </c>
      <c r="G45" s="108">
        <f t="shared" ca="1" si="5"/>
        <v>0</v>
      </c>
      <c r="H45" s="108">
        <f ca="1">IF($D45=1,$H44+1,IF($F45=1,$H44,IF($A45=Config!$A$2,$H44,0)))</f>
        <v>0</v>
      </c>
      <c r="M45" s="109"/>
    </row>
    <row r="46" spans="1:55" x14ac:dyDescent="0.3">
      <c r="A46" s="106">
        <f t="shared" ca="1" si="3"/>
        <v>45624</v>
      </c>
      <c r="B46" s="107">
        <f ca="1">SUMIFS('Daily Writing Log'!$H$5:$H$34,'Daily Writing Log'!$A$5:$A$34,$A46)</f>
        <v>0</v>
      </c>
      <c r="C46" s="107">
        <f ca="1">SUMIFS('Daily Writing Log'!$I$5:$I$34,'Daily Writing Log'!$A$5:$A$34,$A46)</f>
        <v>0</v>
      </c>
      <c r="D46" s="108">
        <f ca="1">IF($C46&gt;=Config!$B$5,1,0)</f>
        <v>0</v>
      </c>
      <c r="E46" s="108">
        <f t="shared" ca="1" si="4"/>
        <v>0</v>
      </c>
      <c r="F46" s="108">
        <f ca="1">IF(AND($D46=0,$H45&gt;0,$E46&lt;Config!$B$8,$A46&lt;Config!$A$2),1,0)</f>
        <v>0</v>
      </c>
      <c r="G46" s="108">
        <f t="shared" ca="1" si="5"/>
        <v>0</v>
      </c>
      <c r="H46" s="108">
        <f ca="1">IF($D46=1,$H45+1,IF($F46=1,$H45,IF($A46=Config!$A$2,$H45,0)))</f>
        <v>0</v>
      </c>
      <c r="M46" s="109"/>
    </row>
    <row r="47" spans="1:55" x14ac:dyDescent="0.3">
      <c r="A47" s="106">
        <f t="shared" ca="1" si="3"/>
        <v>45625</v>
      </c>
      <c r="B47" s="107">
        <f ca="1">SUMIFS('Daily Writing Log'!$H$5:$H$34,'Daily Writing Log'!$A$5:$A$34,$A47)</f>
        <v>0</v>
      </c>
      <c r="C47" s="107">
        <f ca="1">SUMIFS('Daily Writing Log'!$I$5:$I$34,'Daily Writing Log'!$A$5:$A$34,$A47)</f>
        <v>0</v>
      </c>
      <c r="D47" s="108">
        <f ca="1">IF($C47&gt;=Config!$B$5,1,0)</f>
        <v>0</v>
      </c>
      <c r="E47" s="108">
        <f t="shared" ca="1" si="4"/>
        <v>0</v>
      </c>
      <c r="F47" s="108">
        <f ca="1">IF(AND($D47=0,$H46&gt;0,$E47&lt;Config!$B$8,$A47&lt;Config!$A$2),1,0)</f>
        <v>0</v>
      </c>
      <c r="G47" s="108">
        <f t="shared" ca="1" si="5"/>
        <v>0</v>
      </c>
      <c r="H47" s="108">
        <f ca="1">IF($D47=1,$H46+1,IF($F47=1,$H46,IF($A47=Config!$A$2,$H46,0)))</f>
        <v>0</v>
      </c>
      <c r="M47" s="109"/>
    </row>
    <row r="48" spans="1:55" x14ac:dyDescent="0.3">
      <c r="A48" s="106">
        <f t="shared" ca="1" si="3"/>
        <v>45626</v>
      </c>
      <c r="B48" s="107">
        <f ca="1">SUMIFS('Daily Writing Log'!$H$5:$H$34,'Daily Writing Log'!$A$5:$A$34,$A48)</f>
        <v>0</v>
      </c>
      <c r="C48" s="107">
        <f ca="1">SUMIFS('Daily Writing Log'!$I$5:$I$34,'Daily Writing Log'!$A$5:$A$34,$A48)</f>
        <v>0</v>
      </c>
      <c r="D48" s="108">
        <f ca="1">IF($C48&gt;=Config!$B$5,1,0)</f>
        <v>0</v>
      </c>
      <c r="E48" s="108">
        <f t="shared" ca="1" si="4"/>
        <v>0</v>
      </c>
      <c r="F48" s="108">
        <f ca="1">IF(AND($D48=0,$H47&gt;0,$E48&lt;Config!$B$8,$A48&lt;Config!$A$2),1,0)</f>
        <v>0</v>
      </c>
      <c r="G48" s="108">
        <f t="shared" ca="1" si="5"/>
        <v>0</v>
      </c>
      <c r="H48" s="108">
        <f ca="1">IF($D48=1,$H47+1,IF($F48=1,$H47,IF($A48=Config!$A$2,$H47,0)))</f>
        <v>0</v>
      </c>
      <c r="M48" s="109"/>
    </row>
    <row r="49" spans="1:13" x14ac:dyDescent="0.3">
      <c r="A49" s="106">
        <f t="shared" ca="1" si="3"/>
        <v>45627</v>
      </c>
      <c r="B49" s="107">
        <f ca="1">SUMIFS('Daily Writing Log'!$H$5:$H$34,'Daily Writing Log'!$A$5:$A$34,$A49)</f>
        <v>0</v>
      </c>
      <c r="C49" s="107">
        <f ca="1">SUMIFS('Daily Writing Log'!$I$5:$I$34,'Daily Writing Log'!$A$5:$A$34,$A49)</f>
        <v>0</v>
      </c>
      <c r="D49" s="108">
        <f ca="1">IF($C49&gt;=Config!$B$5,1,0)</f>
        <v>0</v>
      </c>
      <c r="E49" s="108">
        <f t="shared" ca="1" si="4"/>
        <v>0</v>
      </c>
      <c r="F49" s="108">
        <f ca="1">IF(AND($D49=0,$H48&gt;0,$E49&lt;Config!$B$8,$A49&lt;Config!$A$2),1,0)</f>
        <v>0</v>
      </c>
      <c r="G49" s="108">
        <f t="shared" ca="1" si="5"/>
        <v>0</v>
      </c>
      <c r="H49" s="108">
        <f ca="1">IF($D49=1,$H48+1,IF($F49=1,$H48,IF($A49=Config!$A$2,$H48,0)))</f>
        <v>0</v>
      </c>
      <c r="M49" s="109"/>
    </row>
    <row r="50" spans="1:13" x14ac:dyDescent="0.3">
      <c r="A50" s="106">
        <f t="shared" ca="1" si="3"/>
        <v>45628</v>
      </c>
      <c r="B50" s="107">
        <f ca="1">SUMIFS('Daily Writing Log'!$H$5:$H$34,'Daily Writing Log'!$A$5:$A$34,$A50)</f>
        <v>0</v>
      </c>
      <c r="C50" s="107">
        <f ca="1">SUMIFS('Daily Writing Log'!$I$5:$I$34,'Daily Writing Log'!$A$5:$A$34,$A50)</f>
        <v>0</v>
      </c>
      <c r="D50" s="108">
        <f ca="1">IF($C50&gt;=Config!$B$5,1,0)</f>
        <v>0</v>
      </c>
      <c r="E50" s="108">
        <f t="shared" ca="1" si="4"/>
        <v>0</v>
      </c>
      <c r="F50" s="108">
        <f ca="1">IF(AND($D50=0,$H49&gt;0,$E50&lt;Config!$B$8,$A50&lt;Config!$A$2),1,0)</f>
        <v>0</v>
      </c>
      <c r="G50" s="108">
        <f t="shared" ca="1" si="5"/>
        <v>0</v>
      </c>
      <c r="H50" s="108">
        <f ca="1">IF($D50=1,$H49+1,IF($F50=1,$H49,IF($A50=Config!$A$2,$H49,0)))</f>
        <v>0</v>
      </c>
      <c r="M50" s="109"/>
    </row>
    <row r="51" spans="1:13" x14ac:dyDescent="0.3">
      <c r="A51" s="106">
        <f t="shared" ca="1" si="3"/>
        <v>45629</v>
      </c>
      <c r="B51" s="107">
        <f ca="1">SUMIFS('Daily Writing Log'!$H$5:$H$34,'Daily Writing Log'!$A$5:$A$34,$A51)</f>
        <v>0</v>
      </c>
      <c r="C51" s="107">
        <f ca="1">SUMIFS('Daily Writing Log'!$I$5:$I$34,'Daily Writing Log'!$A$5:$A$34,$A51)</f>
        <v>0</v>
      </c>
      <c r="D51" s="108">
        <f ca="1">IF($C51&gt;=Config!$B$5,1,0)</f>
        <v>0</v>
      </c>
      <c r="E51" s="108">
        <f t="shared" ca="1" si="4"/>
        <v>0</v>
      </c>
      <c r="F51" s="108">
        <f ca="1">IF(AND($D51=0,$H50&gt;0,$E51&lt;Config!$B$8,$A51&lt;Config!$A$2),1,0)</f>
        <v>0</v>
      </c>
      <c r="G51" s="108">
        <f t="shared" ca="1" si="5"/>
        <v>0</v>
      </c>
      <c r="H51" s="108">
        <f ca="1">IF($D51=1,$H50+1,IF($F51=1,$H50,IF($A51=Config!$A$2,$H50,0)))</f>
        <v>0</v>
      </c>
      <c r="M51" s="109"/>
    </row>
    <row r="52" spans="1:13" x14ac:dyDescent="0.3">
      <c r="A52" s="106">
        <f t="shared" ca="1" si="3"/>
        <v>45630</v>
      </c>
      <c r="B52" s="107">
        <f ca="1">SUMIFS('Daily Writing Log'!$H$5:$H$34,'Daily Writing Log'!$A$5:$A$34,$A52)</f>
        <v>0</v>
      </c>
      <c r="C52" s="107">
        <f ca="1">SUMIFS('Daily Writing Log'!$I$5:$I$34,'Daily Writing Log'!$A$5:$A$34,$A52)</f>
        <v>0</v>
      </c>
      <c r="D52" s="108">
        <f ca="1">IF($C52&gt;=Config!$B$5,1,0)</f>
        <v>0</v>
      </c>
      <c r="E52" s="108">
        <f t="shared" ca="1" si="4"/>
        <v>0</v>
      </c>
      <c r="F52" s="108">
        <f ca="1">IF(AND($D52=0,$H51&gt;0,$E52&lt;Config!$B$8,$A52&lt;Config!$A$2),1,0)</f>
        <v>0</v>
      </c>
      <c r="G52" s="108">
        <f t="shared" ca="1" si="5"/>
        <v>0</v>
      </c>
      <c r="H52" s="108">
        <f ca="1">IF($D52=1,$H51+1,IF($F52=1,$H51,IF($A52=Config!$A$2,$H51,0)))</f>
        <v>0</v>
      </c>
      <c r="M52" s="109"/>
    </row>
    <row r="53" spans="1:13" x14ac:dyDescent="0.3">
      <c r="A53" s="106">
        <f t="shared" ca="1" si="3"/>
        <v>45631</v>
      </c>
      <c r="B53" s="107">
        <f ca="1">SUMIFS('Daily Writing Log'!$H$5:$H$34,'Daily Writing Log'!$A$5:$A$34,$A53)</f>
        <v>0</v>
      </c>
      <c r="C53" s="107">
        <f ca="1">SUMIFS('Daily Writing Log'!$I$5:$I$34,'Daily Writing Log'!$A$5:$A$34,$A53)</f>
        <v>0</v>
      </c>
      <c r="D53" s="108">
        <f ca="1">IF($C53&gt;=Config!$B$5,1,0)</f>
        <v>0</v>
      </c>
      <c r="E53" s="108">
        <f t="shared" ca="1" si="4"/>
        <v>0</v>
      </c>
      <c r="F53" s="108">
        <f ca="1">IF(AND($D53=0,$H52&gt;0,$E53&lt;Config!$B$8,$A53&lt;Config!$A$2),1,0)</f>
        <v>0</v>
      </c>
      <c r="G53" s="108">
        <f t="shared" ca="1" si="5"/>
        <v>0</v>
      </c>
      <c r="H53" s="108">
        <f ca="1">IF($D53=1,$H52+1,IF($F53=1,$H52,IF($A53=Config!$A$2,$H52,0)))</f>
        <v>0</v>
      </c>
      <c r="M53" s="109"/>
    </row>
    <row r="54" spans="1:13" x14ac:dyDescent="0.3">
      <c r="A54" s="106">
        <f t="shared" ca="1" si="3"/>
        <v>45632</v>
      </c>
      <c r="B54" s="107">
        <f ca="1">SUMIFS('Daily Writing Log'!$H$5:$H$34,'Daily Writing Log'!$A$5:$A$34,$A54)</f>
        <v>0</v>
      </c>
      <c r="C54" s="107">
        <f ca="1">SUMIFS('Daily Writing Log'!$I$5:$I$34,'Daily Writing Log'!$A$5:$A$34,$A54)</f>
        <v>0</v>
      </c>
      <c r="D54" s="108">
        <f ca="1">IF($C54&gt;=Config!$B$5,1,0)</f>
        <v>0</v>
      </c>
      <c r="E54" s="108">
        <f t="shared" ca="1" si="4"/>
        <v>0</v>
      </c>
      <c r="F54" s="108">
        <f ca="1">IF(AND($D54=0,$H53&gt;0,$E54&lt;Config!$B$8,$A54&lt;Config!$A$2),1,0)</f>
        <v>0</v>
      </c>
      <c r="G54" s="108">
        <f t="shared" ca="1" si="5"/>
        <v>0</v>
      </c>
      <c r="H54" s="108">
        <f ca="1">IF($D54=1,$H53+1,IF($F54=1,$H53,IF($A54=Config!$A$2,$H53,0)))</f>
        <v>0</v>
      </c>
      <c r="M54" s="109"/>
    </row>
    <row r="55" spans="1:13" x14ac:dyDescent="0.3">
      <c r="A55" s="106">
        <f t="shared" ca="1" si="3"/>
        <v>45633</v>
      </c>
      <c r="B55" s="107">
        <f ca="1">SUMIFS('Daily Writing Log'!$H$5:$H$34,'Daily Writing Log'!$A$5:$A$34,$A55)</f>
        <v>0</v>
      </c>
      <c r="C55" s="107">
        <f ca="1">SUMIFS('Daily Writing Log'!$I$5:$I$34,'Daily Writing Log'!$A$5:$A$34,$A55)</f>
        <v>0</v>
      </c>
      <c r="D55" s="108">
        <f ca="1">IF($C55&gt;=Config!$B$5,1,0)</f>
        <v>0</v>
      </c>
      <c r="E55" s="108">
        <f t="shared" ca="1" si="4"/>
        <v>0</v>
      </c>
      <c r="F55" s="108">
        <f ca="1">IF(AND($D55=0,$H54&gt;0,$E55&lt;Config!$B$8,$A55&lt;Config!$A$2),1,0)</f>
        <v>0</v>
      </c>
      <c r="G55" s="108">
        <f t="shared" ca="1" si="5"/>
        <v>0</v>
      </c>
      <c r="H55" s="108">
        <f ca="1">IF($D55=1,$H54+1,IF($F55=1,$H54,IF($A55=Config!$A$2,$H54,0)))</f>
        <v>0</v>
      </c>
      <c r="M55" s="109"/>
    </row>
    <row r="56" spans="1:13" x14ac:dyDescent="0.3">
      <c r="A56" s="106">
        <f t="shared" ca="1" si="3"/>
        <v>45634</v>
      </c>
      <c r="B56" s="107">
        <f ca="1">SUMIFS('Daily Writing Log'!$H$5:$H$34,'Daily Writing Log'!$A$5:$A$34,$A56)</f>
        <v>0</v>
      </c>
      <c r="C56" s="107">
        <f ca="1">SUMIFS('Daily Writing Log'!$I$5:$I$34,'Daily Writing Log'!$A$5:$A$34,$A56)</f>
        <v>0</v>
      </c>
      <c r="D56" s="108">
        <f ca="1">IF($C56&gt;=Config!$B$5,1,0)</f>
        <v>0</v>
      </c>
      <c r="E56" s="108">
        <f t="shared" ca="1" si="4"/>
        <v>0</v>
      </c>
      <c r="F56" s="108">
        <f ca="1">IF(AND($D56=0,$H55&gt;0,$E56&lt;Config!$B$8,$A56&lt;Config!$A$2),1,0)</f>
        <v>0</v>
      </c>
      <c r="G56" s="108">
        <f t="shared" ca="1" si="5"/>
        <v>0</v>
      </c>
      <c r="H56" s="108">
        <f ca="1">IF($D56=1,$H55+1,IF($F56=1,$H55,IF($A56=Config!$A$2,$H55,0)))</f>
        <v>0</v>
      </c>
      <c r="M56" s="109"/>
    </row>
    <row r="57" spans="1:13" x14ac:dyDescent="0.3">
      <c r="A57" s="106">
        <f t="shared" ca="1" si="3"/>
        <v>45635</v>
      </c>
      <c r="B57" s="107">
        <f ca="1">SUMIFS('Daily Writing Log'!$H$5:$H$34,'Daily Writing Log'!$A$5:$A$34,$A57)</f>
        <v>0</v>
      </c>
      <c r="C57" s="107">
        <f ca="1">SUMIFS('Daily Writing Log'!$I$5:$I$34,'Daily Writing Log'!$A$5:$A$34,$A57)</f>
        <v>0</v>
      </c>
      <c r="D57" s="108">
        <f ca="1">IF($C57&gt;=Config!$B$5,1,0)</f>
        <v>0</v>
      </c>
      <c r="E57" s="108">
        <f t="shared" ca="1" si="4"/>
        <v>0</v>
      </c>
      <c r="F57" s="108">
        <f ca="1">IF(AND($D57=0,$H56&gt;0,$E57&lt;Config!$B$8,$A57&lt;Config!$A$2),1,0)</f>
        <v>0</v>
      </c>
      <c r="G57" s="108">
        <f t="shared" ca="1" si="5"/>
        <v>0</v>
      </c>
      <c r="H57" s="108">
        <f ca="1">IF($D57=1,$H56+1,IF($F57=1,$H56,IF($A57=Config!$A$2,$H56,0)))</f>
        <v>0</v>
      </c>
      <c r="M57" s="109"/>
    </row>
    <row r="58" spans="1:13" x14ac:dyDescent="0.3">
      <c r="A58" s="106">
        <f t="shared" ca="1" si="3"/>
        <v>45636</v>
      </c>
      <c r="B58" s="107">
        <f ca="1">SUMIFS('Daily Writing Log'!$H$5:$H$34,'Daily Writing Log'!$A$5:$A$34,$A58)</f>
        <v>0</v>
      </c>
      <c r="C58" s="107">
        <f ca="1">SUMIFS('Daily Writing Log'!$I$5:$I$34,'Daily Writing Log'!$A$5:$A$34,$A58)</f>
        <v>0</v>
      </c>
      <c r="D58" s="108">
        <f ca="1">IF($C58&gt;=Config!$B$5,1,0)</f>
        <v>0</v>
      </c>
      <c r="E58" s="108">
        <f t="shared" ca="1" si="4"/>
        <v>0</v>
      </c>
      <c r="F58" s="108">
        <f ca="1">IF(AND($D58=0,$H57&gt;0,$E58&lt;Config!$B$8,$A58&lt;Config!$A$2),1,0)</f>
        <v>0</v>
      </c>
      <c r="G58" s="108">
        <f t="shared" ca="1" si="5"/>
        <v>0</v>
      </c>
      <c r="H58" s="108">
        <f ca="1">IF($D58=1,$H57+1,IF($F58=1,$H57,IF($A58=Config!$A$2,$H57,0)))</f>
        <v>0</v>
      </c>
      <c r="M58" s="109"/>
    </row>
    <row r="59" spans="1:13" x14ac:dyDescent="0.3">
      <c r="A59" s="106">
        <f t="shared" ca="1" si="3"/>
        <v>45637</v>
      </c>
      <c r="B59" s="107">
        <f ca="1">SUMIFS('Daily Writing Log'!$H$5:$H$34,'Daily Writing Log'!$A$5:$A$34,$A59)</f>
        <v>0</v>
      </c>
      <c r="C59" s="107">
        <f ca="1">SUMIFS('Daily Writing Log'!$I$5:$I$34,'Daily Writing Log'!$A$5:$A$34,$A59)</f>
        <v>0</v>
      </c>
      <c r="D59" s="108">
        <f ca="1">IF($C59&gt;=Config!$B$5,1,0)</f>
        <v>0</v>
      </c>
      <c r="E59" s="108">
        <f t="shared" ca="1" si="4"/>
        <v>0</v>
      </c>
      <c r="F59" s="108">
        <f ca="1">IF(AND($D59=0,$H58&gt;0,$E59&lt;Config!$B$8,$A59&lt;Config!$A$2),1,0)</f>
        <v>0</v>
      </c>
      <c r="G59" s="108">
        <f t="shared" ca="1" si="5"/>
        <v>0</v>
      </c>
      <c r="H59" s="108">
        <f ca="1">IF($D59=1,$H58+1,IF($F59=1,$H58,IF($A59=Config!$A$2,$H58,0)))</f>
        <v>0</v>
      </c>
      <c r="M59" s="109"/>
    </row>
    <row r="60" spans="1:13" x14ac:dyDescent="0.3">
      <c r="A60" s="106">
        <f t="shared" ca="1" si="3"/>
        <v>45638</v>
      </c>
      <c r="B60" s="107">
        <f ca="1">SUMIFS('Daily Writing Log'!$H$5:$H$34,'Daily Writing Log'!$A$5:$A$34,$A60)</f>
        <v>0</v>
      </c>
      <c r="C60" s="107">
        <f ca="1">SUMIFS('Daily Writing Log'!$I$5:$I$34,'Daily Writing Log'!$A$5:$A$34,$A60)</f>
        <v>0</v>
      </c>
      <c r="D60" s="108">
        <f ca="1">IF($C60&gt;=Config!$B$5,1,0)</f>
        <v>0</v>
      </c>
      <c r="E60" s="108">
        <f t="shared" ca="1" si="4"/>
        <v>0</v>
      </c>
      <c r="F60" s="108">
        <f ca="1">IF(AND($D60=0,$H59&gt;0,$E60&lt;Config!$B$8,$A60&lt;Config!$A$2),1,0)</f>
        <v>0</v>
      </c>
      <c r="G60" s="108">
        <f t="shared" ca="1" si="5"/>
        <v>0</v>
      </c>
      <c r="H60" s="108">
        <f ca="1">IF($D60=1,$H59+1,IF($F60=1,$H59,IF($A60=Config!$A$2,$H59,0)))</f>
        <v>0</v>
      </c>
      <c r="M60" s="109"/>
    </row>
    <row r="61" spans="1:13" x14ac:dyDescent="0.3">
      <c r="A61" s="106">
        <f t="shared" ca="1" si="3"/>
        <v>45639</v>
      </c>
      <c r="B61" s="107">
        <f ca="1">SUMIFS('Daily Writing Log'!$H$5:$H$34,'Daily Writing Log'!$A$5:$A$34,$A61)</f>
        <v>0</v>
      </c>
      <c r="C61" s="107">
        <f ca="1">SUMIFS('Daily Writing Log'!$I$5:$I$34,'Daily Writing Log'!$A$5:$A$34,$A61)</f>
        <v>0</v>
      </c>
      <c r="D61" s="108">
        <f ca="1">IF($C61&gt;=Config!$B$5,1,0)</f>
        <v>0</v>
      </c>
      <c r="E61" s="108">
        <f t="shared" ca="1" si="4"/>
        <v>0</v>
      </c>
      <c r="F61" s="108">
        <f ca="1">IF(AND($D61=0,$H60&gt;0,$E61&lt;Config!$B$8,$A61&lt;Config!$A$2),1,0)</f>
        <v>0</v>
      </c>
      <c r="G61" s="108">
        <f t="shared" ca="1" si="5"/>
        <v>0</v>
      </c>
      <c r="H61" s="108">
        <f ca="1">IF($D61=1,$H60+1,IF($F61=1,$H60,IF($A61=Config!$A$2,$H60,0)))</f>
        <v>0</v>
      </c>
      <c r="M61" s="109"/>
    </row>
    <row r="62" spans="1:13" x14ac:dyDescent="0.3">
      <c r="A62" s="106">
        <f t="shared" ca="1" si="3"/>
        <v>45640</v>
      </c>
      <c r="B62" s="107">
        <f ca="1">SUMIFS('Daily Writing Log'!$H$5:$H$34,'Daily Writing Log'!$A$5:$A$34,$A62)</f>
        <v>0</v>
      </c>
      <c r="C62" s="107">
        <f ca="1">SUMIFS('Daily Writing Log'!$I$5:$I$34,'Daily Writing Log'!$A$5:$A$34,$A62)</f>
        <v>0</v>
      </c>
      <c r="D62" s="108">
        <f ca="1">IF($C62&gt;=Config!$B$5,1,0)</f>
        <v>0</v>
      </c>
      <c r="E62" s="108">
        <f t="shared" ca="1" si="4"/>
        <v>0</v>
      </c>
      <c r="F62" s="108">
        <f ca="1">IF(AND($D62=0,$H61&gt;0,$E62&lt;Config!$B$8,$A62&lt;Config!$A$2),1,0)</f>
        <v>0</v>
      </c>
      <c r="G62" s="108">
        <f t="shared" ca="1" si="5"/>
        <v>0</v>
      </c>
      <c r="H62" s="108">
        <f ca="1">IF($D62=1,$H61+1,IF($F62=1,$H61,IF($A62=Config!$A$2,$H61,0)))</f>
        <v>0</v>
      </c>
      <c r="M62" s="109"/>
    </row>
    <row r="63" spans="1:13" x14ac:dyDescent="0.3">
      <c r="A63" s="106">
        <f t="shared" ca="1" si="3"/>
        <v>45641</v>
      </c>
      <c r="B63" s="107">
        <f ca="1">SUMIFS('Daily Writing Log'!$H$5:$H$34,'Daily Writing Log'!$A$5:$A$34,$A63)</f>
        <v>0</v>
      </c>
      <c r="C63" s="107">
        <f ca="1">SUMIFS('Daily Writing Log'!$I$5:$I$34,'Daily Writing Log'!$A$5:$A$34,$A63)</f>
        <v>0</v>
      </c>
      <c r="D63" s="108">
        <f ca="1">IF($C63&gt;=Config!$B$5,1,0)</f>
        <v>0</v>
      </c>
      <c r="E63" s="108">
        <f t="shared" ca="1" si="4"/>
        <v>0</v>
      </c>
      <c r="F63" s="108">
        <f ca="1">IF(AND($D63=0,$H62&gt;0,$E63&lt;Config!$B$8,$A63&lt;Config!$A$2),1,0)</f>
        <v>0</v>
      </c>
      <c r="G63" s="108">
        <f t="shared" ca="1" si="5"/>
        <v>0</v>
      </c>
      <c r="H63" s="108">
        <f ca="1">IF($D63=1,$H62+1,IF($F63=1,$H62,IF($A63=Config!$A$2,$H62,0)))</f>
        <v>0</v>
      </c>
      <c r="M63" s="109"/>
    </row>
    <row r="64" spans="1:13" x14ac:dyDescent="0.3">
      <c r="A64" s="106">
        <f t="shared" ca="1" si="3"/>
        <v>45642</v>
      </c>
      <c r="B64" s="107">
        <f ca="1">SUMIFS('Daily Writing Log'!$H$5:$H$34,'Daily Writing Log'!$A$5:$A$34,$A64)</f>
        <v>0</v>
      </c>
      <c r="C64" s="107">
        <f ca="1">SUMIFS('Daily Writing Log'!$I$5:$I$34,'Daily Writing Log'!$A$5:$A$34,$A64)</f>
        <v>0</v>
      </c>
      <c r="D64" s="108">
        <f ca="1">IF($C64&gt;=Config!$B$5,1,0)</f>
        <v>0</v>
      </c>
      <c r="E64" s="108">
        <f t="shared" ca="1" si="4"/>
        <v>0</v>
      </c>
      <c r="F64" s="108">
        <f ca="1">IF(AND($D64=0,$H63&gt;0,$E64&lt;Config!$B$8,$A64&lt;Config!$A$2),1,0)</f>
        <v>0</v>
      </c>
      <c r="G64" s="108">
        <f t="shared" ca="1" si="5"/>
        <v>0</v>
      </c>
      <c r="H64" s="108">
        <f ca="1">IF($D64=1,$H63+1,IF($F64=1,$H63,IF($A64=Config!$A$2,$H63,0)))</f>
        <v>0</v>
      </c>
      <c r="M64" s="109"/>
    </row>
    <row r="65" spans="1:13" x14ac:dyDescent="0.3">
      <c r="A65" s="106">
        <f t="shared" ca="1" si="3"/>
        <v>45643</v>
      </c>
      <c r="B65" s="107">
        <f ca="1">SUMIFS('Daily Writing Log'!$H$5:$H$34,'Daily Writing Log'!$A$5:$A$34,$A65)</f>
        <v>0</v>
      </c>
      <c r="C65" s="107">
        <f ca="1">SUMIFS('Daily Writing Log'!$I$5:$I$34,'Daily Writing Log'!$A$5:$A$34,$A65)</f>
        <v>0</v>
      </c>
      <c r="D65" s="108">
        <f ca="1">IF($C65&gt;=Config!$B$5,1,0)</f>
        <v>0</v>
      </c>
      <c r="E65" s="108">
        <f t="shared" ca="1" si="4"/>
        <v>0</v>
      </c>
      <c r="F65" s="108">
        <f ca="1">IF(AND($D65=0,$H64&gt;0,$E65&lt;Config!$B$8,$A65&lt;Config!$A$2),1,0)</f>
        <v>0</v>
      </c>
      <c r="G65" s="108">
        <f t="shared" ca="1" si="5"/>
        <v>0</v>
      </c>
      <c r="H65" s="108">
        <f ca="1">IF($D65=1,$H64+1,IF($F65=1,$H64,IF($A65=Config!$A$2,$H64,0)))</f>
        <v>0</v>
      </c>
      <c r="M65" s="109"/>
    </row>
    <row r="66" spans="1:13" x14ac:dyDescent="0.3">
      <c r="A66" s="106">
        <f t="shared" ca="1" si="3"/>
        <v>45644</v>
      </c>
      <c r="B66" s="107">
        <f ca="1">SUMIFS('Daily Writing Log'!$H$5:$H$34,'Daily Writing Log'!$A$5:$A$34,$A66)</f>
        <v>0</v>
      </c>
      <c r="C66" s="107">
        <f ca="1">SUMIFS('Daily Writing Log'!$I$5:$I$34,'Daily Writing Log'!$A$5:$A$34,$A66)</f>
        <v>0</v>
      </c>
      <c r="D66" s="108">
        <f ca="1">IF($C66&gt;=Config!$B$5,1,0)</f>
        <v>0</v>
      </c>
      <c r="E66" s="108">
        <f t="shared" ca="1" si="4"/>
        <v>0</v>
      </c>
      <c r="F66" s="108">
        <f ca="1">IF(AND($D66=0,$H65&gt;0,$E66&lt;Config!$B$8,$A66&lt;Config!$A$2),1,0)</f>
        <v>0</v>
      </c>
      <c r="G66" s="108">
        <f t="shared" ca="1" si="5"/>
        <v>0</v>
      </c>
      <c r="H66" s="108">
        <f ca="1">IF($D66=1,$H65+1,IF($F66=1,$H65,IF($A66=Config!$A$2,$H65,0)))</f>
        <v>0</v>
      </c>
      <c r="M66" s="109"/>
    </row>
    <row r="67" spans="1:13" x14ac:dyDescent="0.3">
      <c r="A67" s="106">
        <f t="shared" ca="1" si="3"/>
        <v>45645</v>
      </c>
      <c r="B67" s="107">
        <f ca="1">SUMIFS('Daily Writing Log'!$H$5:$H$34,'Daily Writing Log'!$A$5:$A$34,$A67)</f>
        <v>0</v>
      </c>
      <c r="C67" s="107">
        <f ca="1">SUMIFS('Daily Writing Log'!$I$5:$I$34,'Daily Writing Log'!$A$5:$A$34,$A67)</f>
        <v>0</v>
      </c>
      <c r="D67" s="108">
        <f ca="1">IF($C67&gt;=Config!$B$5,1,0)</f>
        <v>0</v>
      </c>
      <c r="E67" s="108">
        <f t="shared" ca="1" si="4"/>
        <v>0</v>
      </c>
      <c r="F67" s="108">
        <f ca="1">IF(AND($D67=0,$H66&gt;0,$E67&lt;Config!$B$8,$A67&lt;Config!$A$2),1,0)</f>
        <v>0</v>
      </c>
      <c r="G67" s="108">
        <f t="shared" ca="1" si="5"/>
        <v>0</v>
      </c>
      <c r="H67" s="108">
        <f ca="1">IF($D67=1,$H66+1,IF($F67=1,$H66,IF($A67=Config!$A$2,$H66,0)))</f>
        <v>0</v>
      </c>
      <c r="M67" s="109"/>
    </row>
    <row r="68" spans="1:13" x14ac:dyDescent="0.3">
      <c r="A68" s="106">
        <f t="shared" ca="1" si="3"/>
        <v>45646</v>
      </c>
      <c r="B68" s="107">
        <f ca="1">SUMIFS('Daily Writing Log'!$H$5:$H$34,'Daily Writing Log'!$A$5:$A$34,$A68)</f>
        <v>0</v>
      </c>
      <c r="C68" s="107">
        <f ca="1">SUMIFS('Daily Writing Log'!$I$5:$I$34,'Daily Writing Log'!$A$5:$A$34,$A68)</f>
        <v>0</v>
      </c>
      <c r="D68" s="108">
        <f ca="1">IF($C68&gt;=Config!$B$5,1,0)</f>
        <v>0</v>
      </c>
      <c r="E68" s="108">
        <f t="shared" ca="1" si="4"/>
        <v>0</v>
      </c>
      <c r="F68" s="108">
        <f ca="1">IF(AND($D68=0,$H67&gt;0,$E68&lt;Config!$B$8,$A68&lt;Config!$A$2),1,0)</f>
        <v>0</v>
      </c>
      <c r="G68" s="108">
        <f t="shared" ca="1" si="5"/>
        <v>0</v>
      </c>
      <c r="H68" s="108">
        <f ca="1">IF($D68=1,$H67+1,IF($F68=1,$H67,IF($A68=Config!$A$2,$H67,0)))</f>
        <v>0</v>
      </c>
      <c r="M68" s="109"/>
    </row>
    <row r="69" spans="1:13" x14ac:dyDescent="0.3">
      <c r="A69" s="106">
        <f t="shared" ca="1" si="3"/>
        <v>45647</v>
      </c>
      <c r="B69" s="107">
        <f ca="1">SUMIFS('Daily Writing Log'!$H$5:$H$34,'Daily Writing Log'!$A$5:$A$34,$A69)</f>
        <v>0</v>
      </c>
      <c r="C69" s="107">
        <f ca="1">SUMIFS('Daily Writing Log'!$I$5:$I$34,'Daily Writing Log'!$A$5:$A$34,$A69)</f>
        <v>0</v>
      </c>
      <c r="D69" s="108">
        <f ca="1">IF($C69&gt;=Config!$B$5,1,0)</f>
        <v>0</v>
      </c>
      <c r="E69" s="108">
        <f t="shared" ca="1" si="4"/>
        <v>0</v>
      </c>
      <c r="F69" s="108">
        <f ca="1">IF(AND($D69=0,$H68&gt;0,$E69&lt;Config!$B$8,$A69&lt;Config!$A$2),1,0)</f>
        <v>0</v>
      </c>
      <c r="G69" s="108">
        <f t="shared" ca="1" si="5"/>
        <v>0</v>
      </c>
      <c r="H69" s="108">
        <f ca="1">IF($D69=1,$H68+1,IF($F69=1,$H68,IF($A69=Config!$A$2,$H68,0)))</f>
        <v>0</v>
      </c>
      <c r="M69" s="109"/>
    </row>
    <row r="70" spans="1:13" x14ac:dyDescent="0.3">
      <c r="A70" s="106">
        <f t="shared" ref="A70:A133" ca="1" si="7">A69+1</f>
        <v>45648</v>
      </c>
      <c r="B70" s="107">
        <f ca="1">SUMIFS('Daily Writing Log'!$H$5:$H$34,'Daily Writing Log'!$A$5:$A$34,$A70)</f>
        <v>0</v>
      </c>
      <c r="C70" s="107">
        <f ca="1">SUMIFS('Daily Writing Log'!$I$5:$I$34,'Daily Writing Log'!$A$5:$A$34,$A70)</f>
        <v>0</v>
      </c>
      <c r="D70" s="108">
        <f ca="1">IF($C70&gt;=Config!$B$5,1,0)</f>
        <v>0</v>
      </c>
      <c r="E70" s="108">
        <f t="shared" ref="E70:E133" ca="1" si="8">IF(MONTH($A70)&lt;&gt;MONTH($A69),0,$G69)</f>
        <v>0</v>
      </c>
      <c r="F70" s="108">
        <f ca="1">IF(AND($D70=0,$H69&gt;0,$E70&lt;Config!$B$8,$A70&lt;Config!$A$2),1,0)</f>
        <v>0</v>
      </c>
      <c r="G70" s="108">
        <f t="shared" ref="G70:G133" ca="1" si="9">$E70+$F70</f>
        <v>0</v>
      </c>
      <c r="H70" s="108">
        <f ca="1">IF($D70=1,$H69+1,IF($F70=1,$H69,IF($A70=Config!$A$2,$H69,0)))</f>
        <v>0</v>
      </c>
      <c r="M70" s="109"/>
    </row>
    <row r="71" spans="1:13" x14ac:dyDescent="0.3">
      <c r="A71" s="106">
        <f t="shared" ca="1" si="7"/>
        <v>45649</v>
      </c>
      <c r="B71" s="107">
        <f ca="1">SUMIFS('Daily Writing Log'!$H$5:$H$34,'Daily Writing Log'!$A$5:$A$34,$A71)</f>
        <v>0</v>
      </c>
      <c r="C71" s="107">
        <f ca="1">SUMIFS('Daily Writing Log'!$I$5:$I$34,'Daily Writing Log'!$A$5:$A$34,$A71)</f>
        <v>0</v>
      </c>
      <c r="D71" s="108">
        <f ca="1">IF($C71&gt;=Config!$B$5,1,0)</f>
        <v>0</v>
      </c>
      <c r="E71" s="108">
        <f t="shared" ca="1" si="8"/>
        <v>0</v>
      </c>
      <c r="F71" s="108">
        <f ca="1">IF(AND($D71=0,$H70&gt;0,$E71&lt;Config!$B$8,$A71&lt;Config!$A$2),1,0)</f>
        <v>0</v>
      </c>
      <c r="G71" s="108">
        <f t="shared" ca="1" si="9"/>
        <v>0</v>
      </c>
      <c r="H71" s="108">
        <f ca="1">IF($D71=1,$H70+1,IF($F71=1,$H70,IF($A71=Config!$A$2,$H70,0)))</f>
        <v>0</v>
      </c>
      <c r="M71" s="109"/>
    </row>
    <row r="72" spans="1:13" x14ac:dyDescent="0.3">
      <c r="A72" s="106">
        <f t="shared" ca="1" si="7"/>
        <v>45650</v>
      </c>
      <c r="B72" s="107">
        <f ca="1">SUMIFS('Daily Writing Log'!$H$5:$H$34,'Daily Writing Log'!$A$5:$A$34,$A72)</f>
        <v>0</v>
      </c>
      <c r="C72" s="107">
        <f ca="1">SUMIFS('Daily Writing Log'!$I$5:$I$34,'Daily Writing Log'!$A$5:$A$34,$A72)</f>
        <v>0</v>
      </c>
      <c r="D72" s="108">
        <f ca="1">IF($C72&gt;=Config!$B$5,1,0)</f>
        <v>0</v>
      </c>
      <c r="E72" s="108">
        <f t="shared" ca="1" si="8"/>
        <v>0</v>
      </c>
      <c r="F72" s="108">
        <f ca="1">IF(AND($D72=0,$H71&gt;0,$E72&lt;Config!$B$8,$A72&lt;Config!$A$2),1,0)</f>
        <v>0</v>
      </c>
      <c r="G72" s="108">
        <f t="shared" ca="1" si="9"/>
        <v>0</v>
      </c>
      <c r="H72" s="108">
        <f ca="1">IF($D72=1,$H71+1,IF($F72=1,$H71,IF($A72=Config!$A$2,$H71,0)))</f>
        <v>0</v>
      </c>
      <c r="M72" s="109"/>
    </row>
    <row r="73" spans="1:13" x14ac:dyDescent="0.3">
      <c r="A73" s="106">
        <f t="shared" ca="1" si="7"/>
        <v>45651</v>
      </c>
      <c r="B73" s="107">
        <f ca="1">SUMIFS('Daily Writing Log'!$H$5:$H$34,'Daily Writing Log'!$A$5:$A$34,$A73)</f>
        <v>0</v>
      </c>
      <c r="C73" s="107">
        <f ca="1">SUMIFS('Daily Writing Log'!$I$5:$I$34,'Daily Writing Log'!$A$5:$A$34,$A73)</f>
        <v>0</v>
      </c>
      <c r="D73" s="108">
        <f ca="1">IF($C73&gt;=Config!$B$5,1,0)</f>
        <v>0</v>
      </c>
      <c r="E73" s="108">
        <f t="shared" ca="1" si="8"/>
        <v>0</v>
      </c>
      <c r="F73" s="108">
        <f ca="1">IF(AND($D73=0,$H72&gt;0,$E73&lt;Config!$B$8,$A73&lt;Config!$A$2),1,0)</f>
        <v>0</v>
      </c>
      <c r="G73" s="108">
        <f t="shared" ca="1" si="9"/>
        <v>0</v>
      </c>
      <c r="H73" s="108">
        <f ca="1">IF($D73=1,$H72+1,IF($F73=1,$H72,IF($A73=Config!$A$2,$H72,0)))</f>
        <v>0</v>
      </c>
      <c r="M73" s="109"/>
    </row>
    <row r="74" spans="1:13" x14ac:dyDescent="0.3">
      <c r="A74" s="106">
        <f t="shared" ca="1" si="7"/>
        <v>45652</v>
      </c>
      <c r="B74" s="107">
        <f ca="1">SUMIFS('Daily Writing Log'!$H$5:$H$34,'Daily Writing Log'!$A$5:$A$34,$A74)</f>
        <v>0</v>
      </c>
      <c r="C74" s="107">
        <f ca="1">SUMIFS('Daily Writing Log'!$I$5:$I$34,'Daily Writing Log'!$A$5:$A$34,$A74)</f>
        <v>0</v>
      </c>
      <c r="D74" s="108">
        <f ca="1">IF($C74&gt;=Config!$B$5,1,0)</f>
        <v>0</v>
      </c>
      <c r="E74" s="108">
        <f t="shared" ca="1" si="8"/>
        <v>0</v>
      </c>
      <c r="F74" s="108">
        <f ca="1">IF(AND($D74=0,$H73&gt;0,$E74&lt;Config!$B$8,$A74&lt;Config!$A$2),1,0)</f>
        <v>0</v>
      </c>
      <c r="G74" s="108">
        <f t="shared" ca="1" si="9"/>
        <v>0</v>
      </c>
      <c r="H74" s="108">
        <f ca="1">IF($D74=1,$H73+1,IF($F74=1,$H73,IF($A74=Config!$A$2,$H73,0)))</f>
        <v>0</v>
      </c>
      <c r="M74" s="109"/>
    </row>
    <row r="75" spans="1:13" x14ac:dyDescent="0.3">
      <c r="A75" s="106">
        <f t="shared" ca="1" si="7"/>
        <v>45653</v>
      </c>
      <c r="B75" s="107">
        <f ca="1">SUMIFS('Daily Writing Log'!$H$5:$H$34,'Daily Writing Log'!$A$5:$A$34,$A75)</f>
        <v>0</v>
      </c>
      <c r="C75" s="107">
        <f ca="1">SUMIFS('Daily Writing Log'!$I$5:$I$34,'Daily Writing Log'!$A$5:$A$34,$A75)</f>
        <v>0</v>
      </c>
      <c r="D75" s="108">
        <f ca="1">IF($C75&gt;=Config!$B$5,1,0)</f>
        <v>0</v>
      </c>
      <c r="E75" s="108">
        <f t="shared" ca="1" si="8"/>
        <v>0</v>
      </c>
      <c r="F75" s="108">
        <f ca="1">IF(AND($D75=0,$H74&gt;0,$E75&lt;Config!$B$8,$A75&lt;Config!$A$2),1,0)</f>
        <v>0</v>
      </c>
      <c r="G75" s="108">
        <f t="shared" ca="1" si="9"/>
        <v>0</v>
      </c>
      <c r="H75" s="108">
        <f ca="1">IF($D75=1,$H74+1,IF($F75=1,$H74,IF($A75=Config!$A$2,$H74,0)))</f>
        <v>0</v>
      </c>
      <c r="M75" s="109"/>
    </row>
    <row r="76" spans="1:13" x14ac:dyDescent="0.3">
      <c r="A76" s="106">
        <f t="shared" ca="1" si="7"/>
        <v>45654</v>
      </c>
      <c r="B76" s="107">
        <f ca="1">SUMIFS('Daily Writing Log'!$H$5:$H$34,'Daily Writing Log'!$A$5:$A$34,$A76)</f>
        <v>0</v>
      </c>
      <c r="C76" s="107">
        <f ca="1">SUMIFS('Daily Writing Log'!$I$5:$I$34,'Daily Writing Log'!$A$5:$A$34,$A76)</f>
        <v>0</v>
      </c>
      <c r="D76" s="108">
        <f ca="1">IF($C76&gt;=Config!$B$5,1,0)</f>
        <v>0</v>
      </c>
      <c r="E76" s="108">
        <f t="shared" ca="1" si="8"/>
        <v>0</v>
      </c>
      <c r="F76" s="108">
        <f ca="1">IF(AND($D76=0,$H75&gt;0,$E76&lt;Config!$B$8,$A76&lt;Config!$A$2),1,0)</f>
        <v>0</v>
      </c>
      <c r="G76" s="108">
        <f t="shared" ca="1" si="9"/>
        <v>0</v>
      </c>
      <c r="H76" s="108">
        <f ca="1">IF($D76=1,$H75+1,IF($F76=1,$H75,IF($A76=Config!$A$2,$H75,0)))</f>
        <v>0</v>
      </c>
      <c r="M76" s="109"/>
    </row>
    <row r="77" spans="1:13" x14ac:dyDescent="0.3">
      <c r="A77" s="106">
        <f t="shared" ca="1" si="7"/>
        <v>45655</v>
      </c>
      <c r="B77" s="107">
        <f ca="1">SUMIFS('Daily Writing Log'!$H$5:$H$34,'Daily Writing Log'!$A$5:$A$34,$A77)</f>
        <v>0</v>
      </c>
      <c r="C77" s="107">
        <f ca="1">SUMIFS('Daily Writing Log'!$I$5:$I$34,'Daily Writing Log'!$A$5:$A$34,$A77)</f>
        <v>0</v>
      </c>
      <c r="D77" s="108">
        <f ca="1">IF($C77&gt;=Config!$B$5,1,0)</f>
        <v>0</v>
      </c>
      <c r="E77" s="108">
        <f t="shared" ca="1" si="8"/>
        <v>0</v>
      </c>
      <c r="F77" s="108">
        <f ca="1">IF(AND($D77=0,$H76&gt;0,$E77&lt;Config!$B$8,$A77&lt;Config!$A$2),1,0)</f>
        <v>0</v>
      </c>
      <c r="G77" s="108">
        <f t="shared" ca="1" si="9"/>
        <v>0</v>
      </c>
      <c r="H77" s="108">
        <f ca="1">IF($D77=1,$H76+1,IF($F77=1,$H76,IF($A77=Config!$A$2,$H76,0)))</f>
        <v>0</v>
      </c>
      <c r="M77" s="109"/>
    </row>
    <row r="78" spans="1:13" x14ac:dyDescent="0.3">
      <c r="A78" s="106">
        <f t="shared" ca="1" si="7"/>
        <v>45656</v>
      </c>
      <c r="B78" s="107">
        <f ca="1">SUMIFS('Daily Writing Log'!$H$5:$H$34,'Daily Writing Log'!$A$5:$A$34,$A78)</f>
        <v>0</v>
      </c>
      <c r="C78" s="107">
        <f ca="1">SUMIFS('Daily Writing Log'!$I$5:$I$34,'Daily Writing Log'!$A$5:$A$34,$A78)</f>
        <v>0</v>
      </c>
      <c r="D78" s="108">
        <f ca="1">IF($C78&gt;=Config!$B$5,1,0)</f>
        <v>0</v>
      </c>
      <c r="E78" s="108">
        <f t="shared" ca="1" si="8"/>
        <v>0</v>
      </c>
      <c r="F78" s="108">
        <f ca="1">IF(AND($D78=0,$H77&gt;0,$E78&lt;Config!$B$8,$A78&lt;Config!$A$2),1,0)</f>
        <v>0</v>
      </c>
      <c r="G78" s="108">
        <f t="shared" ca="1" si="9"/>
        <v>0</v>
      </c>
      <c r="H78" s="108">
        <f ca="1">IF($D78=1,$H77+1,IF($F78=1,$H77,IF($A78=Config!$A$2,$H77,0)))</f>
        <v>0</v>
      </c>
      <c r="M78" s="109"/>
    </row>
    <row r="79" spans="1:13" x14ac:dyDescent="0.3">
      <c r="A79" s="106">
        <f t="shared" ca="1" si="7"/>
        <v>45657</v>
      </c>
      <c r="B79" s="107">
        <f ca="1">SUMIFS('Daily Writing Log'!$H$5:$H$34,'Daily Writing Log'!$A$5:$A$34,$A79)</f>
        <v>0</v>
      </c>
      <c r="C79" s="107">
        <f ca="1">SUMIFS('Daily Writing Log'!$I$5:$I$34,'Daily Writing Log'!$A$5:$A$34,$A79)</f>
        <v>0</v>
      </c>
      <c r="D79" s="108">
        <f ca="1">IF($C79&gt;=Config!$B$5,1,0)</f>
        <v>0</v>
      </c>
      <c r="E79" s="108">
        <f t="shared" ca="1" si="8"/>
        <v>0</v>
      </c>
      <c r="F79" s="108">
        <f ca="1">IF(AND($D79=0,$H78&gt;0,$E79&lt;Config!$B$8,$A79&lt;Config!$A$2),1,0)</f>
        <v>0</v>
      </c>
      <c r="G79" s="108">
        <f t="shared" ca="1" si="9"/>
        <v>0</v>
      </c>
      <c r="H79" s="108">
        <f ca="1">IF($D79=1,$H78+1,IF($F79=1,$H78,IF($A79=Config!$A$2,$H78,0)))</f>
        <v>0</v>
      </c>
      <c r="M79" s="109"/>
    </row>
    <row r="80" spans="1:13" x14ac:dyDescent="0.3">
      <c r="A80" s="106">
        <f t="shared" ca="1" si="7"/>
        <v>45658</v>
      </c>
      <c r="B80" s="107">
        <f ca="1">SUMIFS('Daily Writing Log'!$H$5:$H$34,'Daily Writing Log'!$A$5:$A$34,$A80)</f>
        <v>0</v>
      </c>
      <c r="C80" s="107">
        <f ca="1">SUMIFS('Daily Writing Log'!$I$5:$I$34,'Daily Writing Log'!$A$5:$A$34,$A80)</f>
        <v>0</v>
      </c>
      <c r="D80" s="108">
        <f ca="1">IF($C80&gt;=Config!$B$5,1,0)</f>
        <v>0</v>
      </c>
      <c r="E80" s="108">
        <f t="shared" ca="1" si="8"/>
        <v>0</v>
      </c>
      <c r="F80" s="108">
        <f ca="1">IF(AND($D80=0,$H79&gt;0,$E80&lt;Config!$B$8,$A80&lt;Config!$A$2),1,0)</f>
        <v>0</v>
      </c>
      <c r="G80" s="108">
        <f t="shared" ca="1" si="9"/>
        <v>0</v>
      </c>
      <c r="H80" s="108">
        <f ca="1">IF($D80=1,$H79+1,IF($F80=1,$H79,IF($A80=Config!$A$2,$H79,0)))</f>
        <v>0</v>
      </c>
      <c r="M80" s="109"/>
    </row>
    <row r="81" spans="1:13" x14ac:dyDescent="0.3">
      <c r="A81" s="106">
        <f t="shared" ca="1" si="7"/>
        <v>45659</v>
      </c>
      <c r="B81" s="107">
        <f ca="1">SUMIFS('Daily Writing Log'!$H$5:$H$34,'Daily Writing Log'!$A$5:$A$34,$A81)</f>
        <v>0</v>
      </c>
      <c r="C81" s="107">
        <f ca="1">SUMIFS('Daily Writing Log'!$I$5:$I$34,'Daily Writing Log'!$A$5:$A$34,$A81)</f>
        <v>0</v>
      </c>
      <c r="D81" s="108">
        <f ca="1">IF($C81&gt;=Config!$B$5,1,0)</f>
        <v>0</v>
      </c>
      <c r="E81" s="108">
        <f t="shared" ca="1" si="8"/>
        <v>0</v>
      </c>
      <c r="F81" s="108">
        <f ca="1">IF(AND($D81=0,$H80&gt;0,$E81&lt;Config!$B$8,$A81&lt;Config!$A$2),1,0)</f>
        <v>0</v>
      </c>
      <c r="G81" s="108">
        <f t="shared" ca="1" si="9"/>
        <v>0</v>
      </c>
      <c r="H81" s="108">
        <f ca="1">IF($D81=1,$H80+1,IF($F81=1,$H80,IF($A81=Config!$A$2,$H80,0)))</f>
        <v>0</v>
      </c>
      <c r="M81" s="109"/>
    </row>
    <row r="82" spans="1:13" x14ac:dyDescent="0.3">
      <c r="A82" s="106">
        <f t="shared" ca="1" si="7"/>
        <v>45660</v>
      </c>
      <c r="B82" s="107">
        <f ca="1">SUMIFS('Daily Writing Log'!$H$5:$H$34,'Daily Writing Log'!$A$5:$A$34,$A82)</f>
        <v>0</v>
      </c>
      <c r="C82" s="107">
        <f ca="1">SUMIFS('Daily Writing Log'!$I$5:$I$34,'Daily Writing Log'!$A$5:$A$34,$A82)</f>
        <v>0</v>
      </c>
      <c r="D82" s="108">
        <f ca="1">IF($C82&gt;=Config!$B$5,1,0)</f>
        <v>0</v>
      </c>
      <c r="E82" s="108">
        <f t="shared" ca="1" si="8"/>
        <v>0</v>
      </c>
      <c r="F82" s="108">
        <f ca="1">IF(AND($D82=0,$H81&gt;0,$E82&lt;Config!$B$8,$A82&lt;Config!$A$2),1,0)</f>
        <v>0</v>
      </c>
      <c r="G82" s="108">
        <f t="shared" ca="1" si="9"/>
        <v>0</v>
      </c>
      <c r="H82" s="108">
        <f ca="1">IF($D82=1,$H81+1,IF($F82=1,$H81,IF($A82=Config!$A$2,$H81,0)))</f>
        <v>0</v>
      </c>
      <c r="M82" s="109"/>
    </row>
    <row r="83" spans="1:13" x14ac:dyDescent="0.3">
      <c r="A83" s="106">
        <f t="shared" ca="1" si="7"/>
        <v>45661</v>
      </c>
      <c r="B83" s="107">
        <f ca="1">SUMIFS('Daily Writing Log'!$H$5:$H$34,'Daily Writing Log'!$A$5:$A$34,$A83)</f>
        <v>0</v>
      </c>
      <c r="C83" s="107">
        <f ca="1">SUMIFS('Daily Writing Log'!$I$5:$I$34,'Daily Writing Log'!$A$5:$A$34,$A83)</f>
        <v>0</v>
      </c>
      <c r="D83" s="108">
        <f ca="1">IF($C83&gt;=Config!$B$5,1,0)</f>
        <v>0</v>
      </c>
      <c r="E83" s="108">
        <f t="shared" ca="1" si="8"/>
        <v>0</v>
      </c>
      <c r="F83" s="108">
        <f ca="1">IF(AND($D83=0,$H82&gt;0,$E83&lt;Config!$B$8,$A83&lt;Config!$A$2),1,0)</f>
        <v>0</v>
      </c>
      <c r="G83" s="108">
        <f t="shared" ca="1" si="9"/>
        <v>0</v>
      </c>
      <c r="H83" s="108">
        <f ca="1">IF($D83=1,$H82+1,IF($F83=1,$H82,IF($A83=Config!$A$2,$H82,0)))</f>
        <v>0</v>
      </c>
      <c r="M83" s="109"/>
    </row>
    <row r="84" spans="1:13" x14ac:dyDescent="0.3">
      <c r="A84" s="106">
        <f t="shared" ca="1" si="7"/>
        <v>45662</v>
      </c>
      <c r="B84" s="107">
        <f ca="1">SUMIFS('Daily Writing Log'!$H$5:$H$34,'Daily Writing Log'!$A$5:$A$34,$A84)</f>
        <v>0</v>
      </c>
      <c r="C84" s="107">
        <f ca="1">SUMIFS('Daily Writing Log'!$I$5:$I$34,'Daily Writing Log'!$A$5:$A$34,$A84)</f>
        <v>0</v>
      </c>
      <c r="D84" s="108">
        <f ca="1">IF($C84&gt;=Config!$B$5,1,0)</f>
        <v>0</v>
      </c>
      <c r="E84" s="108">
        <f t="shared" ca="1" si="8"/>
        <v>0</v>
      </c>
      <c r="F84" s="108">
        <f ca="1">IF(AND($D84=0,$H83&gt;0,$E84&lt;Config!$B$8,$A84&lt;Config!$A$2),1,0)</f>
        <v>0</v>
      </c>
      <c r="G84" s="108">
        <f t="shared" ca="1" si="9"/>
        <v>0</v>
      </c>
      <c r="H84" s="108">
        <f ca="1">IF($D84=1,$H83+1,IF($F84=1,$H83,IF($A84=Config!$A$2,$H83,0)))</f>
        <v>0</v>
      </c>
      <c r="M84" s="109"/>
    </row>
    <row r="85" spans="1:13" x14ac:dyDescent="0.3">
      <c r="A85" s="106">
        <f t="shared" ca="1" si="7"/>
        <v>45663</v>
      </c>
      <c r="B85" s="107">
        <f ca="1">SUMIFS('Daily Writing Log'!$H$5:$H$34,'Daily Writing Log'!$A$5:$A$34,$A85)</f>
        <v>0</v>
      </c>
      <c r="C85" s="107">
        <f ca="1">SUMIFS('Daily Writing Log'!$I$5:$I$34,'Daily Writing Log'!$A$5:$A$34,$A85)</f>
        <v>0</v>
      </c>
      <c r="D85" s="108">
        <f ca="1">IF($C85&gt;=Config!$B$5,1,0)</f>
        <v>0</v>
      </c>
      <c r="E85" s="108">
        <f t="shared" ca="1" si="8"/>
        <v>0</v>
      </c>
      <c r="F85" s="108">
        <f ca="1">IF(AND($D85=0,$H84&gt;0,$E85&lt;Config!$B$8,$A85&lt;Config!$A$2),1,0)</f>
        <v>0</v>
      </c>
      <c r="G85" s="108">
        <f t="shared" ca="1" si="9"/>
        <v>0</v>
      </c>
      <c r="H85" s="108">
        <f ca="1">IF($D85=1,$H84+1,IF($F85=1,$H84,IF($A85=Config!$A$2,$H84,0)))</f>
        <v>0</v>
      </c>
      <c r="M85" s="109"/>
    </row>
    <row r="86" spans="1:13" x14ac:dyDescent="0.3">
      <c r="A86" s="106">
        <f t="shared" ca="1" si="7"/>
        <v>45664</v>
      </c>
      <c r="B86" s="107">
        <f ca="1">SUMIFS('Daily Writing Log'!$H$5:$H$34,'Daily Writing Log'!$A$5:$A$34,$A86)</f>
        <v>0</v>
      </c>
      <c r="C86" s="107">
        <f ca="1">SUMIFS('Daily Writing Log'!$I$5:$I$34,'Daily Writing Log'!$A$5:$A$34,$A86)</f>
        <v>0</v>
      </c>
      <c r="D86" s="108">
        <f ca="1">IF($C86&gt;=Config!$B$5,1,0)</f>
        <v>0</v>
      </c>
      <c r="E86" s="108">
        <f t="shared" ca="1" si="8"/>
        <v>0</v>
      </c>
      <c r="F86" s="108">
        <f ca="1">IF(AND($D86=0,$H85&gt;0,$E86&lt;Config!$B$8,$A86&lt;Config!$A$2),1,0)</f>
        <v>0</v>
      </c>
      <c r="G86" s="108">
        <f t="shared" ca="1" si="9"/>
        <v>0</v>
      </c>
      <c r="H86" s="108">
        <f ca="1">IF($D86=1,$H85+1,IF($F86=1,$H85,IF($A86=Config!$A$2,$H85,0)))</f>
        <v>0</v>
      </c>
      <c r="M86" s="109"/>
    </row>
    <row r="87" spans="1:13" x14ac:dyDescent="0.3">
      <c r="A87" s="106">
        <f t="shared" ca="1" si="7"/>
        <v>45665</v>
      </c>
      <c r="B87" s="107">
        <f ca="1">SUMIFS('Daily Writing Log'!$H$5:$H$34,'Daily Writing Log'!$A$5:$A$34,$A87)</f>
        <v>0</v>
      </c>
      <c r="C87" s="107">
        <f ca="1">SUMIFS('Daily Writing Log'!$I$5:$I$34,'Daily Writing Log'!$A$5:$A$34,$A87)</f>
        <v>0</v>
      </c>
      <c r="D87" s="108">
        <f ca="1">IF($C87&gt;=Config!$B$5,1,0)</f>
        <v>0</v>
      </c>
      <c r="E87" s="108">
        <f t="shared" ca="1" si="8"/>
        <v>0</v>
      </c>
      <c r="F87" s="108">
        <f ca="1">IF(AND($D87=0,$H86&gt;0,$E87&lt;Config!$B$8,$A87&lt;Config!$A$2),1,0)</f>
        <v>0</v>
      </c>
      <c r="G87" s="108">
        <f t="shared" ca="1" si="9"/>
        <v>0</v>
      </c>
      <c r="H87" s="108">
        <f ca="1">IF($D87=1,$H86+1,IF($F87=1,$H86,IF($A87=Config!$A$2,$H86,0)))</f>
        <v>0</v>
      </c>
      <c r="M87" s="109"/>
    </row>
    <row r="88" spans="1:13" x14ac:dyDescent="0.3">
      <c r="A88" s="106">
        <f t="shared" ca="1" si="7"/>
        <v>45666</v>
      </c>
      <c r="B88" s="107">
        <f ca="1">SUMIFS('Daily Writing Log'!$H$5:$H$34,'Daily Writing Log'!$A$5:$A$34,$A88)</f>
        <v>0</v>
      </c>
      <c r="C88" s="107">
        <f ca="1">SUMIFS('Daily Writing Log'!$I$5:$I$34,'Daily Writing Log'!$A$5:$A$34,$A88)</f>
        <v>0</v>
      </c>
      <c r="D88" s="108">
        <f ca="1">IF($C88&gt;=Config!$B$5,1,0)</f>
        <v>0</v>
      </c>
      <c r="E88" s="108">
        <f t="shared" ca="1" si="8"/>
        <v>0</v>
      </c>
      <c r="F88" s="108">
        <f ca="1">IF(AND($D88=0,$H87&gt;0,$E88&lt;Config!$B$8,$A88&lt;Config!$A$2),1,0)</f>
        <v>0</v>
      </c>
      <c r="G88" s="108">
        <f t="shared" ca="1" si="9"/>
        <v>0</v>
      </c>
      <c r="H88" s="108">
        <f ca="1">IF($D88=1,$H87+1,IF($F88=1,$H87,IF($A88=Config!$A$2,$H87,0)))</f>
        <v>0</v>
      </c>
      <c r="M88" s="109"/>
    </row>
    <row r="89" spans="1:13" x14ac:dyDescent="0.3">
      <c r="A89" s="106">
        <f t="shared" ca="1" si="7"/>
        <v>45667</v>
      </c>
      <c r="B89" s="107">
        <f ca="1">SUMIFS('Daily Writing Log'!$H$5:$H$34,'Daily Writing Log'!$A$5:$A$34,$A89)</f>
        <v>0</v>
      </c>
      <c r="C89" s="107">
        <f ca="1">SUMIFS('Daily Writing Log'!$I$5:$I$34,'Daily Writing Log'!$A$5:$A$34,$A89)</f>
        <v>0</v>
      </c>
      <c r="D89" s="108">
        <f ca="1">IF($C89&gt;=Config!$B$5,1,0)</f>
        <v>0</v>
      </c>
      <c r="E89" s="108">
        <f t="shared" ca="1" si="8"/>
        <v>0</v>
      </c>
      <c r="F89" s="108">
        <f ca="1">IF(AND($D89=0,$H88&gt;0,$E89&lt;Config!$B$8,$A89&lt;Config!$A$2),1,0)</f>
        <v>0</v>
      </c>
      <c r="G89" s="108">
        <f t="shared" ca="1" si="9"/>
        <v>0</v>
      </c>
      <c r="H89" s="108">
        <f ca="1">IF($D89=1,$H88+1,IF($F89=1,$H88,IF($A89=Config!$A$2,$H88,0)))</f>
        <v>0</v>
      </c>
      <c r="M89" s="109"/>
    </row>
    <row r="90" spans="1:13" x14ac:dyDescent="0.3">
      <c r="A90" s="106">
        <f t="shared" ca="1" si="7"/>
        <v>45668</v>
      </c>
      <c r="B90" s="107">
        <f ca="1">SUMIFS('Daily Writing Log'!$H$5:$H$34,'Daily Writing Log'!$A$5:$A$34,$A90)</f>
        <v>0</v>
      </c>
      <c r="C90" s="107">
        <f ca="1">SUMIFS('Daily Writing Log'!$I$5:$I$34,'Daily Writing Log'!$A$5:$A$34,$A90)</f>
        <v>0</v>
      </c>
      <c r="D90" s="108">
        <f ca="1">IF($C90&gt;=Config!$B$5,1,0)</f>
        <v>0</v>
      </c>
      <c r="E90" s="108">
        <f t="shared" ca="1" si="8"/>
        <v>0</v>
      </c>
      <c r="F90" s="108">
        <f ca="1">IF(AND($D90=0,$H89&gt;0,$E90&lt;Config!$B$8,$A90&lt;Config!$A$2),1,0)</f>
        <v>0</v>
      </c>
      <c r="G90" s="108">
        <f t="shared" ca="1" si="9"/>
        <v>0</v>
      </c>
      <c r="H90" s="108">
        <f ca="1">IF($D90=1,$H89+1,IF($F90=1,$H89,IF($A90=Config!$A$2,$H89,0)))</f>
        <v>0</v>
      </c>
      <c r="M90" s="109"/>
    </row>
    <row r="91" spans="1:13" x14ac:dyDescent="0.3">
      <c r="A91" s="106">
        <f t="shared" ca="1" si="7"/>
        <v>45669</v>
      </c>
      <c r="B91" s="107">
        <f ca="1">SUMIFS('Daily Writing Log'!$H$5:$H$34,'Daily Writing Log'!$A$5:$A$34,$A91)</f>
        <v>0</v>
      </c>
      <c r="C91" s="107">
        <f ca="1">SUMIFS('Daily Writing Log'!$I$5:$I$34,'Daily Writing Log'!$A$5:$A$34,$A91)</f>
        <v>0</v>
      </c>
      <c r="D91" s="108">
        <f ca="1">IF($C91&gt;=Config!$B$5,1,0)</f>
        <v>0</v>
      </c>
      <c r="E91" s="108">
        <f t="shared" ca="1" si="8"/>
        <v>0</v>
      </c>
      <c r="F91" s="108">
        <f ca="1">IF(AND($D91=0,$H90&gt;0,$E91&lt;Config!$B$8,$A91&lt;Config!$A$2),1,0)</f>
        <v>0</v>
      </c>
      <c r="G91" s="108">
        <f t="shared" ca="1" si="9"/>
        <v>0</v>
      </c>
      <c r="H91" s="108">
        <f ca="1">IF($D91=1,$H90+1,IF($F91=1,$H90,IF($A91=Config!$A$2,$H90,0)))</f>
        <v>0</v>
      </c>
      <c r="M91" s="109"/>
    </row>
    <row r="92" spans="1:13" x14ac:dyDescent="0.3">
      <c r="A92" s="106">
        <f t="shared" ca="1" si="7"/>
        <v>45670</v>
      </c>
      <c r="B92" s="107">
        <f ca="1">SUMIFS('Daily Writing Log'!$H$5:$H$34,'Daily Writing Log'!$A$5:$A$34,$A92)</f>
        <v>0</v>
      </c>
      <c r="C92" s="107">
        <f ca="1">SUMIFS('Daily Writing Log'!$I$5:$I$34,'Daily Writing Log'!$A$5:$A$34,$A92)</f>
        <v>0</v>
      </c>
      <c r="D92" s="108">
        <f ca="1">IF($C92&gt;=Config!$B$5,1,0)</f>
        <v>0</v>
      </c>
      <c r="E92" s="108">
        <f t="shared" ca="1" si="8"/>
        <v>0</v>
      </c>
      <c r="F92" s="108">
        <f ca="1">IF(AND($D92=0,$H91&gt;0,$E92&lt;Config!$B$8,$A92&lt;Config!$A$2),1,0)</f>
        <v>0</v>
      </c>
      <c r="G92" s="108">
        <f t="shared" ca="1" si="9"/>
        <v>0</v>
      </c>
      <c r="H92" s="108">
        <f ca="1">IF($D92=1,$H91+1,IF($F92=1,$H91,IF($A92=Config!$A$2,$H91,0)))</f>
        <v>0</v>
      </c>
      <c r="M92" s="109"/>
    </row>
    <row r="93" spans="1:13" x14ac:dyDescent="0.3">
      <c r="A93" s="106">
        <f t="shared" ca="1" si="7"/>
        <v>45671</v>
      </c>
      <c r="B93" s="107">
        <f ca="1">SUMIFS('Daily Writing Log'!$H$5:$H$34,'Daily Writing Log'!$A$5:$A$34,$A93)</f>
        <v>0</v>
      </c>
      <c r="C93" s="107">
        <f ca="1">SUMIFS('Daily Writing Log'!$I$5:$I$34,'Daily Writing Log'!$A$5:$A$34,$A93)</f>
        <v>0</v>
      </c>
      <c r="D93" s="108">
        <f ca="1">IF($C93&gt;=Config!$B$5,1,0)</f>
        <v>0</v>
      </c>
      <c r="E93" s="108">
        <f t="shared" ca="1" si="8"/>
        <v>0</v>
      </c>
      <c r="F93" s="108">
        <f ca="1">IF(AND($D93=0,$H92&gt;0,$E93&lt;Config!$B$8,$A93&lt;Config!$A$2),1,0)</f>
        <v>0</v>
      </c>
      <c r="G93" s="108">
        <f t="shared" ca="1" si="9"/>
        <v>0</v>
      </c>
      <c r="H93" s="108">
        <f ca="1">IF($D93=1,$H92+1,IF($F93=1,$H92,IF($A93=Config!$A$2,$H92,0)))</f>
        <v>0</v>
      </c>
      <c r="M93" s="109"/>
    </row>
    <row r="94" spans="1:13" x14ac:dyDescent="0.3">
      <c r="A94" s="106">
        <f t="shared" ca="1" si="7"/>
        <v>45672</v>
      </c>
      <c r="B94" s="107">
        <f ca="1">SUMIFS('Daily Writing Log'!$H$5:$H$34,'Daily Writing Log'!$A$5:$A$34,$A94)</f>
        <v>0</v>
      </c>
      <c r="C94" s="107">
        <f ca="1">SUMIFS('Daily Writing Log'!$I$5:$I$34,'Daily Writing Log'!$A$5:$A$34,$A94)</f>
        <v>0</v>
      </c>
      <c r="D94" s="108">
        <f ca="1">IF($C94&gt;=Config!$B$5,1,0)</f>
        <v>0</v>
      </c>
      <c r="E94" s="108">
        <f t="shared" ca="1" si="8"/>
        <v>0</v>
      </c>
      <c r="F94" s="108">
        <f ca="1">IF(AND($D94=0,$H93&gt;0,$E94&lt;Config!$B$8,$A94&lt;Config!$A$2),1,0)</f>
        <v>0</v>
      </c>
      <c r="G94" s="108">
        <f t="shared" ca="1" si="9"/>
        <v>0</v>
      </c>
      <c r="H94" s="108">
        <f ca="1">IF($D94=1,$H93+1,IF($F94=1,$H93,IF($A94=Config!$A$2,$H93,0)))</f>
        <v>0</v>
      </c>
      <c r="M94" s="109"/>
    </row>
    <row r="95" spans="1:13" x14ac:dyDescent="0.3">
      <c r="A95" s="106">
        <f t="shared" ca="1" si="7"/>
        <v>45673</v>
      </c>
      <c r="B95" s="107">
        <f ca="1">SUMIFS('Daily Writing Log'!$H$5:$H$34,'Daily Writing Log'!$A$5:$A$34,$A95)</f>
        <v>0</v>
      </c>
      <c r="C95" s="107">
        <f ca="1">SUMIFS('Daily Writing Log'!$I$5:$I$34,'Daily Writing Log'!$A$5:$A$34,$A95)</f>
        <v>0</v>
      </c>
      <c r="D95" s="108">
        <f ca="1">IF($C95&gt;=Config!$B$5,1,0)</f>
        <v>0</v>
      </c>
      <c r="E95" s="108">
        <f t="shared" ca="1" si="8"/>
        <v>0</v>
      </c>
      <c r="F95" s="108">
        <f ca="1">IF(AND($D95=0,$H94&gt;0,$E95&lt;Config!$B$8,$A95&lt;Config!$A$2),1,0)</f>
        <v>0</v>
      </c>
      <c r="G95" s="108">
        <f t="shared" ca="1" si="9"/>
        <v>0</v>
      </c>
      <c r="H95" s="108">
        <f ca="1">IF($D95=1,$H94+1,IF($F95=1,$H94,IF($A95=Config!$A$2,$H94,0)))</f>
        <v>0</v>
      </c>
      <c r="M95" s="109"/>
    </row>
    <row r="96" spans="1:13" x14ac:dyDescent="0.3">
      <c r="A96" s="106">
        <f t="shared" ca="1" si="7"/>
        <v>45674</v>
      </c>
      <c r="B96" s="107">
        <f ca="1">SUMIFS('Daily Writing Log'!$H$5:$H$34,'Daily Writing Log'!$A$5:$A$34,$A96)</f>
        <v>0</v>
      </c>
      <c r="C96" s="107">
        <f ca="1">SUMIFS('Daily Writing Log'!$I$5:$I$34,'Daily Writing Log'!$A$5:$A$34,$A96)</f>
        <v>0</v>
      </c>
      <c r="D96" s="108">
        <f ca="1">IF($C96&gt;=Config!$B$5,1,0)</f>
        <v>0</v>
      </c>
      <c r="E96" s="108">
        <f t="shared" ca="1" si="8"/>
        <v>0</v>
      </c>
      <c r="F96" s="108">
        <f ca="1">IF(AND($D96=0,$H95&gt;0,$E96&lt;Config!$B$8,$A96&lt;Config!$A$2),1,0)</f>
        <v>0</v>
      </c>
      <c r="G96" s="108">
        <f t="shared" ca="1" si="9"/>
        <v>0</v>
      </c>
      <c r="H96" s="108">
        <f ca="1">IF($D96=1,$H95+1,IF($F96=1,$H95,IF($A96=Config!$A$2,$H95,0)))</f>
        <v>0</v>
      </c>
      <c r="M96" s="109"/>
    </row>
    <row r="97" spans="1:13" x14ac:dyDescent="0.3">
      <c r="A97" s="106">
        <f t="shared" ca="1" si="7"/>
        <v>45675</v>
      </c>
      <c r="B97" s="107">
        <f ca="1">SUMIFS('Daily Writing Log'!$H$5:$H$34,'Daily Writing Log'!$A$5:$A$34,$A97)</f>
        <v>0</v>
      </c>
      <c r="C97" s="107">
        <f ca="1">SUMIFS('Daily Writing Log'!$I$5:$I$34,'Daily Writing Log'!$A$5:$A$34,$A97)</f>
        <v>0</v>
      </c>
      <c r="D97" s="108">
        <f ca="1">IF($C97&gt;=Config!$B$5,1,0)</f>
        <v>0</v>
      </c>
      <c r="E97" s="108">
        <f t="shared" ca="1" si="8"/>
        <v>0</v>
      </c>
      <c r="F97" s="108">
        <f ca="1">IF(AND($D97=0,$H96&gt;0,$E97&lt;Config!$B$8,$A97&lt;Config!$A$2),1,0)</f>
        <v>0</v>
      </c>
      <c r="G97" s="108">
        <f t="shared" ca="1" si="9"/>
        <v>0</v>
      </c>
      <c r="H97" s="108">
        <f ca="1">IF($D97=1,$H96+1,IF($F97=1,$H96,IF($A97=Config!$A$2,$H96,0)))</f>
        <v>0</v>
      </c>
      <c r="M97" s="109"/>
    </row>
    <row r="98" spans="1:13" x14ac:dyDescent="0.3">
      <c r="A98" s="106">
        <f t="shared" ca="1" si="7"/>
        <v>45676</v>
      </c>
      <c r="B98" s="107">
        <f ca="1">SUMIFS('Daily Writing Log'!$H$5:$H$34,'Daily Writing Log'!$A$5:$A$34,$A98)</f>
        <v>0</v>
      </c>
      <c r="C98" s="107">
        <f ca="1">SUMIFS('Daily Writing Log'!$I$5:$I$34,'Daily Writing Log'!$A$5:$A$34,$A98)</f>
        <v>0</v>
      </c>
      <c r="D98" s="108">
        <f ca="1">IF($C98&gt;=Config!$B$5,1,0)</f>
        <v>0</v>
      </c>
      <c r="E98" s="108">
        <f t="shared" ca="1" si="8"/>
        <v>0</v>
      </c>
      <c r="F98" s="108">
        <f ca="1">IF(AND($D98=0,$H97&gt;0,$E98&lt;Config!$B$8,$A98&lt;Config!$A$2),1,0)</f>
        <v>0</v>
      </c>
      <c r="G98" s="108">
        <f t="shared" ca="1" si="9"/>
        <v>0</v>
      </c>
      <c r="H98" s="108">
        <f ca="1">IF($D98=1,$H97+1,IF($F98=1,$H97,IF($A98=Config!$A$2,$H97,0)))</f>
        <v>0</v>
      </c>
      <c r="M98" s="109"/>
    </row>
    <row r="99" spans="1:13" x14ac:dyDescent="0.3">
      <c r="A99" s="106">
        <f t="shared" ca="1" si="7"/>
        <v>45677</v>
      </c>
      <c r="B99" s="107">
        <f ca="1">SUMIFS('Daily Writing Log'!$H$5:$H$34,'Daily Writing Log'!$A$5:$A$34,$A99)</f>
        <v>0</v>
      </c>
      <c r="C99" s="107">
        <f ca="1">SUMIFS('Daily Writing Log'!$I$5:$I$34,'Daily Writing Log'!$A$5:$A$34,$A99)</f>
        <v>0</v>
      </c>
      <c r="D99" s="108">
        <f ca="1">IF($C99&gt;=Config!$B$5,1,0)</f>
        <v>0</v>
      </c>
      <c r="E99" s="108">
        <f t="shared" ca="1" si="8"/>
        <v>0</v>
      </c>
      <c r="F99" s="108">
        <f ca="1">IF(AND($D99=0,$H98&gt;0,$E99&lt;Config!$B$8,$A99&lt;Config!$A$2),1,0)</f>
        <v>0</v>
      </c>
      <c r="G99" s="108">
        <f t="shared" ca="1" si="9"/>
        <v>0</v>
      </c>
      <c r="H99" s="108">
        <f ca="1">IF($D99=1,$H98+1,IF($F99=1,$H98,IF($A99=Config!$A$2,$H98,0)))</f>
        <v>0</v>
      </c>
      <c r="M99" s="109"/>
    </row>
    <row r="100" spans="1:13" x14ac:dyDescent="0.3">
      <c r="A100" s="106">
        <f t="shared" ca="1" si="7"/>
        <v>45678</v>
      </c>
      <c r="B100" s="107">
        <f ca="1">SUMIFS('Daily Writing Log'!$H$5:$H$34,'Daily Writing Log'!$A$5:$A$34,$A100)</f>
        <v>0</v>
      </c>
      <c r="C100" s="107">
        <f ca="1">SUMIFS('Daily Writing Log'!$I$5:$I$34,'Daily Writing Log'!$A$5:$A$34,$A100)</f>
        <v>0</v>
      </c>
      <c r="D100" s="108">
        <f ca="1">IF($C100&gt;=Config!$B$5,1,0)</f>
        <v>0</v>
      </c>
      <c r="E100" s="108">
        <f t="shared" ca="1" si="8"/>
        <v>0</v>
      </c>
      <c r="F100" s="108">
        <f ca="1">IF(AND($D100=0,$H99&gt;0,$E100&lt;Config!$B$8,$A100&lt;Config!$A$2),1,0)</f>
        <v>0</v>
      </c>
      <c r="G100" s="108">
        <f t="shared" ca="1" si="9"/>
        <v>0</v>
      </c>
      <c r="H100" s="108">
        <f ca="1">IF($D100=1,$H99+1,IF($F100=1,$H99,IF($A100=Config!$A$2,$H99,0)))</f>
        <v>0</v>
      </c>
      <c r="M100" s="109"/>
    </row>
    <row r="101" spans="1:13" x14ac:dyDescent="0.3">
      <c r="A101" s="106">
        <f t="shared" ca="1" si="7"/>
        <v>45679</v>
      </c>
      <c r="B101" s="107">
        <f ca="1">SUMIFS('Daily Writing Log'!$H$5:$H$34,'Daily Writing Log'!$A$5:$A$34,$A101)</f>
        <v>0</v>
      </c>
      <c r="C101" s="107">
        <f ca="1">SUMIFS('Daily Writing Log'!$I$5:$I$34,'Daily Writing Log'!$A$5:$A$34,$A101)</f>
        <v>0</v>
      </c>
      <c r="D101" s="108">
        <f ca="1">IF($C101&gt;=Config!$B$5,1,0)</f>
        <v>0</v>
      </c>
      <c r="E101" s="108">
        <f t="shared" ca="1" si="8"/>
        <v>0</v>
      </c>
      <c r="F101" s="108">
        <f ca="1">IF(AND($D101=0,$H100&gt;0,$E101&lt;Config!$B$8,$A101&lt;Config!$A$2),1,0)</f>
        <v>0</v>
      </c>
      <c r="G101" s="108">
        <f t="shared" ca="1" si="9"/>
        <v>0</v>
      </c>
      <c r="H101" s="108">
        <f ca="1">IF($D101=1,$H100+1,IF($F101=1,$H100,IF($A101=Config!$A$2,$H100,0)))</f>
        <v>0</v>
      </c>
      <c r="M101" s="109"/>
    </row>
    <row r="102" spans="1:13" x14ac:dyDescent="0.3">
      <c r="A102" s="106">
        <f t="shared" ca="1" si="7"/>
        <v>45680</v>
      </c>
      <c r="B102" s="107">
        <f ca="1">SUMIFS('Daily Writing Log'!$H$5:$H$34,'Daily Writing Log'!$A$5:$A$34,$A102)</f>
        <v>0</v>
      </c>
      <c r="C102" s="107">
        <f ca="1">SUMIFS('Daily Writing Log'!$I$5:$I$34,'Daily Writing Log'!$A$5:$A$34,$A102)</f>
        <v>0</v>
      </c>
      <c r="D102" s="108">
        <f ca="1">IF($C102&gt;=Config!$B$5,1,0)</f>
        <v>0</v>
      </c>
      <c r="E102" s="108">
        <f t="shared" ca="1" si="8"/>
        <v>0</v>
      </c>
      <c r="F102" s="108">
        <f ca="1">IF(AND($D102=0,$H101&gt;0,$E102&lt;Config!$B$8,$A102&lt;Config!$A$2),1,0)</f>
        <v>0</v>
      </c>
      <c r="G102" s="108">
        <f t="shared" ca="1" si="9"/>
        <v>0</v>
      </c>
      <c r="H102" s="108">
        <f ca="1">IF($D102=1,$H101+1,IF($F102=1,$H101,IF($A102=Config!$A$2,$H101,0)))</f>
        <v>0</v>
      </c>
      <c r="M102" s="109"/>
    </row>
    <row r="103" spans="1:13" x14ac:dyDescent="0.3">
      <c r="A103" s="106">
        <f t="shared" ca="1" si="7"/>
        <v>45681</v>
      </c>
      <c r="B103" s="107">
        <f ca="1">SUMIFS('Daily Writing Log'!$H$5:$H$34,'Daily Writing Log'!$A$5:$A$34,$A103)</f>
        <v>0</v>
      </c>
      <c r="C103" s="107">
        <f ca="1">SUMIFS('Daily Writing Log'!$I$5:$I$34,'Daily Writing Log'!$A$5:$A$34,$A103)</f>
        <v>0</v>
      </c>
      <c r="D103" s="108">
        <f ca="1">IF($C103&gt;=Config!$B$5,1,0)</f>
        <v>0</v>
      </c>
      <c r="E103" s="108">
        <f t="shared" ca="1" si="8"/>
        <v>0</v>
      </c>
      <c r="F103" s="108">
        <f ca="1">IF(AND($D103=0,$H102&gt;0,$E103&lt;Config!$B$8,$A103&lt;Config!$A$2),1,0)</f>
        <v>0</v>
      </c>
      <c r="G103" s="108">
        <f t="shared" ca="1" si="9"/>
        <v>0</v>
      </c>
      <c r="H103" s="108">
        <f ca="1">IF($D103=1,$H102+1,IF($F103=1,$H102,IF($A103=Config!$A$2,$H102,0)))</f>
        <v>0</v>
      </c>
      <c r="M103" s="109"/>
    </row>
    <row r="104" spans="1:13" x14ac:dyDescent="0.3">
      <c r="A104" s="106">
        <f t="shared" ca="1" si="7"/>
        <v>45682</v>
      </c>
      <c r="B104" s="107">
        <f ca="1">SUMIFS('Daily Writing Log'!$H$5:$H$34,'Daily Writing Log'!$A$5:$A$34,$A104)</f>
        <v>0</v>
      </c>
      <c r="C104" s="107">
        <f ca="1">SUMIFS('Daily Writing Log'!$I$5:$I$34,'Daily Writing Log'!$A$5:$A$34,$A104)</f>
        <v>0</v>
      </c>
      <c r="D104" s="108">
        <f ca="1">IF($C104&gt;=Config!$B$5,1,0)</f>
        <v>0</v>
      </c>
      <c r="E104" s="108">
        <f t="shared" ca="1" si="8"/>
        <v>0</v>
      </c>
      <c r="F104" s="108">
        <f ca="1">IF(AND($D104=0,$H103&gt;0,$E104&lt;Config!$B$8,$A104&lt;Config!$A$2),1,0)</f>
        <v>0</v>
      </c>
      <c r="G104" s="108">
        <f t="shared" ca="1" si="9"/>
        <v>0</v>
      </c>
      <c r="H104" s="108">
        <f ca="1">IF($D104=1,$H103+1,IF($F104=1,$H103,IF($A104=Config!$A$2,$H103,0)))</f>
        <v>0</v>
      </c>
      <c r="M104" s="109"/>
    </row>
    <row r="105" spans="1:13" x14ac:dyDescent="0.3">
      <c r="A105" s="106">
        <f t="shared" ca="1" si="7"/>
        <v>45683</v>
      </c>
      <c r="B105" s="107">
        <f ca="1">SUMIFS('Daily Writing Log'!$H$5:$H$34,'Daily Writing Log'!$A$5:$A$34,$A105)</f>
        <v>0</v>
      </c>
      <c r="C105" s="107">
        <f ca="1">SUMIFS('Daily Writing Log'!$I$5:$I$34,'Daily Writing Log'!$A$5:$A$34,$A105)</f>
        <v>0</v>
      </c>
      <c r="D105" s="108">
        <f ca="1">IF($C105&gt;=Config!$B$5,1,0)</f>
        <v>0</v>
      </c>
      <c r="E105" s="108">
        <f t="shared" ca="1" si="8"/>
        <v>0</v>
      </c>
      <c r="F105" s="108">
        <f ca="1">IF(AND($D105=0,$H104&gt;0,$E105&lt;Config!$B$8,$A105&lt;Config!$A$2),1,0)</f>
        <v>0</v>
      </c>
      <c r="G105" s="108">
        <f t="shared" ca="1" si="9"/>
        <v>0</v>
      </c>
      <c r="H105" s="108">
        <f ca="1">IF($D105=1,$H104+1,IF($F105=1,$H104,IF($A105=Config!$A$2,$H104,0)))</f>
        <v>0</v>
      </c>
      <c r="M105" s="109"/>
    </row>
    <row r="106" spans="1:13" x14ac:dyDescent="0.3">
      <c r="A106" s="106">
        <f t="shared" ca="1" si="7"/>
        <v>45684</v>
      </c>
      <c r="B106" s="107">
        <f ca="1">SUMIFS('Daily Writing Log'!$H$5:$H$34,'Daily Writing Log'!$A$5:$A$34,$A106)</f>
        <v>0</v>
      </c>
      <c r="C106" s="107">
        <f ca="1">SUMIFS('Daily Writing Log'!$I$5:$I$34,'Daily Writing Log'!$A$5:$A$34,$A106)</f>
        <v>0</v>
      </c>
      <c r="D106" s="108">
        <f ca="1">IF($C106&gt;=Config!$B$5,1,0)</f>
        <v>0</v>
      </c>
      <c r="E106" s="108">
        <f t="shared" ca="1" si="8"/>
        <v>0</v>
      </c>
      <c r="F106" s="108">
        <f ca="1">IF(AND($D106=0,$H105&gt;0,$E106&lt;Config!$B$8,$A106&lt;Config!$A$2),1,0)</f>
        <v>0</v>
      </c>
      <c r="G106" s="108">
        <f t="shared" ca="1" si="9"/>
        <v>0</v>
      </c>
      <c r="H106" s="108">
        <f ca="1">IF($D106=1,$H105+1,IF($F106=1,$H105,IF($A106=Config!$A$2,$H105,0)))</f>
        <v>0</v>
      </c>
      <c r="M106" s="109"/>
    </row>
    <row r="107" spans="1:13" x14ac:dyDescent="0.3">
      <c r="A107" s="106">
        <f t="shared" ca="1" si="7"/>
        <v>45685</v>
      </c>
      <c r="B107" s="107">
        <f ca="1">SUMIFS('Daily Writing Log'!$H$5:$H$34,'Daily Writing Log'!$A$5:$A$34,$A107)</f>
        <v>0</v>
      </c>
      <c r="C107" s="107">
        <f ca="1">SUMIFS('Daily Writing Log'!$I$5:$I$34,'Daily Writing Log'!$A$5:$A$34,$A107)</f>
        <v>0</v>
      </c>
      <c r="D107" s="108">
        <f ca="1">IF($C107&gt;=Config!$B$5,1,0)</f>
        <v>0</v>
      </c>
      <c r="E107" s="108">
        <f t="shared" ca="1" si="8"/>
        <v>0</v>
      </c>
      <c r="F107" s="108">
        <f ca="1">IF(AND($D107=0,$H106&gt;0,$E107&lt;Config!$B$8,$A107&lt;Config!$A$2),1,0)</f>
        <v>0</v>
      </c>
      <c r="G107" s="108">
        <f t="shared" ca="1" si="9"/>
        <v>0</v>
      </c>
      <c r="H107" s="108">
        <f ca="1">IF($D107=1,$H106+1,IF($F107=1,$H106,IF($A107=Config!$A$2,$H106,0)))</f>
        <v>0</v>
      </c>
      <c r="M107" s="109"/>
    </row>
    <row r="108" spans="1:13" x14ac:dyDescent="0.3">
      <c r="A108" s="106">
        <f t="shared" ca="1" si="7"/>
        <v>45686</v>
      </c>
      <c r="B108" s="107">
        <f ca="1">SUMIFS('Daily Writing Log'!$H$5:$H$34,'Daily Writing Log'!$A$5:$A$34,$A108)</f>
        <v>0</v>
      </c>
      <c r="C108" s="107">
        <f ca="1">SUMIFS('Daily Writing Log'!$I$5:$I$34,'Daily Writing Log'!$A$5:$A$34,$A108)</f>
        <v>0</v>
      </c>
      <c r="D108" s="108">
        <f ca="1">IF($C108&gt;=Config!$B$5,1,0)</f>
        <v>0</v>
      </c>
      <c r="E108" s="108">
        <f t="shared" ca="1" si="8"/>
        <v>0</v>
      </c>
      <c r="F108" s="108">
        <f ca="1">IF(AND($D108=0,$H107&gt;0,$E108&lt;Config!$B$8,$A108&lt;Config!$A$2),1,0)</f>
        <v>0</v>
      </c>
      <c r="G108" s="108">
        <f t="shared" ca="1" si="9"/>
        <v>0</v>
      </c>
      <c r="H108" s="108">
        <f ca="1">IF($D108=1,$H107+1,IF($F108=1,$H107,IF($A108=Config!$A$2,$H107,0)))</f>
        <v>0</v>
      </c>
      <c r="M108" s="109"/>
    </row>
    <row r="109" spans="1:13" x14ac:dyDescent="0.3">
      <c r="A109" s="106">
        <f t="shared" ca="1" si="7"/>
        <v>45687</v>
      </c>
      <c r="B109" s="107">
        <f ca="1">SUMIFS('Daily Writing Log'!$H$5:$H$34,'Daily Writing Log'!$A$5:$A$34,$A109)</f>
        <v>0</v>
      </c>
      <c r="C109" s="107">
        <f ca="1">SUMIFS('Daily Writing Log'!$I$5:$I$34,'Daily Writing Log'!$A$5:$A$34,$A109)</f>
        <v>0</v>
      </c>
      <c r="D109" s="108">
        <f ca="1">IF($C109&gt;=Config!$B$5,1,0)</f>
        <v>0</v>
      </c>
      <c r="E109" s="108">
        <f t="shared" ca="1" si="8"/>
        <v>0</v>
      </c>
      <c r="F109" s="108">
        <f ca="1">IF(AND($D109=0,$H108&gt;0,$E109&lt;Config!$B$8,$A109&lt;Config!$A$2),1,0)</f>
        <v>0</v>
      </c>
      <c r="G109" s="108">
        <f t="shared" ca="1" si="9"/>
        <v>0</v>
      </c>
      <c r="H109" s="108">
        <f ca="1">IF($D109=1,$H108+1,IF($F109=1,$H108,IF($A109=Config!$A$2,$H108,0)))</f>
        <v>0</v>
      </c>
      <c r="M109" s="109"/>
    </row>
    <row r="110" spans="1:13" x14ac:dyDescent="0.3">
      <c r="A110" s="106">
        <f t="shared" ca="1" si="7"/>
        <v>45688</v>
      </c>
      <c r="B110" s="107">
        <f ca="1">SUMIFS('Daily Writing Log'!$H$5:$H$34,'Daily Writing Log'!$A$5:$A$34,$A110)</f>
        <v>0</v>
      </c>
      <c r="C110" s="107">
        <f ca="1">SUMIFS('Daily Writing Log'!$I$5:$I$34,'Daily Writing Log'!$A$5:$A$34,$A110)</f>
        <v>0</v>
      </c>
      <c r="D110" s="108">
        <f ca="1">IF($C110&gt;=Config!$B$5,1,0)</f>
        <v>0</v>
      </c>
      <c r="E110" s="108">
        <f t="shared" ca="1" si="8"/>
        <v>0</v>
      </c>
      <c r="F110" s="108">
        <f ca="1">IF(AND($D110=0,$H109&gt;0,$E110&lt;Config!$B$8,$A110&lt;Config!$A$2),1,0)</f>
        <v>0</v>
      </c>
      <c r="G110" s="108">
        <f t="shared" ca="1" si="9"/>
        <v>0</v>
      </c>
      <c r="H110" s="108">
        <f ca="1">IF($D110=1,$H109+1,IF($F110=1,$H109,IF($A110=Config!$A$2,$H109,0)))</f>
        <v>0</v>
      </c>
      <c r="M110" s="109"/>
    </row>
    <row r="111" spans="1:13" x14ac:dyDescent="0.3">
      <c r="A111" s="106">
        <f t="shared" ca="1" si="7"/>
        <v>45689</v>
      </c>
      <c r="B111" s="107">
        <f ca="1">SUMIFS('Daily Writing Log'!$H$5:$H$34,'Daily Writing Log'!$A$5:$A$34,$A111)</f>
        <v>0</v>
      </c>
      <c r="C111" s="107">
        <f ca="1">SUMIFS('Daily Writing Log'!$I$5:$I$34,'Daily Writing Log'!$A$5:$A$34,$A111)</f>
        <v>0</v>
      </c>
      <c r="D111" s="108">
        <f ca="1">IF($C111&gt;=Config!$B$5,1,0)</f>
        <v>0</v>
      </c>
      <c r="E111" s="108">
        <f t="shared" ca="1" si="8"/>
        <v>0</v>
      </c>
      <c r="F111" s="108">
        <f ca="1">IF(AND($D111=0,$H110&gt;0,$E111&lt;Config!$B$8,$A111&lt;Config!$A$2),1,0)</f>
        <v>0</v>
      </c>
      <c r="G111" s="108">
        <f t="shared" ca="1" si="9"/>
        <v>0</v>
      </c>
      <c r="H111" s="108">
        <f ca="1">IF($D111=1,$H110+1,IF($F111=1,$H110,IF($A111=Config!$A$2,$H110,0)))</f>
        <v>0</v>
      </c>
      <c r="M111" s="109"/>
    </row>
    <row r="112" spans="1:13" x14ac:dyDescent="0.3">
      <c r="A112" s="106">
        <f t="shared" ca="1" si="7"/>
        <v>45690</v>
      </c>
      <c r="B112" s="107">
        <f ca="1">SUMIFS('Daily Writing Log'!$H$5:$H$34,'Daily Writing Log'!$A$5:$A$34,$A112)</f>
        <v>0</v>
      </c>
      <c r="C112" s="107">
        <f ca="1">SUMIFS('Daily Writing Log'!$I$5:$I$34,'Daily Writing Log'!$A$5:$A$34,$A112)</f>
        <v>0</v>
      </c>
      <c r="D112" s="108">
        <f ca="1">IF($C112&gt;=Config!$B$5,1,0)</f>
        <v>0</v>
      </c>
      <c r="E112" s="108">
        <f t="shared" ca="1" si="8"/>
        <v>0</v>
      </c>
      <c r="F112" s="108">
        <f ca="1">IF(AND($D112=0,$H111&gt;0,$E112&lt;Config!$B$8,$A112&lt;Config!$A$2),1,0)</f>
        <v>0</v>
      </c>
      <c r="G112" s="108">
        <f t="shared" ca="1" si="9"/>
        <v>0</v>
      </c>
      <c r="H112" s="108">
        <f ca="1">IF($D112=1,$H111+1,IF($F112=1,$H111,IF($A112=Config!$A$2,$H111,0)))</f>
        <v>0</v>
      </c>
      <c r="M112" s="109"/>
    </row>
    <row r="113" spans="1:13" x14ac:dyDescent="0.3">
      <c r="A113" s="106">
        <f t="shared" ca="1" si="7"/>
        <v>45691</v>
      </c>
      <c r="B113" s="107">
        <f ca="1">SUMIFS('Daily Writing Log'!$H$5:$H$34,'Daily Writing Log'!$A$5:$A$34,$A113)</f>
        <v>0</v>
      </c>
      <c r="C113" s="107">
        <f ca="1">SUMIFS('Daily Writing Log'!$I$5:$I$34,'Daily Writing Log'!$A$5:$A$34,$A113)</f>
        <v>0</v>
      </c>
      <c r="D113" s="108">
        <f ca="1">IF($C113&gt;=Config!$B$5,1,0)</f>
        <v>0</v>
      </c>
      <c r="E113" s="108">
        <f t="shared" ca="1" si="8"/>
        <v>0</v>
      </c>
      <c r="F113" s="108">
        <f ca="1">IF(AND($D113=0,$H112&gt;0,$E113&lt;Config!$B$8,$A113&lt;Config!$A$2),1,0)</f>
        <v>0</v>
      </c>
      <c r="G113" s="108">
        <f t="shared" ca="1" si="9"/>
        <v>0</v>
      </c>
      <c r="H113" s="108">
        <f ca="1">IF($D113=1,$H112+1,IF($F113=1,$H112,IF($A113=Config!$A$2,$H112,0)))</f>
        <v>0</v>
      </c>
      <c r="M113" s="109"/>
    </row>
    <row r="114" spans="1:13" x14ac:dyDescent="0.3">
      <c r="A114" s="106">
        <f t="shared" ca="1" si="7"/>
        <v>45692</v>
      </c>
      <c r="B114" s="107">
        <f ca="1">SUMIFS('Daily Writing Log'!$H$5:$H$34,'Daily Writing Log'!$A$5:$A$34,$A114)</f>
        <v>0</v>
      </c>
      <c r="C114" s="107">
        <f ca="1">SUMIFS('Daily Writing Log'!$I$5:$I$34,'Daily Writing Log'!$A$5:$A$34,$A114)</f>
        <v>0</v>
      </c>
      <c r="D114" s="108">
        <f ca="1">IF($C114&gt;=Config!$B$5,1,0)</f>
        <v>0</v>
      </c>
      <c r="E114" s="108">
        <f t="shared" ca="1" si="8"/>
        <v>0</v>
      </c>
      <c r="F114" s="108">
        <f ca="1">IF(AND($D114=0,$H113&gt;0,$E114&lt;Config!$B$8,$A114&lt;Config!$A$2),1,0)</f>
        <v>0</v>
      </c>
      <c r="G114" s="108">
        <f t="shared" ca="1" si="9"/>
        <v>0</v>
      </c>
      <c r="H114" s="108">
        <f ca="1">IF($D114=1,$H113+1,IF($F114=1,$H113,IF($A114=Config!$A$2,$H113,0)))</f>
        <v>0</v>
      </c>
      <c r="M114" s="109"/>
    </row>
    <row r="115" spans="1:13" x14ac:dyDescent="0.3">
      <c r="A115" s="106">
        <f t="shared" ca="1" si="7"/>
        <v>45693</v>
      </c>
      <c r="B115" s="107">
        <f ca="1">SUMIFS('Daily Writing Log'!$H$5:$H$34,'Daily Writing Log'!$A$5:$A$34,$A115)</f>
        <v>0</v>
      </c>
      <c r="C115" s="107">
        <f ca="1">SUMIFS('Daily Writing Log'!$I$5:$I$34,'Daily Writing Log'!$A$5:$A$34,$A115)</f>
        <v>0</v>
      </c>
      <c r="D115" s="108">
        <f ca="1">IF($C115&gt;=Config!$B$5,1,0)</f>
        <v>0</v>
      </c>
      <c r="E115" s="108">
        <f t="shared" ca="1" si="8"/>
        <v>0</v>
      </c>
      <c r="F115" s="108">
        <f ca="1">IF(AND($D115=0,$H114&gt;0,$E115&lt;Config!$B$8,$A115&lt;Config!$A$2),1,0)</f>
        <v>0</v>
      </c>
      <c r="G115" s="108">
        <f t="shared" ca="1" si="9"/>
        <v>0</v>
      </c>
      <c r="H115" s="108">
        <f ca="1">IF($D115=1,$H114+1,IF($F115=1,$H114,IF($A115=Config!$A$2,$H114,0)))</f>
        <v>0</v>
      </c>
      <c r="M115" s="109"/>
    </row>
    <row r="116" spans="1:13" x14ac:dyDescent="0.3">
      <c r="A116" s="106">
        <f t="shared" ca="1" si="7"/>
        <v>45694</v>
      </c>
      <c r="B116" s="107">
        <f ca="1">SUMIFS('Daily Writing Log'!$H$5:$H$34,'Daily Writing Log'!$A$5:$A$34,$A116)</f>
        <v>0</v>
      </c>
      <c r="C116" s="107">
        <f ca="1">SUMIFS('Daily Writing Log'!$I$5:$I$34,'Daily Writing Log'!$A$5:$A$34,$A116)</f>
        <v>0</v>
      </c>
      <c r="D116" s="108">
        <f ca="1">IF($C116&gt;=Config!$B$5,1,0)</f>
        <v>0</v>
      </c>
      <c r="E116" s="108">
        <f t="shared" ca="1" si="8"/>
        <v>0</v>
      </c>
      <c r="F116" s="108">
        <f ca="1">IF(AND($D116=0,$H115&gt;0,$E116&lt;Config!$B$8,$A116&lt;Config!$A$2),1,0)</f>
        <v>0</v>
      </c>
      <c r="G116" s="108">
        <f t="shared" ca="1" si="9"/>
        <v>0</v>
      </c>
      <c r="H116" s="108">
        <f ca="1">IF($D116=1,$H115+1,IF($F116=1,$H115,IF($A116=Config!$A$2,$H115,0)))</f>
        <v>0</v>
      </c>
      <c r="M116" s="109"/>
    </row>
    <row r="117" spans="1:13" x14ac:dyDescent="0.3">
      <c r="A117" s="106">
        <f t="shared" ca="1" si="7"/>
        <v>45695</v>
      </c>
      <c r="B117" s="107">
        <f ca="1">SUMIFS('Daily Writing Log'!$H$5:$H$34,'Daily Writing Log'!$A$5:$A$34,$A117)</f>
        <v>0</v>
      </c>
      <c r="C117" s="107">
        <f ca="1">SUMIFS('Daily Writing Log'!$I$5:$I$34,'Daily Writing Log'!$A$5:$A$34,$A117)</f>
        <v>0</v>
      </c>
      <c r="D117" s="108">
        <f ca="1">IF($C117&gt;=Config!$B$5,1,0)</f>
        <v>0</v>
      </c>
      <c r="E117" s="108">
        <f t="shared" ca="1" si="8"/>
        <v>0</v>
      </c>
      <c r="F117" s="108">
        <f ca="1">IF(AND($D117=0,$H116&gt;0,$E117&lt;Config!$B$8,$A117&lt;Config!$A$2),1,0)</f>
        <v>0</v>
      </c>
      <c r="G117" s="108">
        <f t="shared" ca="1" si="9"/>
        <v>0</v>
      </c>
      <c r="H117" s="108">
        <f ca="1">IF($D117=1,$H116+1,IF($F117=1,$H116,IF($A117=Config!$A$2,$H116,0)))</f>
        <v>0</v>
      </c>
      <c r="M117" s="109"/>
    </row>
    <row r="118" spans="1:13" x14ac:dyDescent="0.3">
      <c r="A118" s="106">
        <f t="shared" ca="1" si="7"/>
        <v>45696</v>
      </c>
      <c r="B118" s="107">
        <f ca="1">SUMIFS('Daily Writing Log'!$H$5:$H$34,'Daily Writing Log'!$A$5:$A$34,$A118)</f>
        <v>0</v>
      </c>
      <c r="C118" s="107">
        <f ca="1">SUMIFS('Daily Writing Log'!$I$5:$I$34,'Daily Writing Log'!$A$5:$A$34,$A118)</f>
        <v>0</v>
      </c>
      <c r="D118" s="108">
        <f ca="1">IF($C118&gt;=Config!$B$5,1,0)</f>
        <v>0</v>
      </c>
      <c r="E118" s="108">
        <f t="shared" ca="1" si="8"/>
        <v>0</v>
      </c>
      <c r="F118" s="108">
        <f ca="1">IF(AND($D118=0,$H117&gt;0,$E118&lt;Config!$B$8,$A118&lt;Config!$A$2),1,0)</f>
        <v>0</v>
      </c>
      <c r="G118" s="108">
        <f t="shared" ca="1" si="9"/>
        <v>0</v>
      </c>
      <c r="H118" s="108">
        <f ca="1">IF($D118=1,$H117+1,IF($F118=1,$H117,IF($A118=Config!$A$2,$H117,0)))</f>
        <v>0</v>
      </c>
      <c r="M118" s="109"/>
    </row>
    <row r="119" spans="1:13" x14ac:dyDescent="0.3">
      <c r="A119" s="106">
        <f t="shared" ca="1" si="7"/>
        <v>45697</v>
      </c>
      <c r="B119" s="107">
        <f ca="1">SUMIFS('Daily Writing Log'!$H$5:$H$34,'Daily Writing Log'!$A$5:$A$34,$A119)</f>
        <v>0</v>
      </c>
      <c r="C119" s="107">
        <f ca="1">SUMIFS('Daily Writing Log'!$I$5:$I$34,'Daily Writing Log'!$A$5:$A$34,$A119)</f>
        <v>0</v>
      </c>
      <c r="D119" s="108">
        <f ca="1">IF($C119&gt;=Config!$B$5,1,0)</f>
        <v>0</v>
      </c>
      <c r="E119" s="108">
        <f t="shared" ca="1" si="8"/>
        <v>0</v>
      </c>
      <c r="F119" s="108">
        <f ca="1">IF(AND($D119=0,$H118&gt;0,$E119&lt;Config!$B$8,$A119&lt;Config!$A$2),1,0)</f>
        <v>0</v>
      </c>
      <c r="G119" s="108">
        <f t="shared" ca="1" si="9"/>
        <v>0</v>
      </c>
      <c r="H119" s="108">
        <f ca="1">IF($D119=1,$H118+1,IF($F119=1,$H118,IF($A119=Config!$A$2,$H118,0)))</f>
        <v>0</v>
      </c>
      <c r="M119" s="109"/>
    </row>
    <row r="120" spans="1:13" x14ac:dyDescent="0.3">
      <c r="A120" s="106">
        <f t="shared" ca="1" si="7"/>
        <v>45698</v>
      </c>
      <c r="B120" s="107">
        <f ca="1">SUMIFS('Daily Writing Log'!$H$5:$H$34,'Daily Writing Log'!$A$5:$A$34,$A120)</f>
        <v>0</v>
      </c>
      <c r="C120" s="107">
        <f ca="1">SUMIFS('Daily Writing Log'!$I$5:$I$34,'Daily Writing Log'!$A$5:$A$34,$A120)</f>
        <v>0</v>
      </c>
      <c r="D120" s="108">
        <f ca="1">IF($C120&gt;=Config!$B$5,1,0)</f>
        <v>0</v>
      </c>
      <c r="E120" s="108">
        <f t="shared" ca="1" si="8"/>
        <v>0</v>
      </c>
      <c r="F120" s="108">
        <f ca="1">IF(AND($D120=0,$H119&gt;0,$E120&lt;Config!$B$8,$A120&lt;Config!$A$2),1,0)</f>
        <v>0</v>
      </c>
      <c r="G120" s="108">
        <f t="shared" ca="1" si="9"/>
        <v>0</v>
      </c>
      <c r="H120" s="108">
        <f ca="1">IF($D120=1,$H119+1,IF($F120=1,$H119,IF($A120=Config!$A$2,$H119,0)))</f>
        <v>0</v>
      </c>
      <c r="M120" s="109"/>
    </row>
    <row r="121" spans="1:13" x14ac:dyDescent="0.3">
      <c r="A121" s="106">
        <f t="shared" ca="1" si="7"/>
        <v>45699</v>
      </c>
      <c r="B121" s="107">
        <f ca="1">SUMIFS('Daily Writing Log'!$H$5:$H$34,'Daily Writing Log'!$A$5:$A$34,$A121)</f>
        <v>0</v>
      </c>
      <c r="C121" s="107">
        <f ca="1">SUMIFS('Daily Writing Log'!$I$5:$I$34,'Daily Writing Log'!$A$5:$A$34,$A121)</f>
        <v>0</v>
      </c>
      <c r="D121" s="108">
        <f ca="1">IF($C121&gt;=Config!$B$5,1,0)</f>
        <v>0</v>
      </c>
      <c r="E121" s="108">
        <f t="shared" ca="1" si="8"/>
        <v>0</v>
      </c>
      <c r="F121" s="108">
        <f ca="1">IF(AND($D121=0,$H120&gt;0,$E121&lt;Config!$B$8,$A121&lt;Config!$A$2),1,0)</f>
        <v>0</v>
      </c>
      <c r="G121" s="108">
        <f t="shared" ca="1" si="9"/>
        <v>0</v>
      </c>
      <c r="H121" s="108">
        <f ca="1">IF($D121=1,$H120+1,IF($F121=1,$H120,IF($A121=Config!$A$2,$H120,0)))</f>
        <v>0</v>
      </c>
      <c r="M121" s="109"/>
    </row>
    <row r="122" spans="1:13" x14ac:dyDescent="0.3">
      <c r="A122" s="106">
        <f t="shared" ca="1" si="7"/>
        <v>45700</v>
      </c>
      <c r="B122" s="107">
        <f ca="1">SUMIFS('Daily Writing Log'!$H$5:$H$34,'Daily Writing Log'!$A$5:$A$34,$A122)</f>
        <v>0</v>
      </c>
      <c r="C122" s="107">
        <f ca="1">SUMIFS('Daily Writing Log'!$I$5:$I$34,'Daily Writing Log'!$A$5:$A$34,$A122)</f>
        <v>0</v>
      </c>
      <c r="D122" s="108">
        <f ca="1">IF($C122&gt;=Config!$B$5,1,0)</f>
        <v>0</v>
      </c>
      <c r="E122" s="108">
        <f t="shared" ca="1" si="8"/>
        <v>0</v>
      </c>
      <c r="F122" s="108">
        <f ca="1">IF(AND($D122=0,$H121&gt;0,$E122&lt;Config!$B$8,$A122&lt;Config!$A$2),1,0)</f>
        <v>0</v>
      </c>
      <c r="G122" s="108">
        <f t="shared" ca="1" si="9"/>
        <v>0</v>
      </c>
      <c r="H122" s="108">
        <f ca="1">IF($D122=1,$H121+1,IF($F122=1,$H121,IF($A122=Config!$A$2,$H121,0)))</f>
        <v>0</v>
      </c>
      <c r="M122" s="109"/>
    </row>
    <row r="123" spans="1:13" x14ac:dyDescent="0.3">
      <c r="A123" s="106">
        <f t="shared" ca="1" si="7"/>
        <v>45701</v>
      </c>
      <c r="B123" s="107">
        <f ca="1">SUMIFS('Daily Writing Log'!$H$5:$H$34,'Daily Writing Log'!$A$5:$A$34,$A123)</f>
        <v>0</v>
      </c>
      <c r="C123" s="107">
        <f ca="1">SUMIFS('Daily Writing Log'!$I$5:$I$34,'Daily Writing Log'!$A$5:$A$34,$A123)</f>
        <v>0</v>
      </c>
      <c r="D123" s="108">
        <f ca="1">IF($C123&gt;=Config!$B$5,1,0)</f>
        <v>0</v>
      </c>
      <c r="E123" s="108">
        <f t="shared" ca="1" si="8"/>
        <v>0</v>
      </c>
      <c r="F123" s="108">
        <f ca="1">IF(AND($D123=0,$H122&gt;0,$E123&lt;Config!$B$8,$A123&lt;Config!$A$2),1,0)</f>
        <v>0</v>
      </c>
      <c r="G123" s="108">
        <f t="shared" ca="1" si="9"/>
        <v>0</v>
      </c>
      <c r="H123" s="108">
        <f ca="1">IF($D123=1,$H122+1,IF($F123=1,$H122,IF($A123=Config!$A$2,$H122,0)))</f>
        <v>0</v>
      </c>
      <c r="M123" s="109"/>
    </row>
    <row r="124" spans="1:13" x14ac:dyDescent="0.3">
      <c r="A124" s="106">
        <f t="shared" ca="1" si="7"/>
        <v>45702</v>
      </c>
      <c r="B124" s="107">
        <f ca="1">SUMIFS('Daily Writing Log'!$H$5:$H$34,'Daily Writing Log'!$A$5:$A$34,$A124)</f>
        <v>0</v>
      </c>
      <c r="C124" s="107">
        <f ca="1">SUMIFS('Daily Writing Log'!$I$5:$I$34,'Daily Writing Log'!$A$5:$A$34,$A124)</f>
        <v>0</v>
      </c>
      <c r="D124" s="108">
        <f ca="1">IF($C124&gt;=Config!$B$5,1,0)</f>
        <v>0</v>
      </c>
      <c r="E124" s="108">
        <f t="shared" ca="1" si="8"/>
        <v>0</v>
      </c>
      <c r="F124" s="108">
        <f ca="1">IF(AND($D124=0,$H123&gt;0,$E124&lt;Config!$B$8,$A124&lt;Config!$A$2),1,0)</f>
        <v>0</v>
      </c>
      <c r="G124" s="108">
        <f t="shared" ca="1" si="9"/>
        <v>0</v>
      </c>
      <c r="H124" s="108">
        <f ca="1">IF($D124=1,$H123+1,IF($F124=1,$H123,IF($A124=Config!$A$2,$H123,0)))</f>
        <v>0</v>
      </c>
      <c r="M124" s="109"/>
    </row>
    <row r="125" spans="1:13" x14ac:dyDescent="0.3">
      <c r="A125" s="106">
        <f t="shared" ca="1" si="7"/>
        <v>45703</v>
      </c>
      <c r="B125" s="107">
        <f ca="1">SUMIFS('Daily Writing Log'!$H$5:$H$34,'Daily Writing Log'!$A$5:$A$34,$A125)</f>
        <v>0</v>
      </c>
      <c r="C125" s="107">
        <f ca="1">SUMIFS('Daily Writing Log'!$I$5:$I$34,'Daily Writing Log'!$A$5:$A$34,$A125)</f>
        <v>0</v>
      </c>
      <c r="D125" s="108">
        <f ca="1">IF($C125&gt;=Config!$B$5,1,0)</f>
        <v>0</v>
      </c>
      <c r="E125" s="108">
        <f t="shared" ca="1" si="8"/>
        <v>0</v>
      </c>
      <c r="F125" s="108">
        <f ca="1">IF(AND($D125=0,$H124&gt;0,$E125&lt;Config!$B$8,$A125&lt;Config!$A$2),1,0)</f>
        <v>0</v>
      </c>
      <c r="G125" s="108">
        <f t="shared" ca="1" si="9"/>
        <v>0</v>
      </c>
      <c r="H125" s="108">
        <f ca="1">IF($D125=1,$H124+1,IF($F125=1,$H124,IF($A125=Config!$A$2,$H124,0)))</f>
        <v>0</v>
      </c>
      <c r="M125" s="109"/>
    </row>
    <row r="126" spans="1:13" x14ac:dyDescent="0.3">
      <c r="A126" s="106">
        <f t="shared" ca="1" si="7"/>
        <v>45704</v>
      </c>
      <c r="B126" s="107">
        <f ca="1">SUMIFS('Daily Writing Log'!$H$5:$H$34,'Daily Writing Log'!$A$5:$A$34,$A126)</f>
        <v>0</v>
      </c>
      <c r="C126" s="107">
        <f ca="1">SUMIFS('Daily Writing Log'!$I$5:$I$34,'Daily Writing Log'!$A$5:$A$34,$A126)</f>
        <v>0</v>
      </c>
      <c r="D126" s="108">
        <f ca="1">IF($C126&gt;=Config!$B$5,1,0)</f>
        <v>0</v>
      </c>
      <c r="E126" s="108">
        <f t="shared" ca="1" si="8"/>
        <v>0</v>
      </c>
      <c r="F126" s="108">
        <f ca="1">IF(AND($D126=0,$H125&gt;0,$E126&lt;Config!$B$8,$A126&lt;Config!$A$2),1,0)</f>
        <v>0</v>
      </c>
      <c r="G126" s="108">
        <f t="shared" ca="1" si="9"/>
        <v>0</v>
      </c>
      <c r="H126" s="108">
        <f ca="1">IF($D126=1,$H125+1,IF($F126=1,$H125,IF($A126=Config!$A$2,$H125,0)))</f>
        <v>0</v>
      </c>
      <c r="M126" s="109"/>
    </row>
    <row r="127" spans="1:13" x14ac:dyDescent="0.3">
      <c r="A127" s="106">
        <f t="shared" ca="1" si="7"/>
        <v>45705</v>
      </c>
      <c r="B127" s="107">
        <f ca="1">SUMIFS('Daily Writing Log'!$H$5:$H$34,'Daily Writing Log'!$A$5:$A$34,$A127)</f>
        <v>0</v>
      </c>
      <c r="C127" s="107">
        <f ca="1">SUMIFS('Daily Writing Log'!$I$5:$I$34,'Daily Writing Log'!$A$5:$A$34,$A127)</f>
        <v>0</v>
      </c>
      <c r="D127" s="108">
        <f ca="1">IF($C127&gt;=Config!$B$5,1,0)</f>
        <v>0</v>
      </c>
      <c r="E127" s="108">
        <f t="shared" ca="1" si="8"/>
        <v>0</v>
      </c>
      <c r="F127" s="108">
        <f ca="1">IF(AND($D127=0,$H126&gt;0,$E127&lt;Config!$B$8,$A127&lt;Config!$A$2),1,0)</f>
        <v>0</v>
      </c>
      <c r="G127" s="108">
        <f t="shared" ca="1" si="9"/>
        <v>0</v>
      </c>
      <c r="H127" s="108">
        <f ca="1">IF($D127=1,$H126+1,IF($F127=1,$H126,IF($A127=Config!$A$2,$H126,0)))</f>
        <v>0</v>
      </c>
      <c r="M127" s="109"/>
    </row>
    <row r="128" spans="1:13" x14ac:dyDescent="0.3">
      <c r="A128" s="106">
        <f t="shared" ca="1" si="7"/>
        <v>45706</v>
      </c>
      <c r="B128" s="107">
        <f ca="1">SUMIFS('Daily Writing Log'!$H$5:$H$34,'Daily Writing Log'!$A$5:$A$34,$A128)</f>
        <v>0</v>
      </c>
      <c r="C128" s="107">
        <f ca="1">SUMIFS('Daily Writing Log'!$I$5:$I$34,'Daily Writing Log'!$A$5:$A$34,$A128)</f>
        <v>0</v>
      </c>
      <c r="D128" s="108">
        <f ca="1">IF($C128&gt;=Config!$B$5,1,0)</f>
        <v>0</v>
      </c>
      <c r="E128" s="108">
        <f t="shared" ca="1" si="8"/>
        <v>0</v>
      </c>
      <c r="F128" s="108">
        <f ca="1">IF(AND($D128=0,$H127&gt;0,$E128&lt;Config!$B$8,$A128&lt;Config!$A$2),1,0)</f>
        <v>0</v>
      </c>
      <c r="G128" s="108">
        <f t="shared" ca="1" si="9"/>
        <v>0</v>
      </c>
      <c r="H128" s="108">
        <f ca="1">IF($D128=1,$H127+1,IF($F128=1,$H127,IF($A128=Config!$A$2,$H127,0)))</f>
        <v>0</v>
      </c>
      <c r="M128" s="109"/>
    </row>
    <row r="129" spans="1:13" x14ac:dyDescent="0.3">
      <c r="A129" s="106">
        <f t="shared" ca="1" si="7"/>
        <v>45707</v>
      </c>
      <c r="B129" s="107">
        <f ca="1">SUMIFS('Daily Writing Log'!$H$5:$H$34,'Daily Writing Log'!$A$5:$A$34,$A129)</f>
        <v>0</v>
      </c>
      <c r="C129" s="107">
        <f ca="1">SUMIFS('Daily Writing Log'!$I$5:$I$34,'Daily Writing Log'!$A$5:$A$34,$A129)</f>
        <v>0</v>
      </c>
      <c r="D129" s="108">
        <f ca="1">IF($C129&gt;=Config!$B$5,1,0)</f>
        <v>0</v>
      </c>
      <c r="E129" s="108">
        <f t="shared" ca="1" si="8"/>
        <v>0</v>
      </c>
      <c r="F129" s="108">
        <f ca="1">IF(AND($D129=0,$H128&gt;0,$E129&lt;Config!$B$8,$A129&lt;Config!$A$2),1,0)</f>
        <v>0</v>
      </c>
      <c r="G129" s="108">
        <f t="shared" ca="1" si="9"/>
        <v>0</v>
      </c>
      <c r="H129" s="108">
        <f ca="1">IF($D129=1,$H128+1,IF($F129=1,$H128,IF($A129=Config!$A$2,$H128,0)))</f>
        <v>0</v>
      </c>
      <c r="M129" s="109"/>
    </row>
    <row r="130" spans="1:13" x14ac:dyDescent="0.3">
      <c r="A130" s="106">
        <f t="shared" ca="1" si="7"/>
        <v>45708</v>
      </c>
      <c r="B130" s="107">
        <f ca="1">SUMIFS('Daily Writing Log'!$H$5:$H$34,'Daily Writing Log'!$A$5:$A$34,$A130)</f>
        <v>0</v>
      </c>
      <c r="C130" s="107">
        <f ca="1">SUMIFS('Daily Writing Log'!$I$5:$I$34,'Daily Writing Log'!$A$5:$A$34,$A130)</f>
        <v>0</v>
      </c>
      <c r="D130" s="108">
        <f ca="1">IF($C130&gt;=Config!$B$5,1,0)</f>
        <v>0</v>
      </c>
      <c r="E130" s="108">
        <f t="shared" ca="1" si="8"/>
        <v>0</v>
      </c>
      <c r="F130" s="108">
        <f ca="1">IF(AND($D130=0,$H129&gt;0,$E130&lt;Config!$B$8,$A130&lt;Config!$A$2),1,0)</f>
        <v>0</v>
      </c>
      <c r="G130" s="108">
        <f t="shared" ca="1" si="9"/>
        <v>0</v>
      </c>
      <c r="H130" s="108">
        <f ca="1">IF($D130=1,$H129+1,IF($F130=1,$H129,IF($A130=Config!$A$2,$H129,0)))</f>
        <v>0</v>
      </c>
      <c r="M130" s="109"/>
    </row>
    <row r="131" spans="1:13" x14ac:dyDescent="0.3">
      <c r="A131" s="106">
        <f t="shared" ca="1" si="7"/>
        <v>45709</v>
      </c>
      <c r="B131" s="107">
        <f ca="1">SUMIFS('Daily Writing Log'!$H$5:$H$34,'Daily Writing Log'!$A$5:$A$34,$A131)</f>
        <v>0</v>
      </c>
      <c r="C131" s="107">
        <f ca="1">SUMIFS('Daily Writing Log'!$I$5:$I$34,'Daily Writing Log'!$A$5:$A$34,$A131)</f>
        <v>0</v>
      </c>
      <c r="D131" s="108">
        <f ca="1">IF($C131&gt;=Config!$B$5,1,0)</f>
        <v>0</v>
      </c>
      <c r="E131" s="108">
        <f t="shared" ca="1" si="8"/>
        <v>0</v>
      </c>
      <c r="F131" s="108">
        <f ca="1">IF(AND($D131=0,$H130&gt;0,$E131&lt;Config!$B$8,$A131&lt;Config!$A$2),1,0)</f>
        <v>0</v>
      </c>
      <c r="G131" s="108">
        <f t="shared" ca="1" si="9"/>
        <v>0</v>
      </c>
      <c r="H131" s="108">
        <f ca="1">IF($D131=1,$H130+1,IF($F131=1,$H130,IF($A131=Config!$A$2,$H130,0)))</f>
        <v>0</v>
      </c>
      <c r="M131" s="109"/>
    </row>
    <row r="132" spans="1:13" x14ac:dyDescent="0.3">
      <c r="A132" s="106">
        <f t="shared" ca="1" si="7"/>
        <v>45710</v>
      </c>
      <c r="B132" s="107">
        <f ca="1">SUMIFS('Daily Writing Log'!$H$5:$H$34,'Daily Writing Log'!$A$5:$A$34,$A132)</f>
        <v>0</v>
      </c>
      <c r="C132" s="107">
        <f ca="1">SUMIFS('Daily Writing Log'!$I$5:$I$34,'Daily Writing Log'!$A$5:$A$34,$A132)</f>
        <v>0</v>
      </c>
      <c r="D132" s="108">
        <f ca="1">IF($C132&gt;=Config!$B$5,1,0)</f>
        <v>0</v>
      </c>
      <c r="E132" s="108">
        <f t="shared" ca="1" si="8"/>
        <v>0</v>
      </c>
      <c r="F132" s="108">
        <f ca="1">IF(AND($D132=0,$H131&gt;0,$E132&lt;Config!$B$8,$A132&lt;Config!$A$2),1,0)</f>
        <v>0</v>
      </c>
      <c r="G132" s="108">
        <f t="shared" ca="1" si="9"/>
        <v>0</v>
      </c>
      <c r="H132" s="108">
        <f ca="1">IF($D132=1,$H131+1,IF($F132=1,$H131,IF($A132=Config!$A$2,$H131,0)))</f>
        <v>0</v>
      </c>
      <c r="M132" s="109"/>
    </row>
    <row r="133" spans="1:13" x14ac:dyDescent="0.3">
      <c r="A133" s="106">
        <f t="shared" ca="1" si="7"/>
        <v>45711</v>
      </c>
      <c r="B133" s="107">
        <f ca="1">SUMIFS('Daily Writing Log'!$H$5:$H$34,'Daily Writing Log'!$A$5:$A$34,$A133)</f>
        <v>0</v>
      </c>
      <c r="C133" s="107">
        <f ca="1">SUMIFS('Daily Writing Log'!$I$5:$I$34,'Daily Writing Log'!$A$5:$A$34,$A133)</f>
        <v>0</v>
      </c>
      <c r="D133" s="108">
        <f ca="1">IF($C133&gt;=Config!$B$5,1,0)</f>
        <v>0</v>
      </c>
      <c r="E133" s="108">
        <f t="shared" ca="1" si="8"/>
        <v>0</v>
      </c>
      <c r="F133" s="108">
        <f ca="1">IF(AND($D133=0,$H132&gt;0,$E133&lt;Config!$B$8,$A133&lt;Config!$A$2),1,0)</f>
        <v>0</v>
      </c>
      <c r="G133" s="108">
        <f t="shared" ca="1" si="9"/>
        <v>0</v>
      </c>
      <c r="H133" s="108">
        <f ca="1">IF($D133=1,$H132+1,IF($F133=1,$H132,IF($A133=Config!$A$2,$H132,0)))</f>
        <v>0</v>
      </c>
      <c r="M133" s="109"/>
    </row>
    <row r="134" spans="1:13" x14ac:dyDescent="0.3">
      <c r="A134" s="106">
        <f t="shared" ref="A134:A197" ca="1" si="10">A133+1</f>
        <v>45712</v>
      </c>
      <c r="B134" s="107">
        <f ca="1">SUMIFS('Daily Writing Log'!$H$5:$H$34,'Daily Writing Log'!$A$5:$A$34,$A134)</f>
        <v>0</v>
      </c>
      <c r="C134" s="107">
        <f ca="1">SUMIFS('Daily Writing Log'!$I$5:$I$34,'Daily Writing Log'!$A$5:$A$34,$A134)</f>
        <v>0</v>
      </c>
      <c r="D134" s="108">
        <f ca="1">IF($C134&gt;=Config!$B$5,1,0)</f>
        <v>0</v>
      </c>
      <c r="E134" s="108">
        <f t="shared" ref="E134:E197" ca="1" si="11">IF(MONTH($A134)&lt;&gt;MONTH($A133),0,$G133)</f>
        <v>0</v>
      </c>
      <c r="F134" s="108">
        <f ca="1">IF(AND($D134=0,$H133&gt;0,$E134&lt;Config!$B$8,$A134&lt;Config!$A$2),1,0)</f>
        <v>0</v>
      </c>
      <c r="G134" s="108">
        <f t="shared" ref="G134:G197" ca="1" si="12">$E134+$F134</f>
        <v>0</v>
      </c>
      <c r="H134" s="108">
        <f ca="1">IF($D134=1,$H133+1,IF($F134=1,$H133,IF($A134=Config!$A$2,$H133,0)))</f>
        <v>0</v>
      </c>
      <c r="M134" s="109"/>
    </row>
    <row r="135" spans="1:13" x14ac:dyDescent="0.3">
      <c r="A135" s="106">
        <f t="shared" ca="1" si="10"/>
        <v>45713</v>
      </c>
      <c r="B135" s="107">
        <f ca="1">SUMIFS('Daily Writing Log'!$H$5:$H$34,'Daily Writing Log'!$A$5:$A$34,$A135)</f>
        <v>0</v>
      </c>
      <c r="C135" s="107">
        <f ca="1">SUMIFS('Daily Writing Log'!$I$5:$I$34,'Daily Writing Log'!$A$5:$A$34,$A135)</f>
        <v>0</v>
      </c>
      <c r="D135" s="108">
        <f ca="1">IF($C135&gt;=Config!$B$5,1,0)</f>
        <v>0</v>
      </c>
      <c r="E135" s="108">
        <f t="shared" ca="1" si="11"/>
        <v>0</v>
      </c>
      <c r="F135" s="108">
        <f ca="1">IF(AND($D135=0,$H134&gt;0,$E135&lt;Config!$B$8,$A135&lt;Config!$A$2),1,0)</f>
        <v>0</v>
      </c>
      <c r="G135" s="108">
        <f t="shared" ca="1" si="12"/>
        <v>0</v>
      </c>
      <c r="H135" s="108">
        <f ca="1">IF($D135=1,$H134+1,IF($F135=1,$H134,IF($A135=Config!$A$2,$H134,0)))</f>
        <v>0</v>
      </c>
      <c r="M135" s="109"/>
    </row>
    <row r="136" spans="1:13" x14ac:dyDescent="0.3">
      <c r="A136" s="106">
        <f t="shared" ca="1" si="10"/>
        <v>45714</v>
      </c>
      <c r="B136" s="107">
        <f ca="1">SUMIFS('Daily Writing Log'!$H$5:$H$34,'Daily Writing Log'!$A$5:$A$34,$A136)</f>
        <v>0</v>
      </c>
      <c r="C136" s="107">
        <f ca="1">SUMIFS('Daily Writing Log'!$I$5:$I$34,'Daily Writing Log'!$A$5:$A$34,$A136)</f>
        <v>0</v>
      </c>
      <c r="D136" s="108">
        <f ca="1">IF($C136&gt;=Config!$B$5,1,0)</f>
        <v>0</v>
      </c>
      <c r="E136" s="108">
        <f t="shared" ca="1" si="11"/>
        <v>0</v>
      </c>
      <c r="F136" s="108">
        <f ca="1">IF(AND($D136=0,$H135&gt;0,$E136&lt;Config!$B$8,$A136&lt;Config!$A$2),1,0)</f>
        <v>0</v>
      </c>
      <c r="G136" s="108">
        <f t="shared" ca="1" si="12"/>
        <v>0</v>
      </c>
      <c r="H136" s="108">
        <f ca="1">IF($D136=1,$H135+1,IF($F136=1,$H135,IF($A136=Config!$A$2,$H135,0)))</f>
        <v>0</v>
      </c>
      <c r="M136" s="109"/>
    </row>
    <row r="137" spans="1:13" x14ac:dyDescent="0.3">
      <c r="A137" s="106">
        <f t="shared" ca="1" si="10"/>
        <v>45715</v>
      </c>
      <c r="B137" s="107">
        <f ca="1">SUMIFS('Daily Writing Log'!$H$5:$H$34,'Daily Writing Log'!$A$5:$A$34,$A137)</f>
        <v>0</v>
      </c>
      <c r="C137" s="107">
        <f ca="1">SUMIFS('Daily Writing Log'!$I$5:$I$34,'Daily Writing Log'!$A$5:$A$34,$A137)</f>
        <v>0</v>
      </c>
      <c r="D137" s="108">
        <f ca="1">IF($C137&gt;=Config!$B$5,1,0)</f>
        <v>0</v>
      </c>
      <c r="E137" s="108">
        <f t="shared" ca="1" si="11"/>
        <v>0</v>
      </c>
      <c r="F137" s="108">
        <f ca="1">IF(AND($D137=0,$H136&gt;0,$E137&lt;Config!$B$8,$A137&lt;Config!$A$2),1,0)</f>
        <v>0</v>
      </c>
      <c r="G137" s="108">
        <f t="shared" ca="1" si="12"/>
        <v>0</v>
      </c>
      <c r="H137" s="108">
        <f ca="1">IF($D137=1,$H136+1,IF($F137=1,$H136,IF($A137=Config!$A$2,$H136,0)))</f>
        <v>0</v>
      </c>
      <c r="M137" s="109"/>
    </row>
    <row r="138" spans="1:13" x14ac:dyDescent="0.3">
      <c r="A138" s="106">
        <f t="shared" ca="1" si="10"/>
        <v>45716</v>
      </c>
      <c r="B138" s="107">
        <f ca="1">SUMIFS('Daily Writing Log'!$H$5:$H$34,'Daily Writing Log'!$A$5:$A$34,$A138)</f>
        <v>0</v>
      </c>
      <c r="C138" s="107">
        <f ca="1">SUMIFS('Daily Writing Log'!$I$5:$I$34,'Daily Writing Log'!$A$5:$A$34,$A138)</f>
        <v>0</v>
      </c>
      <c r="D138" s="108">
        <f ca="1">IF($C138&gt;=Config!$B$5,1,0)</f>
        <v>0</v>
      </c>
      <c r="E138" s="108">
        <f t="shared" ca="1" si="11"/>
        <v>0</v>
      </c>
      <c r="F138" s="108">
        <f ca="1">IF(AND($D138=0,$H137&gt;0,$E138&lt;Config!$B$8,$A138&lt;Config!$A$2),1,0)</f>
        <v>0</v>
      </c>
      <c r="G138" s="108">
        <f t="shared" ca="1" si="12"/>
        <v>0</v>
      </c>
      <c r="H138" s="108">
        <f ca="1">IF($D138=1,$H137+1,IF($F138=1,$H137,IF($A138=Config!$A$2,$H137,0)))</f>
        <v>0</v>
      </c>
      <c r="M138" s="109"/>
    </row>
    <row r="139" spans="1:13" x14ac:dyDescent="0.3">
      <c r="A139" s="106">
        <f t="shared" ca="1" si="10"/>
        <v>45717</v>
      </c>
      <c r="B139" s="107">
        <f ca="1">SUMIFS('Daily Writing Log'!$H$5:$H$34,'Daily Writing Log'!$A$5:$A$34,$A139)</f>
        <v>0</v>
      </c>
      <c r="C139" s="107">
        <f ca="1">SUMIFS('Daily Writing Log'!$I$5:$I$34,'Daily Writing Log'!$A$5:$A$34,$A139)</f>
        <v>0</v>
      </c>
      <c r="D139" s="108">
        <f ca="1">IF($C139&gt;=Config!$B$5,1,0)</f>
        <v>0</v>
      </c>
      <c r="E139" s="108">
        <f t="shared" ca="1" si="11"/>
        <v>0</v>
      </c>
      <c r="F139" s="108">
        <f ca="1">IF(AND($D139=0,$H138&gt;0,$E139&lt;Config!$B$8,$A139&lt;Config!$A$2),1,0)</f>
        <v>0</v>
      </c>
      <c r="G139" s="108">
        <f t="shared" ca="1" si="12"/>
        <v>0</v>
      </c>
      <c r="H139" s="108">
        <f ca="1">IF($D139=1,$H138+1,IF($F139=1,$H138,IF($A139=Config!$A$2,$H138,0)))</f>
        <v>0</v>
      </c>
      <c r="M139" s="109"/>
    </row>
    <row r="140" spans="1:13" x14ac:dyDescent="0.3">
      <c r="A140" s="106">
        <f t="shared" ca="1" si="10"/>
        <v>45718</v>
      </c>
      <c r="B140" s="107">
        <f ca="1">SUMIFS('Daily Writing Log'!$H$5:$H$34,'Daily Writing Log'!$A$5:$A$34,$A140)</f>
        <v>0</v>
      </c>
      <c r="C140" s="107">
        <f ca="1">SUMIFS('Daily Writing Log'!$I$5:$I$34,'Daily Writing Log'!$A$5:$A$34,$A140)</f>
        <v>0</v>
      </c>
      <c r="D140" s="108">
        <f ca="1">IF($C140&gt;=Config!$B$5,1,0)</f>
        <v>0</v>
      </c>
      <c r="E140" s="108">
        <f t="shared" ca="1" si="11"/>
        <v>0</v>
      </c>
      <c r="F140" s="108">
        <f ca="1">IF(AND($D140=0,$H139&gt;0,$E140&lt;Config!$B$8,$A140&lt;Config!$A$2),1,0)</f>
        <v>0</v>
      </c>
      <c r="G140" s="108">
        <f t="shared" ca="1" si="12"/>
        <v>0</v>
      </c>
      <c r="H140" s="108">
        <f ca="1">IF($D140=1,$H139+1,IF($F140=1,$H139,IF($A140=Config!$A$2,$H139,0)))</f>
        <v>0</v>
      </c>
      <c r="M140" s="109"/>
    </row>
    <row r="141" spans="1:13" x14ac:dyDescent="0.3">
      <c r="A141" s="106">
        <f t="shared" ca="1" si="10"/>
        <v>45719</v>
      </c>
      <c r="B141" s="107">
        <f ca="1">SUMIFS('Daily Writing Log'!$H$5:$H$34,'Daily Writing Log'!$A$5:$A$34,$A141)</f>
        <v>0</v>
      </c>
      <c r="C141" s="107">
        <f ca="1">SUMIFS('Daily Writing Log'!$I$5:$I$34,'Daily Writing Log'!$A$5:$A$34,$A141)</f>
        <v>0</v>
      </c>
      <c r="D141" s="108">
        <f ca="1">IF($C141&gt;=Config!$B$5,1,0)</f>
        <v>0</v>
      </c>
      <c r="E141" s="108">
        <f t="shared" ca="1" si="11"/>
        <v>0</v>
      </c>
      <c r="F141" s="108">
        <f ca="1">IF(AND($D141=0,$H140&gt;0,$E141&lt;Config!$B$8,$A141&lt;Config!$A$2),1,0)</f>
        <v>0</v>
      </c>
      <c r="G141" s="108">
        <f t="shared" ca="1" si="12"/>
        <v>0</v>
      </c>
      <c r="H141" s="108">
        <f ca="1">IF($D141=1,$H140+1,IF($F141=1,$H140,IF($A141=Config!$A$2,$H140,0)))</f>
        <v>0</v>
      </c>
      <c r="M141" s="109"/>
    </row>
    <row r="142" spans="1:13" x14ac:dyDescent="0.3">
      <c r="A142" s="106">
        <f t="shared" ca="1" si="10"/>
        <v>45720</v>
      </c>
      <c r="B142" s="107">
        <f ca="1">SUMIFS('Daily Writing Log'!$H$5:$H$34,'Daily Writing Log'!$A$5:$A$34,$A142)</f>
        <v>0</v>
      </c>
      <c r="C142" s="107">
        <f ca="1">SUMIFS('Daily Writing Log'!$I$5:$I$34,'Daily Writing Log'!$A$5:$A$34,$A142)</f>
        <v>0</v>
      </c>
      <c r="D142" s="108">
        <f ca="1">IF($C142&gt;=Config!$B$5,1,0)</f>
        <v>0</v>
      </c>
      <c r="E142" s="108">
        <f t="shared" ca="1" si="11"/>
        <v>0</v>
      </c>
      <c r="F142" s="108">
        <f ca="1">IF(AND($D142=0,$H141&gt;0,$E142&lt;Config!$B$8,$A142&lt;Config!$A$2),1,0)</f>
        <v>0</v>
      </c>
      <c r="G142" s="108">
        <f t="shared" ca="1" si="12"/>
        <v>0</v>
      </c>
      <c r="H142" s="108">
        <f ca="1">IF($D142=1,$H141+1,IF($F142=1,$H141,IF($A142=Config!$A$2,$H141,0)))</f>
        <v>0</v>
      </c>
      <c r="M142" s="109"/>
    </row>
    <row r="143" spans="1:13" x14ac:dyDescent="0.3">
      <c r="A143" s="106">
        <f t="shared" ca="1" si="10"/>
        <v>45721</v>
      </c>
      <c r="B143" s="107">
        <f ca="1">SUMIFS('Daily Writing Log'!$H$5:$H$34,'Daily Writing Log'!$A$5:$A$34,$A143)</f>
        <v>0</v>
      </c>
      <c r="C143" s="107">
        <f ca="1">SUMIFS('Daily Writing Log'!$I$5:$I$34,'Daily Writing Log'!$A$5:$A$34,$A143)</f>
        <v>0</v>
      </c>
      <c r="D143" s="108">
        <f ca="1">IF($C143&gt;=Config!$B$5,1,0)</f>
        <v>0</v>
      </c>
      <c r="E143" s="108">
        <f t="shared" ca="1" si="11"/>
        <v>0</v>
      </c>
      <c r="F143" s="108">
        <f ca="1">IF(AND($D143=0,$H142&gt;0,$E143&lt;Config!$B$8,$A143&lt;Config!$A$2),1,0)</f>
        <v>0</v>
      </c>
      <c r="G143" s="108">
        <f t="shared" ca="1" si="12"/>
        <v>0</v>
      </c>
      <c r="H143" s="108">
        <f ca="1">IF($D143=1,$H142+1,IF($F143=1,$H142,IF($A143=Config!$A$2,$H142,0)))</f>
        <v>0</v>
      </c>
      <c r="M143" s="109"/>
    </row>
    <row r="144" spans="1:13" x14ac:dyDescent="0.3">
      <c r="A144" s="106">
        <f t="shared" ca="1" si="10"/>
        <v>45722</v>
      </c>
      <c r="B144" s="107">
        <f ca="1">SUMIFS('Daily Writing Log'!$H$5:$H$34,'Daily Writing Log'!$A$5:$A$34,$A144)</f>
        <v>0</v>
      </c>
      <c r="C144" s="107">
        <f ca="1">SUMIFS('Daily Writing Log'!$I$5:$I$34,'Daily Writing Log'!$A$5:$A$34,$A144)</f>
        <v>0</v>
      </c>
      <c r="D144" s="108">
        <f ca="1">IF($C144&gt;=Config!$B$5,1,0)</f>
        <v>0</v>
      </c>
      <c r="E144" s="108">
        <f t="shared" ca="1" si="11"/>
        <v>0</v>
      </c>
      <c r="F144" s="108">
        <f ca="1">IF(AND($D144=0,$H143&gt;0,$E144&lt;Config!$B$8,$A144&lt;Config!$A$2),1,0)</f>
        <v>0</v>
      </c>
      <c r="G144" s="108">
        <f t="shared" ca="1" si="12"/>
        <v>0</v>
      </c>
      <c r="H144" s="108">
        <f ca="1">IF($D144=1,$H143+1,IF($F144=1,$H143,IF($A144=Config!$A$2,$H143,0)))</f>
        <v>0</v>
      </c>
      <c r="M144" s="109"/>
    </row>
    <row r="145" spans="1:13" x14ac:dyDescent="0.3">
      <c r="A145" s="106">
        <f t="shared" ca="1" si="10"/>
        <v>45723</v>
      </c>
      <c r="B145" s="107">
        <f ca="1">SUMIFS('Daily Writing Log'!$H$5:$H$34,'Daily Writing Log'!$A$5:$A$34,$A145)</f>
        <v>0</v>
      </c>
      <c r="C145" s="107">
        <f ca="1">SUMIFS('Daily Writing Log'!$I$5:$I$34,'Daily Writing Log'!$A$5:$A$34,$A145)</f>
        <v>0</v>
      </c>
      <c r="D145" s="108">
        <f ca="1">IF($C145&gt;=Config!$B$5,1,0)</f>
        <v>0</v>
      </c>
      <c r="E145" s="108">
        <f t="shared" ca="1" si="11"/>
        <v>0</v>
      </c>
      <c r="F145" s="108">
        <f ca="1">IF(AND($D145=0,$H144&gt;0,$E145&lt;Config!$B$8,$A145&lt;Config!$A$2),1,0)</f>
        <v>0</v>
      </c>
      <c r="G145" s="108">
        <f t="shared" ca="1" si="12"/>
        <v>0</v>
      </c>
      <c r="H145" s="108">
        <f ca="1">IF($D145=1,$H144+1,IF($F145=1,$H144,IF($A145=Config!$A$2,$H144,0)))</f>
        <v>0</v>
      </c>
      <c r="M145" s="109"/>
    </row>
    <row r="146" spans="1:13" x14ac:dyDescent="0.3">
      <c r="A146" s="106">
        <f t="shared" ca="1" si="10"/>
        <v>45724</v>
      </c>
      <c r="B146" s="107">
        <f ca="1">SUMIFS('Daily Writing Log'!$H$5:$H$34,'Daily Writing Log'!$A$5:$A$34,$A146)</f>
        <v>0</v>
      </c>
      <c r="C146" s="107">
        <f ca="1">SUMIFS('Daily Writing Log'!$I$5:$I$34,'Daily Writing Log'!$A$5:$A$34,$A146)</f>
        <v>0</v>
      </c>
      <c r="D146" s="108">
        <f ca="1">IF($C146&gt;=Config!$B$5,1,0)</f>
        <v>0</v>
      </c>
      <c r="E146" s="108">
        <f t="shared" ca="1" si="11"/>
        <v>0</v>
      </c>
      <c r="F146" s="108">
        <f ca="1">IF(AND($D146=0,$H145&gt;0,$E146&lt;Config!$B$8,$A146&lt;Config!$A$2),1,0)</f>
        <v>0</v>
      </c>
      <c r="G146" s="108">
        <f t="shared" ca="1" si="12"/>
        <v>0</v>
      </c>
      <c r="H146" s="108">
        <f ca="1">IF($D146=1,$H145+1,IF($F146=1,$H145,IF($A146=Config!$A$2,$H145,0)))</f>
        <v>0</v>
      </c>
      <c r="M146" s="109"/>
    </row>
    <row r="147" spans="1:13" x14ac:dyDescent="0.3">
      <c r="A147" s="106">
        <f t="shared" ca="1" si="10"/>
        <v>45725</v>
      </c>
      <c r="B147" s="107">
        <f ca="1">SUMIFS('Daily Writing Log'!$H$5:$H$34,'Daily Writing Log'!$A$5:$A$34,$A147)</f>
        <v>0</v>
      </c>
      <c r="C147" s="107">
        <f ca="1">SUMIFS('Daily Writing Log'!$I$5:$I$34,'Daily Writing Log'!$A$5:$A$34,$A147)</f>
        <v>0</v>
      </c>
      <c r="D147" s="108">
        <f ca="1">IF($C147&gt;=Config!$B$5,1,0)</f>
        <v>0</v>
      </c>
      <c r="E147" s="108">
        <f t="shared" ca="1" si="11"/>
        <v>0</v>
      </c>
      <c r="F147" s="108">
        <f ca="1">IF(AND($D147=0,$H146&gt;0,$E147&lt;Config!$B$8,$A147&lt;Config!$A$2),1,0)</f>
        <v>0</v>
      </c>
      <c r="G147" s="108">
        <f t="shared" ca="1" si="12"/>
        <v>0</v>
      </c>
      <c r="H147" s="108">
        <f ca="1">IF($D147=1,$H146+1,IF($F147=1,$H146,IF($A147=Config!$A$2,$H146,0)))</f>
        <v>0</v>
      </c>
      <c r="M147" s="109"/>
    </row>
    <row r="148" spans="1:13" x14ac:dyDescent="0.3">
      <c r="A148" s="106">
        <f t="shared" ca="1" si="10"/>
        <v>45726</v>
      </c>
      <c r="B148" s="107">
        <f ca="1">SUMIFS('Daily Writing Log'!$H$5:$H$34,'Daily Writing Log'!$A$5:$A$34,$A148)</f>
        <v>0</v>
      </c>
      <c r="C148" s="107">
        <f ca="1">SUMIFS('Daily Writing Log'!$I$5:$I$34,'Daily Writing Log'!$A$5:$A$34,$A148)</f>
        <v>0</v>
      </c>
      <c r="D148" s="108">
        <f ca="1">IF($C148&gt;=Config!$B$5,1,0)</f>
        <v>0</v>
      </c>
      <c r="E148" s="108">
        <f t="shared" ca="1" si="11"/>
        <v>0</v>
      </c>
      <c r="F148" s="108">
        <f ca="1">IF(AND($D148=0,$H147&gt;0,$E148&lt;Config!$B$8,$A148&lt;Config!$A$2),1,0)</f>
        <v>0</v>
      </c>
      <c r="G148" s="108">
        <f t="shared" ca="1" si="12"/>
        <v>0</v>
      </c>
      <c r="H148" s="108">
        <f ca="1">IF($D148=1,$H147+1,IF($F148=1,$H147,IF($A148=Config!$A$2,$H147,0)))</f>
        <v>0</v>
      </c>
      <c r="M148" s="109"/>
    </row>
    <row r="149" spans="1:13" x14ac:dyDescent="0.3">
      <c r="A149" s="106">
        <f t="shared" ca="1" si="10"/>
        <v>45727</v>
      </c>
      <c r="B149" s="107">
        <f ca="1">SUMIFS('Daily Writing Log'!$H$5:$H$34,'Daily Writing Log'!$A$5:$A$34,$A149)</f>
        <v>0</v>
      </c>
      <c r="C149" s="107">
        <f ca="1">SUMIFS('Daily Writing Log'!$I$5:$I$34,'Daily Writing Log'!$A$5:$A$34,$A149)</f>
        <v>0</v>
      </c>
      <c r="D149" s="108">
        <f ca="1">IF($C149&gt;=Config!$B$5,1,0)</f>
        <v>0</v>
      </c>
      <c r="E149" s="108">
        <f t="shared" ca="1" si="11"/>
        <v>0</v>
      </c>
      <c r="F149" s="108">
        <f ca="1">IF(AND($D149=0,$H148&gt;0,$E149&lt;Config!$B$8,$A149&lt;Config!$A$2),1,0)</f>
        <v>0</v>
      </c>
      <c r="G149" s="108">
        <f t="shared" ca="1" si="12"/>
        <v>0</v>
      </c>
      <c r="H149" s="108">
        <f ca="1">IF($D149=1,$H148+1,IF($F149=1,$H148,IF($A149=Config!$A$2,$H148,0)))</f>
        <v>0</v>
      </c>
      <c r="M149" s="109"/>
    </row>
    <row r="150" spans="1:13" x14ac:dyDescent="0.3">
      <c r="A150" s="106">
        <f t="shared" ca="1" si="10"/>
        <v>45728</v>
      </c>
      <c r="B150" s="107">
        <f ca="1">SUMIFS('Daily Writing Log'!$H$5:$H$34,'Daily Writing Log'!$A$5:$A$34,$A150)</f>
        <v>0</v>
      </c>
      <c r="C150" s="107">
        <f ca="1">SUMIFS('Daily Writing Log'!$I$5:$I$34,'Daily Writing Log'!$A$5:$A$34,$A150)</f>
        <v>0</v>
      </c>
      <c r="D150" s="108">
        <f ca="1">IF($C150&gt;=Config!$B$5,1,0)</f>
        <v>0</v>
      </c>
      <c r="E150" s="108">
        <f t="shared" ca="1" si="11"/>
        <v>0</v>
      </c>
      <c r="F150" s="108">
        <f ca="1">IF(AND($D150=0,$H149&gt;0,$E150&lt;Config!$B$8,$A150&lt;Config!$A$2),1,0)</f>
        <v>0</v>
      </c>
      <c r="G150" s="108">
        <f t="shared" ca="1" si="12"/>
        <v>0</v>
      </c>
      <c r="H150" s="108">
        <f ca="1">IF($D150=1,$H149+1,IF($F150=1,$H149,IF($A150=Config!$A$2,$H149,0)))</f>
        <v>0</v>
      </c>
      <c r="M150" s="109"/>
    </row>
    <row r="151" spans="1:13" x14ac:dyDescent="0.3">
      <c r="A151" s="106">
        <f t="shared" ca="1" si="10"/>
        <v>45729</v>
      </c>
      <c r="B151" s="107">
        <f ca="1">SUMIFS('Daily Writing Log'!$H$5:$H$34,'Daily Writing Log'!$A$5:$A$34,$A151)</f>
        <v>0</v>
      </c>
      <c r="C151" s="107">
        <f ca="1">SUMIFS('Daily Writing Log'!$I$5:$I$34,'Daily Writing Log'!$A$5:$A$34,$A151)</f>
        <v>0</v>
      </c>
      <c r="D151" s="108">
        <f ca="1">IF($C151&gt;=Config!$B$5,1,0)</f>
        <v>0</v>
      </c>
      <c r="E151" s="108">
        <f t="shared" ca="1" si="11"/>
        <v>0</v>
      </c>
      <c r="F151" s="108">
        <f ca="1">IF(AND($D151=0,$H150&gt;0,$E151&lt;Config!$B$8,$A151&lt;Config!$A$2),1,0)</f>
        <v>0</v>
      </c>
      <c r="G151" s="108">
        <f t="shared" ca="1" si="12"/>
        <v>0</v>
      </c>
      <c r="H151" s="108">
        <f ca="1">IF($D151=1,$H150+1,IF($F151=1,$H150,IF($A151=Config!$A$2,$H150,0)))</f>
        <v>0</v>
      </c>
      <c r="M151" s="109"/>
    </row>
    <row r="152" spans="1:13" x14ac:dyDescent="0.3">
      <c r="A152" s="106">
        <f t="shared" ca="1" si="10"/>
        <v>45730</v>
      </c>
      <c r="B152" s="107">
        <f ca="1">SUMIFS('Daily Writing Log'!$H$5:$H$34,'Daily Writing Log'!$A$5:$A$34,$A152)</f>
        <v>0</v>
      </c>
      <c r="C152" s="107">
        <f ca="1">SUMIFS('Daily Writing Log'!$I$5:$I$34,'Daily Writing Log'!$A$5:$A$34,$A152)</f>
        <v>0</v>
      </c>
      <c r="D152" s="108">
        <f ca="1">IF($C152&gt;=Config!$B$5,1,0)</f>
        <v>0</v>
      </c>
      <c r="E152" s="108">
        <f t="shared" ca="1" si="11"/>
        <v>0</v>
      </c>
      <c r="F152" s="108">
        <f ca="1">IF(AND($D152=0,$H151&gt;0,$E152&lt;Config!$B$8,$A152&lt;Config!$A$2),1,0)</f>
        <v>0</v>
      </c>
      <c r="G152" s="108">
        <f t="shared" ca="1" si="12"/>
        <v>0</v>
      </c>
      <c r="H152" s="108">
        <f ca="1">IF($D152=1,$H151+1,IF($F152=1,$H151,IF($A152=Config!$A$2,$H151,0)))</f>
        <v>0</v>
      </c>
      <c r="M152" s="109"/>
    </row>
    <row r="153" spans="1:13" x14ac:dyDescent="0.3">
      <c r="A153" s="106">
        <f t="shared" ca="1" si="10"/>
        <v>45731</v>
      </c>
      <c r="B153" s="107">
        <f ca="1">SUMIFS('Daily Writing Log'!$H$5:$H$34,'Daily Writing Log'!$A$5:$A$34,$A153)</f>
        <v>0</v>
      </c>
      <c r="C153" s="107">
        <f ca="1">SUMIFS('Daily Writing Log'!$I$5:$I$34,'Daily Writing Log'!$A$5:$A$34,$A153)</f>
        <v>0</v>
      </c>
      <c r="D153" s="108">
        <f ca="1">IF($C153&gt;=Config!$B$5,1,0)</f>
        <v>0</v>
      </c>
      <c r="E153" s="108">
        <f t="shared" ca="1" si="11"/>
        <v>0</v>
      </c>
      <c r="F153" s="108">
        <f ca="1">IF(AND($D153=0,$H152&gt;0,$E153&lt;Config!$B$8,$A153&lt;Config!$A$2),1,0)</f>
        <v>0</v>
      </c>
      <c r="G153" s="108">
        <f t="shared" ca="1" si="12"/>
        <v>0</v>
      </c>
      <c r="H153" s="108">
        <f ca="1">IF($D153=1,$H152+1,IF($F153=1,$H152,IF($A153=Config!$A$2,$H152,0)))</f>
        <v>0</v>
      </c>
      <c r="M153" s="109"/>
    </row>
    <row r="154" spans="1:13" x14ac:dyDescent="0.3">
      <c r="A154" s="106">
        <f t="shared" ca="1" si="10"/>
        <v>45732</v>
      </c>
      <c r="B154" s="107">
        <f ca="1">SUMIFS('Daily Writing Log'!$H$5:$H$34,'Daily Writing Log'!$A$5:$A$34,$A154)</f>
        <v>0</v>
      </c>
      <c r="C154" s="107">
        <f ca="1">SUMIFS('Daily Writing Log'!$I$5:$I$34,'Daily Writing Log'!$A$5:$A$34,$A154)</f>
        <v>0</v>
      </c>
      <c r="D154" s="108">
        <f ca="1">IF($C154&gt;=Config!$B$5,1,0)</f>
        <v>0</v>
      </c>
      <c r="E154" s="108">
        <f t="shared" ca="1" si="11"/>
        <v>0</v>
      </c>
      <c r="F154" s="108">
        <f ca="1">IF(AND($D154=0,$H153&gt;0,$E154&lt;Config!$B$8,$A154&lt;Config!$A$2),1,0)</f>
        <v>0</v>
      </c>
      <c r="G154" s="108">
        <f t="shared" ca="1" si="12"/>
        <v>0</v>
      </c>
      <c r="H154" s="108">
        <f ca="1">IF($D154=1,$H153+1,IF($F154=1,$H153,IF($A154=Config!$A$2,$H153,0)))</f>
        <v>0</v>
      </c>
      <c r="M154" s="109"/>
    </row>
    <row r="155" spans="1:13" x14ac:dyDescent="0.3">
      <c r="A155" s="106">
        <f t="shared" ca="1" si="10"/>
        <v>45733</v>
      </c>
      <c r="B155" s="107">
        <f ca="1">SUMIFS('Daily Writing Log'!$H$5:$H$34,'Daily Writing Log'!$A$5:$A$34,$A155)</f>
        <v>0</v>
      </c>
      <c r="C155" s="107">
        <f ca="1">SUMIFS('Daily Writing Log'!$I$5:$I$34,'Daily Writing Log'!$A$5:$A$34,$A155)</f>
        <v>0</v>
      </c>
      <c r="D155" s="108">
        <f ca="1">IF($C155&gt;=Config!$B$5,1,0)</f>
        <v>0</v>
      </c>
      <c r="E155" s="108">
        <f t="shared" ca="1" si="11"/>
        <v>0</v>
      </c>
      <c r="F155" s="108">
        <f ca="1">IF(AND($D155=0,$H154&gt;0,$E155&lt;Config!$B$8,$A155&lt;Config!$A$2),1,0)</f>
        <v>0</v>
      </c>
      <c r="G155" s="108">
        <f t="shared" ca="1" si="12"/>
        <v>0</v>
      </c>
      <c r="H155" s="108">
        <f ca="1">IF($D155=1,$H154+1,IF($F155=1,$H154,IF($A155=Config!$A$2,$H154,0)))</f>
        <v>0</v>
      </c>
      <c r="M155" s="109"/>
    </row>
    <row r="156" spans="1:13" x14ac:dyDescent="0.3">
      <c r="A156" s="106">
        <f t="shared" ca="1" si="10"/>
        <v>45734</v>
      </c>
      <c r="B156" s="107">
        <f ca="1">SUMIFS('Daily Writing Log'!$H$5:$H$34,'Daily Writing Log'!$A$5:$A$34,$A156)</f>
        <v>0</v>
      </c>
      <c r="C156" s="107">
        <f ca="1">SUMIFS('Daily Writing Log'!$I$5:$I$34,'Daily Writing Log'!$A$5:$A$34,$A156)</f>
        <v>0</v>
      </c>
      <c r="D156" s="108">
        <f ca="1">IF($C156&gt;=Config!$B$5,1,0)</f>
        <v>0</v>
      </c>
      <c r="E156" s="108">
        <f t="shared" ca="1" si="11"/>
        <v>0</v>
      </c>
      <c r="F156" s="108">
        <f ca="1">IF(AND($D156=0,$H155&gt;0,$E156&lt;Config!$B$8,$A156&lt;Config!$A$2),1,0)</f>
        <v>0</v>
      </c>
      <c r="G156" s="108">
        <f t="shared" ca="1" si="12"/>
        <v>0</v>
      </c>
      <c r="H156" s="108">
        <f ca="1">IF($D156=1,$H155+1,IF($F156=1,$H155,IF($A156=Config!$A$2,$H155,0)))</f>
        <v>0</v>
      </c>
      <c r="M156" s="109"/>
    </row>
    <row r="157" spans="1:13" x14ac:dyDescent="0.3">
      <c r="A157" s="106">
        <f t="shared" ca="1" si="10"/>
        <v>45735</v>
      </c>
      <c r="B157" s="107">
        <f ca="1">SUMIFS('Daily Writing Log'!$H$5:$H$34,'Daily Writing Log'!$A$5:$A$34,$A157)</f>
        <v>0</v>
      </c>
      <c r="C157" s="107">
        <f ca="1">SUMIFS('Daily Writing Log'!$I$5:$I$34,'Daily Writing Log'!$A$5:$A$34,$A157)</f>
        <v>0</v>
      </c>
      <c r="D157" s="108">
        <f ca="1">IF($C157&gt;=Config!$B$5,1,0)</f>
        <v>0</v>
      </c>
      <c r="E157" s="108">
        <f t="shared" ca="1" si="11"/>
        <v>0</v>
      </c>
      <c r="F157" s="108">
        <f ca="1">IF(AND($D157=0,$H156&gt;0,$E157&lt;Config!$B$8,$A157&lt;Config!$A$2),1,0)</f>
        <v>0</v>
      </c>
      <c r="G157" s="108">
        <f t="shared" ca="1" si="12"/>
        <v>0</v>
      </c>
      <c r="H157" s="108">
        <f ca="1">IF($D157=1,$H156+1,IF($F157=1,$H156,IF($A157=Config!$A$2,$H156,0)))</f>
        <v>0</v>
      </c>
      <c r="M157" s="109"/>
    </row>
    <row r="158" spans="1:13" x14ac:dyDescent="0.3">
      <c r="A158" s="106">
        <f t="shared" ca="1" si="10"/>
        <v>45736</v>
      </c>
      <c r="B158" s="107">
        <f ca="1">SUMIFS('Daily Writing Log'!$H$5:$H$34,'Daily Writing Log'!$A$5:$A$34,$A158)</f>
        <v>0</v>
      </c>
      <c r="C158" s="107">
        <f ca="1">SUMIFS('Daily Writing Log'!$I$5:$I$34,'Daily Writing Log'!$A$5:$A$34,$A158)</f>
        <v>0</v>
      </c>
      <c r="D158" s="108">
        <f ca="1">IF($C158&gt;=Config!$B$5,1,0)</f>
        <v>0</v>
      </c>
      <c r="E158" s="108">
        <f t="shared" ca="1" si="11"/>
        <v>0</v>
      </c>
      <c r="F158" s="108">
        <f ca="1">IF(AND($D158=0,$H157&gt;0,$E158&lt;Config!$B$8,$A158&lt;Config!$A$2),1,0)</f>
        <v>0</v>
      </c>
      <c r="G158" s="108">
        <f t="shared" ca="1" si="12"/>
        <v>0</v>
      </c>
      <c r="H158" s="108">
        <f ca="1">IF($D158=1,$H157+1,IF($F158=1,$H157,IF($A158=Config!$A$2,$H157,0)))</f>
        <v>0</v>
      </c>
      <c r="M158" s="109"/>
    </row>
    <row r="159" spans="1:13" x14ac:dyDescent="0.3">
      <c r="A159" s="106">
        <f t="shared" ca="1" si="10"/>
        <v>45737</v>
      </c>
      <c r="B159" s="107">
        <f ca="1">SUMIFS('Daily Writing Log'!$H$5:$H$34,'Daily Writing Log'!$A$5:$A$34,$A159)</f>
        <v>0</v>
      </c>
      <c r="C159" s="107">
        <f ca="1">SUMIFS('Daily Writing Log'!$I$5:$I$34,'Daily Writing Log'!$A$5:$A$34,$A159)</f>
        <v>0</v>
      </c>
      <c r="D159" s="108">
        <f ca="1">IF($C159&gt;=Config!$B$5,1,0)</f>
        <v>0</v>
      </c>
      <c r="E159" s="108">
        <f t="shared" ca="1" si="11"/>
        <v>0</v>
      </c>
      <c r="F159" s="108">
        <f ca="1">IF(AND($D159=0,$H158&gt;0,$E159&lt;Config!$B$8,$A159&lt;Config!$A$2),1,0)</f>
        <v>0</v>
      </c>
      <c r="G159" s="108">
        <f t="shared" ca="1" si="12"/>
        <v>0</v>
      </c>
      <c r="H159" s="108">
        <f ca="1">IF($D159=1,$H158+1,IF($F159=1,$H158,IF($A159=Config!$A$2,$H158,0)))</f>
        <v>0</v>
      </c>
      <c r="M159" s="109"/>
    </row>
    <row r="160" spans="1:13" x14ac:dyDescent="0.3">
      <c r="A160" s="106">
        <f t="shared" ca="1" si="10"/>
        <v>45738</v>
      </c>
      <c r="B160" s="107">
        <f ca="1">SUMIFS('Daily Writing Log'!$H$5:$H$34,'Daily Writing Log'!$A$5:$A$34,$A160)</f>
        <v>0</v>
      </c>
      <c r="C160" s="107">
        <f ca="1">SUMIFS('Daily Writing Log'!$I$5:$I$34,'Daily Writing Log'!$A$5:$A$34,$A160)</f>
        <v>0</v>
      </c>
      <c r="D160" s="108">
        <f ca="1">IF($C160&gt;=Config!$B$5,1,0)</f>
        <v>0</v>
      </c>
      <c r="E160" s="108">
        <f t="shared" ca="1" si="11"/>
        <v>0</v>
      </c>
      <c r="F160" s="108">
        <f ca="1">IF(AND($D160=0,$H159&gt;0,$E160&lt;Config!$B$8,$A160&lt;Config!$A$2),1,0)</f>
        <v>0</v>
      </c>
      <c r="G160" s="108">
        <f t="shared" ca="1" si="12"/>
        <v>0</v>
      </c>
      <c r="H160" s="108">
        <f ca="1">IF($D160=1,$H159+1,IF($F160=1,$H159,IF($A160=Config!$A$2,$H159,0)))</f>
        <v>0</v>
      </c>
      <c r="M160" s="109"/>
    </row>
    <row r="161" spans="1:13" x14ac:dyDescent="0.3">
      <c r="A161" s="106">
        <f t="shared" ca="1" si="10"/>
        <v>45739</v>
      </c>
      <c r="B161" s="107">
        <f ca="1">SUMIFS('Daily Writing Log'!$H$5:$H$34,'Daily Writing Log'!$A$5:$A$34,$A161)</f>
        <v>0</v>
      </c>
      <c r="C161" s="107">
        <f ca="1">SUMIFS('Daily Writing Log'!$I$5:$I$34,'Daily Writing Log'!$A$5:$A$34,$A161)</f>
        <v>0</v>
      </c>
      <c r="D161" s="108">
        <f ca="1">IF($C161&gt;=Config!$B$5,1,0)</f>
        <v>0</v>
      </c>
      <c r="E161" s="108">
        <f t="shared" ca="1" si="11"/>
        <v>0</v>
      </c>
      <c r="F161" s="108">
        <f ca="1">IF(AND($D161=0,$H160&gt;0,$E161&lt;Config!$B$8,$A161&lt;Config!$A$2),1,0)</f>
        <v>0</v>
      </c>
      <c r="G161" s="108">
        <f t="shared" ca="1" si="12"/>
        <v>0</v>
      </c>
      <c r="H161" s="108">
        <f ca="1">IF($D161=1,$H160+1,IF($F161=1,$H160,IF($A161=Config!$A$2,$H160,0)))</f>
        <v>0</v>
      </c>
      <c r="M161" s="109"/>
    </row>
    <row r="162" spans="1:13" x14ac:dyDescent="0.3">
      <c r="A162" s="106">
        <f t="shared" ca="1" si="10"/>
        <v>45740</v>
      </c>
      <c r="B162" s="107">
        <f ca="1">SUMIFS('Daily Writing Log'!$H$5:$H$34,'Daily Writing Log'!$A$5:$A$34,$A162)</f>
        <v>0</v>
      </c>
      <c r="C162" s="107">
        <f ca="1">SUMIFS('Daily Writing Log'!$I$5:$I$34,'Daily Writing Log'!$A$5:$A$34,$A162)</f>
        <v>0</v>
      </c>
      <c r="D162" s="108">
        <f ca="1">IF($C162&gt;=Config!$B$5,1,0)</f>
        <v>0</v>
      </c>
      <c r="E162" s="108">
        <f t="shared" ca="1" si="11"/>
        <v>0</v>
      </c>
      <c r="F162" s="108">
        <f ca="1">IF(AND($D162=0,$H161&gt;0,$E162&lt;Config!$B$8,$A162&lt;Config!$A$2),1,0)</f>
        <v>0</v>
      </c>
      <c r="G162" s="108">
        <f t="shared" ca="1" si="12"/>
        <v>0</v>
      </c>
      <c r="H162" s="108">
        <f ca="1">IF($D162=1,$H161+1,IF($F162=1,$H161,IF($A162=Config!$A$2,$H161,0)))</f>
        <v>0</v>
      </c>
      <c r="M162" s="109"/>
    </row>
    <row r="163" spans="1:13" x14ac:dyDescent="0.3">
      <c r="A163" s="106">
        <f t="shared" ca="1" si="10"/>
        <v>45741</v>
      </c>
      <c r="B163" s="107">
        <f ca="1">SUMIFS('Daily Writing Log'!$H$5:$H$34,'Daily Writing Log'!$A$5:$A$34,$A163)</f>
        <v>0</v>
      </c>
      <c r="C163" s="107">
        <f ca="1">SUMIFS('Daily Writing Log'!$I$5:$I$34,'Daily Writing Log'!$A$5:$A$34,$A163)</f>
        <v>0</v>
      </c>
      <c r="D163" s="108">
        <f ca="1">IF($C163&gt;=Config!$B$5,1,0)</f>
        <v>0</v>
      </c>
      <c r="E163" s="108">
        <f t="shared" ca="1" si="11"/>
        <v>0</v>
      </c>
      <c r="F163" s="108">
        <f ca="1">IF(AND($D163=0,$H162&gt;0,$E163&lt;Config!$B$8,$A163&lt;Config!$A$2),1,0)</f>
        <v>0</v>
      </c>
      <c r="G163" s="108">
        <f t="shared" ca="1" si="12"/>
        <v>0</v>
      </c>
      <c r="H163" s="108">
        <f ca="1">IF($D163=1,$H162+1,IF($F163=1,$H162,IF($A163=Config!$A$2,$H162,0)))</f>
        <v>0</v>
      </c>
      <c r="M163" s="109"/>
    </row>
    <row r="164" spans="1:13" x14ac:dyDescent="0.3">
      <c r="A164" s="106">
        <f t="shared" ca="1" si="10"/>
        <v>45742</v>
      </c>
      <c r="B164" s="107">
        <f ca="1">SUMIFS('Daily Writing Log'!$H$5:$H$34,'Daily Writing Log'!$A$5:$A$34,$A164)</f>
        <v>0</v>
      </c>
      <c r="C164" s="107">
        <f ca="1">SUMIFS('Daily Writing Log'!$I$5:$I$34,'Daily Writing Log'!$A$5:$A$34,$A164)</f>
        <v>0</v>
      </c>
      <c r="D164" s="108">
        <f ca="1">IF($C164&gt;=Config!$B$5,1,0)</f>
        <v>0</v>
      </c>
      <c r="E164" s="108">
        <f t="shared" ca="1" si="11"/>
        <v>0</v>
      </c>
      <c r="F164" s="108">
        <f ca="1">IF(AND($D164=0,$H163&gt;0,$E164&lt;Config!$B$8,$A164&lt;Config!$A$2),1,0)</f>
        <v>0</v>
      </c>
      <c r="G164" s="108">
        <f t="shared" ca="1" si="12"/>
        <v>0</v>
      </c>
      <c r="H164" s="108">
        <f ca="1">IF($D164=1,$H163+1,IF($F164=1,$H163,IF($A164=Config!$A$2,$H163,0)))</f>
        <v>0</v>
      </c>
      <c r="M164" s="109"/>
    </row>
    <row r="165" spans="1:13" x14ac:dyDescent="0.3">
      <c r="A165" s="106">
        <f t="shared" ca="1" si="10"/>
        <v>45743</v>
      </c>
      <c r="B165" s="107">
        <f ca="1">SUMIFS('Daily Writing Log'!$H$5:$H$34,'Daily Writing Log'!$A$5:$A$34,$A165)</f>
        <v>0</v>
      </c>
      <c r="C165" s="107">
        <f ca="1">SUMIFS('Daily Writing Log'!$I$5:$I$34,'Daily Writing Log'!$A$5:$A$34,$A165)</f>
        <v>0</v>
      </c>
      <c r="D165" s="108">
        <f ca="1">IF($C165&gt;=Config!$B$5,1,0)</f>
        <v>0</v>
      </c>
      <c r="E165" s="108">
        <f t="shared" ca="1" si="11"/>
        <v>0</v>
      </c>
      <c r="F165" s="108">
        <f ca="1">IF(AND($D165=0,$H164&gt;0,$E165&lt;Config!$B$8,$A165&lt;Config!$A$2),1,0)</f>
        <v>0</v>
      </c>
      <c r="G165" s="108">
        <f t="shared" ca="1" si="12"/>
        <v>0</v>
      </c>
      <c r="H165" s="108">
        <f ca="1">IF($D165=1,$H164+1,IF($F165=1,$H164,IF($A165=Config!$A$2,$H164,0)))</f>
        <v>0</v>
      </c>
      <c r="M165" s="109"/>
    </row>
    <row r="166" spans="1:13" x14ac:dyDescent="0.3">
      <c r="A166" s="106">
        <f t="shared" ca="1" si="10"/>
        <v>45744</v>
      </c>
      <c r="B166" s="107">
        <f ca="1">SUMIFS('Daily Writing Log'!$H$5:$H$34,'Daily Writing Log'!$A$5:$A$34,$A166)</f>
        <v>0</v>
      </c>
      <c r="C166" s="107">
        <f ca="1">SUMIFS('Daily Writing Log'!$I$5:$I$34,'Daily Writing Log'!$A$5:$A$34,$A166)</f>
        <v>0</v>
      </c>
      <c r="D166" s="108">
        <f ca="1">IF($C166&gt;=Config!$B$5,1,0)</f>
        <v>0</v>
      </c>
      <c r="E166" s="108">
        <f t="shared" ca="1" si="11"/>
        <v>0</v>
      </c>
      <c r="F166" s="108">
        <f ca="1">IF(AND($D166=0,$H165&gt;0,$E166&lt;Config!$B$8,$A166&lt;Config!$A$2),1,0)</f>
        <v>0</v>
      </c>
      <c r="G166" s="108">
        <f t="shared" ca="1" si="12"/>
        <v>0</v>
      </c>
      <c r="H166" s="108">
        <f ca="1">IF($D166=1,$H165+1,IF($F166=1,$H165,IF($A166=Config!$A$2,$H165,0)))</f>
        <v>0</v>
      </c>
      <c r="M166" s="109"/>
    </row>
    <row r="167" spans="1:13" x14ac:dyDescent="0.3">
      <c r="A167" s="106">
        <f t="shared" ca="1" si="10"/>
        <v>45745</v>
      </c>
      <c r="B167" s="107">
        <f ca="1">SUMIFS('Daily Writing Log'!$H$5:$H$34,'Daily Writing Log'!$A$5:$A$34,$A167)</f>
        <v>0</v>
      </c>
      <c r="C167" s="107">
        <f ca="1">SUMIFS('Daily Writing Log'!$I$5:$I$34,'Daily Writing Log'!$A$5:$A$34,$A167)</f>
        <v>0</v>
      </c>
      <c r="D167" s="108">
        <f ca="1">IF($C167&gt;=Config!$B$5,1,0)</f>
        <v>0</v>
      </c>
      <c r="E167" s="108">
        <f t="shared" ca="1" si="11"/>
        <v>0</v>
      </c>
      <c r="F167" s="108">
        <f ca="1">IF(AND($D167=0,$H166&gt;0,$E167&lt;Config!$B$8,$A167&lt;Config!$A$2),1,0)</f>
        <v>0</v>
      </c>
      <c r="G167" s="108">
        <f t="shared" ca="1" si="12"/>
        <v>0</v>
      </c>
      <c r="H167" s="108">
        <f ca="1">IF($D167=1,$H166+1,IF($F167=1,$H166,IF($A167=Config!$A$2,$H166,0)))</f>
        <v>0</v>
      </c>
      <c r="M167" s="109"/>
    </row>
    <row r="168" spans="1:13" x14ac:dyDescent="0.3">
      <c r="A168" s="106">
        <f t="shared" ca="1" si="10"/>
        <v>45746</v>
      </c>
      <c r="B168" s="107">
        <f ca="1">SUMIFS('Daily Writing Log'!$H$5:$H$34,'Daily Writing Log'!$A$5:$A$34,$A168)</f>
        <v>0</v>
      </c>
      <c r="C168" s="107">
        <f ca="1">SUMIFS('Daily Writing Log'!$I$5:$I$34,'Daily Writing Log'!$A$5:$A$34,$A168)</f>
        <v>0</v>
      </c>
      <c r="D168" s="108">
        <f ca="1">IF($C168&gt;=Config!$B$5,1,0)</f>
        <v>0</v>
      </c>
      <c r="E168" s="108">
        <f t="shared" ca="1" si="11"/>
        <v>0</v>
      </c>
      <c r="F168" s="108">
        <f ca="1">IF(AND($D168=0,$H167&gt;0,$E168&lt;Config!$B$8,$A168&lt;Config!$A$2),1,0)</f>
        <v>0</v>
      </c>
      <c r="G168" s="108">
        <f t="shared" ca="1" si="12"/>
        <v>0</v>
      </c>
      <c r="H168" s="108">
        <f ca="1">IF($D168=1,$H167+1,IF($F168=1,$H167,IF($A168=Config!$A$2,$H167,0)))</f>
        <v>0</v>
      </c>
      <c r="M168" s="109"/>
    </row>
    <row r="169" spans="1:13" x14ac:dyDescent="0.3">
      <c r="A169" s="106">
        <f t="shared" ca="1" si="10"/>
        <v>45747</v>
      </c>
      <c r="B169" s="107">
        <f ca="1">SUMIFS('Daily Writing Log'!$H$5:$H$34,'Daily Writing Log'!$A$5:$A$34,$A169)</f>
        <v>0</v>
      </c>
      <c r="C169" s="107">
        <f ca="1">SUMIFS('Daily Writing Log'!$I$5:$I$34,'Daily Writing Log'!$A$5:$A$34,$A169)</f>
        <v>0</v>
      </c>
      <c r="D169" s="108">
        <f ca="1">IF($C169&gt;=Config!$B$5,1,0)</f>
        <v>0</v>
      </c>
      <c r="E169" s="108">
        <f t="shared" ca="1" si="11"/>
        <v>0</v>
      </c>
      <c r="F169" s="108">
        <f ca="1">IF(AND($D169=0,$H168&gt;0,$E169&lt;Config!$B$8,$A169&lt;Config!$A$2),1,0)</f>
        <v>0</v>
      </c>
      <c r="G169" s="108">
        <f t="shared" ca="1" si="12"/>
        <v>0</v>
      </c>
      <c r="H169" s="108">
        <f ca="1">IF($D169=1,$H168+1,IF($F169=1,$H168,IF($A169=Config!$A$2,$H168,0)))</f>
        <v>0</v>
      </c>
      <c r="M169" s="109"/>
    </row>
    <row r="170" spans="1:13" x14ac:dyDescent="0.3">
      <c r="A170" s="106">
        <f t="shared" ca="1" si="10"/>
        <v>45748</v>
      </c>
      <c r="B170" s="107">
        <f ca="1">SUMIFS('Daily Writing Log'!$H$5:$H$34,'Daily Writing Log'!$A$5:$A$34,$A170)</f>
        <v>0</v>
      </c>
      <c r="C170" s="107">
        <f ca="1">SUMIFS('Daily Writing Log'!$I$5:$I$34,'Daily Writing Log'!$A$5:$A$34,$A170)</f>
        <v>0</v>
      </c>
      <c r="D170" s="108">
        <f ca="1">IF($C170&gt;=Config!$B$5,1,0)</f>
        <v>0</v>
      </c>
      <c r="E170" s="108">
        <f t="shared" ca="1" si="11"/>
        <v>0</v>
      </c>
      <c r="F170" s="108">
        <f ca="1">IF(AND($D170=0,$H169&gt;0,$E170&lt;Config!$B$8,$A170&lt;Config!$A$2),1,0)</f>
        <v>0</v>
      </c>
      <c r="G170" s="108">
        <f t="shared" ca="1" si="12"/>
        <v>0</v>
      </c>
      <c r="H170" s="108">
        <f ca="1">IF($D170=1,$H169+1,IF($F170=1,$H169,IF($A170=Config!$A$2,$H169,0)))</f>
        <v>0</v>
      </c>
      <c r="M170" s="109"/>
    </row>
    <row r="171" spans="1:13" x14ac:dyDescent="0.3">
      <c r="A171" s="106">
        <f t="shared" ca="1" si="10"/>
        <v>45749</v>
      </c>
      <c r="B171" s="107">
        <f ca="1">SUMIFS('Daily Writing Log'!$H$5:$H$34,'Daily Writing Log'!$A$5:$A$34,$A171)</f>
        <v>0</v>
      </c>
      <c r="C171" s="107">
        <f ca="1">SUMIFS('Daily Writing Log'!$I$5:$I$34,'Daily Writing Log'!$A$5:$A$34,$A171)</f>
        <v>0</v>
      </c>
      <c r="D171" s="108">
        <f ca="1">IF($C171&gt;=Config!$B$5,1,0)</f>
        <v>0</v>
      </c>
      <c r="E171" s="108">
        <f t="shared" ca="1" si="11"/>
        <v>0</v>
      </c>
      <c r="F171" s="108">
        <f ca="1">IF(AND($D171=0,$H170&gt;0,$E171&lt;Config!$B$8,$A171&lt;Config!$A$2),1,0)</f>
        <v>0</v>
      </c>
      <c r="G171" s="108">
        <f t="shared" ca="1" si="12"/>
        <v>0</v>
      </c>
      <c r="H171" s="108">
        <f ca="1">IF($D171=1,$H170+1,IF($F171=1,$H170,IF($A171=Config!$A$2,$H170,0)))</f>
        <v>0</v>
      </c>
      <c r="M171" s="109"/>
    </row>
    <row r="172" spans="1:13" x14ac:dyDescent="0.3">
      <c r="A172" s="106">
        <f t="shared" ca="1" si="10"/>
        <v>45750</v>
      </c>
      <c r="B172" s="107">
        <f ca="1">SUMIFS('Daily Writing Log'!$H$5:$H$34,'Daily Writing Log'!$A$5:$A$34,$A172)</f>
        <v>0</v>
      </c>
      <c r="C172" s="107">
        <f ca="1">SUMIFS('Daily Writing Log'!$I$5:$I$34,'Daily Writing Log'!$A$5:$A$34,$A172)</f>
        <v>0</v>
      </c>
      <c r="D172" s="108">
        <f ca="1">IF($C172&gt;=Config!$B$5,1,0)</f>
        <v>0</v>
      </c>
      <c r="E172" s="108">
        <f t="shared" ca="1" si="11"/>
        <v>0</v>
      </c>
      <c r="F172" s="108">
        <f ca="1">IF(AND($D172=0,$H171&gt;0,$E172&lt;Config!$B$8,$A172&lt;Config!$A$2),1,0)</f>
        <v>0</v>
      </c>
      <c r="G172" s="108">
        <f t="shared" ca="1" si="12"/>
        <v>0</v>
      </c>
      <c r="H172" s="108">
        <f ca="1">IF($D172=1,$H171+1,IF($F172=1,$H171,IF($A172=Config!$A$2,$H171,0)))</f>
        <v>0</v>
      </c>
      <c r="M172" s="109"/>
    </row>
    <row r="173" spans="1:13" x14ac:dyDescent="0.3">
      <c r="A173" s="106">
        <f t="shared" ca="1" si="10"/>
        <v>45751</v>
      </c>
      <c r="B173" s="107">
        <f ca="1">SUMIFS('Daily Writing Log'!$H$5:$H$34,'Daily Writing Log'!$A$5:$A$34,$A173)</f>
        <v>0</v>
      </c>
      <c r="C173" s="107">
        <f ca="1">SUMIFS('Daily Writing Log'!$I$5:$I$34,'Daily Writing Log'!$A$5:$A$34,$A173)</f>
        <v>0</v>
      </c>
      <c r="D173" s="108">
        <f ca="1">IF($C173&gt;=Config!$B$5,1,0)</f>
        <v>0</v>
      </c>
      <c r="E173" s="108">
        <f t="shared" ca="1" si="11"/>
        <v>0</v>
      </c>
      <c r="F173" s="108">
        <f ca="1">IF(AND($D173=0,$H172&gt;0,$E173&lt;Config!$B$8,$A173&lt;Config!$A$2),1,0)</f>
        <v>0</v>
      </c>
      <c r="G173" s="108">
        <f t="shared" ca="1" si="12"/>
        <v>0</v>
      </c>
      <c r="H173" s="108">
        <f ca="1">IF($D173=1,$H172+1,IF($F173=1,$H172,IF($A173=Config!$A$2,$H172,0)))</f>
        <v>0</v>
      </c>
      <c r="M173" s="109"/>
    </row>
    <row r="174" spans="1:13" x14ac:dyDescent="0.3">
      <c r="A174" s="106">
        <f t="shared" ca="1" si="10"/>
        <v>45752</v>
      </c>
      <c r="B174" s="107">
        <f ca="1">SUMIFS('Daily Writing Log'!$H$5:$H$34,'Daily Writing Log'!$A$5:$A$34,$A174)</f>
        <v>0</v>
      </c>
      <c r="C174" s="107">
        <f ca="1">SUMIFS('Daily Writing Log'!$I$5:$I$34,'Daily Writing Log'!$A$5:$A$34,$A174)</f>
        <v>0</v>
      </c>
      <c r="D174" s="108">
        <f ca="1">IF($C174&gt;=Config!$B$5,1,0)</f>
        <v>0</v>
      </c>
      <c r="E174" s="108">
        <f t="shared" ca="1" si="11"/>
        <v>0</v>
      </c>
      <c r="F174" s="108">
        <f ca="1">IF(AND($D174=0,$H173&gt;0,$E174&lt;Config!$B$8,$A174&lt;Config!$A$2),1,0)</f>
        <v>0</v>
      </c>
      <c r="G174" s="108">
        <f t="shared" ca="1" si="12"/>
        <v>0</v>
      </c>
      <c r="H174" s="108">
        <f ca="1">IF($D174=1,$H173+1,IF($F174=1,$H173,IF($A174=Config!$A$2,$H173,0)))</f>
        <v>0</v>
      </c>
      <c r="M174" s="109"/>
    </row>
    <row r="175" spans="1:13" x14ac:dyDescent="0.3">
      <c r="A175" s="106">
        <f t="shared" ca="1" si="10"/>
        <v>45753</v>
      </c>
      <c r="B175" s="107">
        <f ca="1">SUMIFS('Daily Writing Log'!$H$5:$H$34,'Daily Writing Log'!$A$5:$A$34,$A175)</f>
        <v>0</v>
      </c>
      <c r="C175" s="107">
        <f ca="1">SUMIFS('Daily Writing Log'!$I$5:$I$34,'Daily Writing Log'!$A$5:$A$34,$A175)</f>
        <v>0</v>
      </c>
      <c r="D175" s="108">
        <f ca="1">IF($C175&gt;=Config!$B$5,1,0)</f>
        <v>0</v>
      </c>
      <c r="E175" s="108">
        <f t="shared" ca="1" si="11"/>
        <v>0</v>
      </c>
      <c r="F175" s="108">
        <f ca="1">IF(AND($D175=0,$H174&gt;0,$E175&lt;Config!$B$8,$A175&lt;Config!$A$2),1,0)</f>
        <v>0</v>
      </c>
      <c r="G175" s="108">
        <f t="shared" ca="1" si="12"/>
        <v>0</v>
      </c>
      <c r="H175" s="108">
        <f ca="1">IF($D175=1,$H174+1,IF($F175=1,$H174,IF($A175=Config!$A$2,$H174,0)))</f>
        <v>0</v>
      </c>
      <c r="M175" s="109"/>
    </row>
    <row r="176" spans="1:13" x14ac:dyDescent="0.3">
      <c r="A176" s="106">
        <f t="shared" ca="1" si="10"/>
        <v>45754</v>
      </c>
      <c r="B176" s="107">
        <f ca="1">SUMIFS('Daily Writing Log'!$H$5:$H$34,'Daily Writing Log'!$A$5:$A$34,$A176)</f>
        <v>0</v>
      </c>
      <c r="C176" s="107">
        <f ca="1">SUMIFS('Daily Writing Log'!$I$5:$I$34,'Daily Writing Log'!$A$5:$A$34,$A176)</f>
        <v>0</v>
      </c>
      <c r="D176" s="108">
        <f ca="1">IF($C176&gt;=Config!$B$5,1,0)</f>
        <v>0</v>
      </c>
      <c r="E176" s="108">
        <f t="shared" ca="1" si="11"/>
        <v>0</v>
      </c>
      <c r="F176" s="108">
        <f ca="1">IF(AND($D176=0,$H175&gt;0,$E176&lt;Config!$B$8,$A176&lt;Config!$A$2),1,0)</f>
        <v>0</v>
      </c>
      <c r="G176" s="108">
        <f t="shared" ca="1" si="12"/>
        <v>0</v>
      </c>
      <c r="H176" s="108">
        <f ca="1">IF($D176=1,$H175+1,IF($F176=1,$H175,IF($A176=Config!$A$2,$H175,0)))</f>
        <v>0</v>
      </c>
      <c r="M176" s="109"/>
    </row>
    <row r="177" spans="1:13" x14ac:dyDescent="0.3">
      <c r="A177" s="106">
        <f t="shared" ca="1" si="10"/>
        <v>45755</v>
      </c>
      <c r="B177" s="107">
        <f ca="1">SUMIFS('Daily Writing Log'!$H$5:$H$34,'Daily Writing Log'!$A$5:$A$34,$A177)</f>
        <v>0</v>
      </c>
      <c r="C177" s="107">
        <f ca="1">SUMIFS('Daily Writing Log'!$I$5:$I$34,'Daily Writing Log'!$A$5:$A$34,$A177)</f>
        <v>0</v>
      </c>
      <c r="D177" s="108">
        <f ca="1">IF($C177&gt;=Config!$B$5,1,0)</f>
        <v>0</v>
      </c>
      <c r="E177" s="108">
        <f t="shared" ca="1" si="11"/>
        <v>0</v>
      </c>
      <c r="F177" s="108">
        <f ca="1">IF(AND($D177=0,$H176&gt;0,$E177&lt;Config!$B$8,$A177&lt;Config!$A$2),1,0)</f>
        <v>0</v>
      </c>
      <c r="G177" s="108">
        <f t="shared" ca="1" si="12"/>
        <v>0</v>
      </c>
      <c r="H177" s="108">
        <f ca="1">IF($D177=1,$H176+1,IF($F177=1,$H176,IF($A177=Config!$A$2,$H176,0)))</f>
        <v>0</v>
      </c>
      <c r="M177" s="109"/>
    </row>
    <row r="178" spans="1:13" x14ac:dyDescent="0.3">
      <c r="A178" s="106">
        <f t="shared" ca="1" si="10"/>
        <v>45756</v>
      </c>
      <c r="B178" s="107">
        <f ca="1">SUMIFS('Daily Writing Log'!$H$5:$H$34,'Daily Writing Log'!$A$5:$A$34,$A178)</f>
        <v>0</v>
      </c>
      <c r="C178" s="107">
        <f ca="1">SUMIFS('Daily Writing Log'!$I$5:$I$34,'Daily Writing Log'!$A$5:$A$34,$A178)</f>
        <v>0</v>
      </c>
      <c r="D178" s="108">
        <f ca="1">IF($C178&gt;=Config!$B$5,1,0)</f>
        <v>0</v>
      </c>
      <c r="E178" s="108">
        <f t="shared" ca="1" si="11"/>
        <v>0</v>
      </c>
      <c r="F178" s="108">
        <f ca="1">IF(AND($D178=0,$H177&gt;0,$E178&lt;Config!$B$8,$A178&lt;Config!$A$2),1,0)</f>
        <v>0</v>
      </c>
      <c r="G178" s="108">
        <f t="shared" ca="1" si="12"/>
        <v>0</v>
      </c>
      <c r="H178" s="108">
        <f ca="1">IF($D178=1,$H177+1,IF($F178=1,$H177,IF($A178=Config!$A$2,$H177,0)))</f>
        <v>0</v>
      </c>
      <c r="M178" s="109"/>
    </row>
    <row r="179" spans="1:13" x14ac:dyDescent="0.3">
      <c r="A179" s="106">
        <f t="shared" ca="1" si="10"/>
        <v>45757</v>
      </c>
      <c r="B179" s="107">
        <f ca="1">SUMIFS('Daily Writing Log'!$H$5:$H$34,'Daily Writing Log'!$A$5:$A$34,$A179)</f>
        <v>0</v>
      </c>
      <c r="C179" s="107">
        <f ca="1">SUMIFS('Daily Writing Log'!$I$5:$I$34,'Daily Writing Log'!$A$5:$A$34,$A179)</f>
        <v>0</v>
      </c>
      <c r="D179" s="108">
        <f ca="1">IF($C179&gt;=Config!$B$5,1,0)</f>
        <v>0</v>
      </c>
      <c r="E179" s="108">
        <f t="shared" ca="1" si="11"/>
        <v>0</v>
      </c>
      <c r="F179" s="108">
        <f ca="1">IF(AND($D179=0,$H178&gt;0,$E179&lt;Config!$B$8,$A179&lt;Config!$A$2),1,0)</f>
        <v>0</v>
      </c>
      <c r="G179" s="108">
        <f t="shared" ca="1" si="12"/>
        <v>0</v>
      </c>
      <c r="H179" s="108">
        <f ca="1">IF($D179=1,$H178+1,IF($F179=1,$H178,IF($A179=Config!$A$2,$H178,0)))</f>
        <v>0</v>
      </c>
      <c r="M179" s="109"/>
    </row>
    <row r="180" spans="1:13" x14ac:dyDescent="0.3">
      <c r="A180" s="106">
        <f t="shared" ca="1" si="10"/>
        <v>45758</v>
      </c>
      <c r="B180" s="107">
        <f ca="1">SUMIFS('Daily Writing Log'!$H$5:$H$34,'Daily Writing Log'!$A$5:$A$34,$A180)</f>
        <v>0</v>
      </c>
      <c r="C180" s="107">
        <f ca="1">SUMIFS('Daily Writing Log'!$I$5:$I$34,'Daily Writing Log'!$A$5:$A$34,$A180)</f>
        <v>0</v>
      </c>
      <c r="D180" s="108">
        <f ca="1">IF($C180&gt;=Config!$B$5,1,0)</f>
        <v>0</v>
      </c>
      <c r="E180" s="108">
        <f t="shared" ca="1" si="11"/>
        <v>0</v>
      </c>
      <c r="F180" s="108">
        <f ca="1">IF(AND($D180=0,$H179&gt;0,$E180&lt;Config!$B$8,$A180&lt;Config!$A$2),1,0)</f>
        <v>0</v>
      </c>
      <c r="G180" s="108">
        <f t="shared" ca="1" si="12"/>
        <v>0</v>
      </c>
      <c r="H180" s="108">
        <f ca="1">IF($D180=1,$H179+1,IF($F180=1,$H179,IF($A180=Config!$A$2,$H179,0)))</f>
        <v>0</v>
      </c>
      <c r="M180" s="109"/>
    </row>
    <row r="181" spans="1:13" x14ac:dyDescent="0.3">
      <c r="A181" s="106">
        <f t="shared" ca="1" si="10"/>
        <v>45759</v>
      </c>
      <c r="B181" s="107">
        <f ca="1">SUMIFS('Daily Writing Log'!$H$5:$H$34,'Daily Writing Log'!$A$5:$A$34,$A181)</f>
        <v>0</v>
      </c>
      <c r="C181" s="107">
        <f ca="1">SUMIFS('Daily Writing Log'!$I$5:$I$34,'Daily Writing Log'!$A$5:$A$34,$A181)</f>
        <v>0</v>
      </c>
      <c r="D181" s="108">
        <f ca="1">IF($C181&gt;=Config!$B$5,1,0)</f>
        <v>0</v>
      </c>
      <c r="E181" s="108">
        <f t="shared" ca="1" si="11"/>
        <v>0</v>
      </c>
      <c r="F181" s="108">
        <f ca="1">IF(AND($D181=0,$H180&gt;0,$E181&lt;Config!$B$8,$A181&lt;Config!$A$2),1,0)</f>
        <v>0</v>
      </c>
      <c r="G181" s="108">
        <f t="shared" ca="1" si="12"/>
        <v>0</v>
      </c>
      <c r="H181" s="108">
        <f ca="1">IF($D181=1,$H180+1,IF($F181=1,$H180,IF($A181=Config!$A$2,$H180,0)))</f>
        <v>0</v>
      </c>
      <c r="M181" s="109"/>
    </row>
    <row r="182" spans="1:13" x14ac:dyDescent="0.3">
      <c r="A182" s="106">
        <f t="shared" ca="1" si="10"/>
        <v>45760</v>
      </c>
      <c r="B182" s="107">
        <f ca="1">SUMIFS('Daily Writing Log'!$H$5:$H$34,'Daily Writing Log'!$A$5:$A$34,$A182)</f>
        <v>0</v>
      </c>
      <c r="C182" s="107">
        <f ca="1">SUMIFS('Daily Writing Log'!$I$5:$I$34,'Daily Writing Log'!$A$5:$A$34,$A182)</f>
        <v>0</v>
      </c>
      <c r="D182" s="108">
        <f ca="1">IF($C182&gt;=Config!$B$5,1,0)</f>
        <v>0</v>
      </c>
      <c r="E182" s="108">
        <f t="shared" ca="1" si="11"/>
        <v>0</v>
      </c>
      <c r="F182" s="108">
        <f ca="1">IF(AND($D182=0,$H181&gt;0,$E182&lt;Config!$B$8,$A182&lt;Config!$A$2),1,0)</f>
        <v>0</v>
      </c>
      <c r="G182" s="108">
        <f t="shared" ca="1" si="12"/>
        <v>0</v>
      </c>
      <c r="H182" s="108">
        <f ca="1">IF($D182=1,$H181+1,IF($F182=1,$H181,IF($A182=Config!$A$2,$H181,0)))</f>
        <v>0</v>
      </c>
      <c r="M182" s="109"/>
    </row>
    <row r="183" spans="1:13" x14ac:dyDescent="0.3">
      <c r="A183" s="106">
        <f t="shared" ca="1" si="10"/>
        <v>45761</v>
      </c>
      <c r="B183" s="107">
        <f ca="1">SUMIFS('Daily Writing Log'!$H$5:$H$34,'Daily Writing Log'!$A$5:$A$34,$A183)</f>
        <v>0</v>
      </c>
      <c r="C183" s="107">
        <f ca="1">SUMIFS('Daily Writing Log'!$I$5:$I$34,'Daily Writing Log'!$A$5:$A$34,$A183)</f>
        <v>0</v>
      </c>
      <c r="D183" s="108">
        <f ca="1">IF($C183&gt;=Config!$B$5,1,0)</f>
        <v>0</v>
      </c>
      <c r="E183" s="108">
        <f t="shared" ca="1" si="11"/>
        <v>0</v>
      </c>
      <c r="F183" s="108">
        <f ca="1">IF(AND($D183=0,$H182&gt;0,$E183&lt;Config!$B$8,$A183&lt;Config!$A$2),1,0)</f>
        <v>0</v>
      </c>
      <c r="G183" s="108">
        <f t="shared" ca="1" si="12"/>
        <v>0</v>
      </c>
      <c r="H183" s="108">
        <f ca="1">IF($D183=1,$H182+1,IF($F183=1,$H182,IF($A183=Config!$A$2,$H182,0)))</f>
        <v>0</v>
      </c>
      <c r="M183" s="109"/>
    </row>
    <row r="184" spans="1:13" x14ac:dyDescent="0.3">
      <c r="A184" s="106">
        <f t="shared" ca="1" si="10"/>
        <v>45762</v>
      </c>
      <c r="B184" s="107">
        <f ca="1">SUMIFS('Daily Writing Log'!$H$5:$H$34,'Daily Writing Log'!$A$5:$A$34,$A184)</f>
        <v>0</v>
      </c>
      <c r="C184" s="107">
        <f ca="1">SUMIFS('Daily Writing Log'!$I$5:$I$34,'Daily Writing Log'!$A$5:$A$34,$A184)</f>
        <v>0</v>
      </c>
      <c r="D184" s="108">
        <f ca="1">IF($C184&gt;=Config!$B$5,1,0)</f>
        <v>0</v>
      </c>
      <c r="E184" s="108">
        <f t="shared" ca="1" si="11"/>
        <v>0</v>
      </c>
      <c r="F184" s="108">
        <f ca="1">IF(AND($D184=0,$H183&gt;0,$E184&lt;Config!$B$8,$A184&lt;Config!$A$2),1,0)</f>
        <v>0</v>
      </c>
      <c r="G184" s="108">
        <f t="shared" ca="1" si="12"/>
        <v>0</v>
      </c>
      <c r="H184" s="108">
        <f ca="1">IF($D184=1,$H183+1,IF($F184=1,$H183,IF($A184=Config!$A$2,$H183,0)))</f>
        <v>0</v>
      </c>
      <c r="M184" s="109"/>
    </row>
    <row r="185" spans="1:13" x14ac:dyDescent="0.3">
      <c r="A185" s="106">
        <f t="shared" ca="1" si="10"/>
        <v>45763</v>
      </c>
      <c r="B185" s="107">
        <f ca="1">SUMIFS('Daily Writing Log'!$H$5:$H$34,'Daily Writing Log'!$A$5:$A$34,$A185)</f>
        <v>0</v>
      </c>
      <c r="C185" s="107">
        <f ca="1">SUMIFS('Daily Writing Log'!$I$5:$I$34,'Daily Writing Log'!$A$5:$A$34,$A185)</f>
        <v>0</v>
      </c>
      <c r="D185" s="108">
        <f ca="1">IF($C185&gt;=Config!$B$5,1,0)</f>
        <v>0</v>
      </c>
      <c r="E185" s="108">
        <f t="shared" ca="1" si="11"/>
        <v>0</v>
      </c>
      <c r="F185" s="108">
        <f ca="1">IF(AND($D185=0,$H184&gt;0,$E185&lt;Config!$B$8,$A185&lt;Config!$A$2),1,0)</f>
        <v>0</v>
      </c>
      <c r="G185" s="108">
        <f t="shared" ca="1" si="12"/>
        <v>0</v>
      </c>
      <c r="H185" s="108">
        <f ca="1">IF($D185=1,$H184+1,IF($F185=1,$H184,IF($A185=Config!$A$2,$H184,0)))</f>
        <v>0</v>
      </c>
      <c r="M185" s="109"/>
    </row>
    <row r="186" spans="1:13" x14ac:dyDescent="0.3">
      <c r="A186" s="106">
        <f t="shared" ca="1" si="10"/>
        <v>45764</v>
      </c>
      <c r="B186" s="107">
        <f ca="1">SUMIFS('Daily Writing Log'!$H$5:$H$34,'Daily Writing Log'!$A$5:$A$34,$A186)</f>
        <v>0</v>
      </c>
      <c r="C186" s="107">
        <f ca="1">SUMIFS('Daily Writing Log'!$I$5:$I$34,'Daily Writing Log'!$A$5:$A$34,$A186)</f>
        <v>0</v>
      </c>
      <c r="D186" s="108">
        <f ca="1">IF($C186&gt;=Config!$B$5,1,0)</f>
        <v>0</v>
      </c>
      <c r="E186" s="108">
        <f t="shared" ca="1" si="11"/>
        <v>0</v>
      </c>
      <c r="F186" s="108">
        <f ca="1">IF(AND($D186=0,$H185&gt;0,$E186&lt;Config!$B$8,$A186&lt;Config!$A$2),1,0)</f>
        <v>0</v>
      </c>
      <c r="G186" s="108">
        <f t="shared" ca="1" si="12"/>
        <v>0</v>
      </c>
      <c r="H186" s="108">
        <f ca="1">IF($D186=1,$H185+1,IF($F186=1,$H185,IF($A186=Config!$A$2,$H185,0)))</f>
        <v>0</v>
      </c>
      <c r="M186" s="109"/>
    </row>
    <row r="187" spans="1:13" x14ac:dyDescent="0.3">
      <c r="A187" s="106">
        <f t="shared" ca="1" si="10"/>
        <v>45765</v>
      </c>
      <c r="B187" s="107">
        <f ca="1">SUMIFS('Daily Writing Log'!$H$5:$H$34,'Daily Writing Log'!$A$5:$A$34,$A187)</f>
        <v>0</v>
      </c>
      <c r="C187" s="107">
        <f ca="1">SUMIFS('Daily Writing Log'!$I$5:$I$34,'Daily Writing Log'!$A$5:$A$34,$A187)</f>
        <v>0</v>
      </c>
      <c r="D187" s="108">
        <f ca="1">IF($C187&gt;=Config!$B$5,1,0)</f>
        <v>0</v>
      </c>
      <c r="E187" s="108">
        <f t="shared" ca="1" si="11"/>
        <v>0</v>
      </c>
      <c r="F187" s="108">
        <f ca="1">IF(AND($D187=0,$H186&gt;0,$E187&lt;Config!$B$8,$A187&lt;Config!$A$2),1,0)</f>
        <v>0</v>
      </c>
      <c r="G187" s="108">
        <f t="shared" ca="1" si="12"/>
        <v>0</v>
      </c>
      <c r="H187" s="108">
        <f ca="1">IF($D187=1,$H186+1,IF($F187=1,$H186,IF($A187=Config!$A$2,$H186,0)))</f>
        <v>0</v>
      </c>
      <c r="M187" s="109"/>
    </row>
    <row r="188" spans="1:13" x14ac:dyDescent="0.3">
      <c r="A188" s="106">
        <f t="shared" ca="1" si="10"/>
        <v>45766</v>
      </c>
      <c r="B188" s="107">
        <f ca="1">SUMIFS('Daily Writing Log'!$H$5:$H$34,'Daily Writing Log'!$A$5:$A$34,$A188)</f>
        <v>0</v>
      </c>
      <c r="C188" s="107">
        <f ca="1">SUMIFS('Daily Writing Log'!$I$5:$I$34,'Daily Writing Log'!$A$5:$A$34,$A188)</f>
        <v>0</v>
      </c>
      <c r="D188" s="108">
        <f ca="1">IF($C188&gt;=Config!$B$5,1,0)</f>
        <v>0</v>
      </c>
      <c r="E188" s="108">
        <f t="shared" ca="1" si="11"/>
        <v>0</v>
      </c>
      <c r="F188" s="108">
        <f ca="1">IF(AND($D188=0,$H187&gt;0,$E188&lt;Config!$B$8,$A188&lt;Config!$A$2),1,0)</f>
        <v>0</v>
      </c>
      <c r="G188" s="108">
        <f t="shared" ca="1" si="12"/>
        <v>0</v>
      </c>
      <c r="H188" s="108">
        <f ca="1">IF($D188=1,$H187+1,IF($F188=1,$H187,IF($A188=Config!$A$2,$H187,0)))</f>
        <v>0</v>
      </c>
      <c r="M188" s="109"/>
    </row>
    <row r="189" spans="1:13" x14ac:dyDescent="0.3">
      <c r="A189" s="106">
        <f t="shared" ca="1" si="10"/>
        <v>45767</v>
      </c>
      <c r="B189" s="107">
        <f ca="1">SUMIFS('Daily Writing Log'!$H$5:$H$34,'Daily Writing Log'!$A$5:$A$34,$A189)</f>
        <v>0</v>
      </c>
      <c r="C189" s="107">
        <f ca="1">SUMIFS('Daily Writing Log'!$I$5:$I$34,'Daily Writing Log'!$A$5:$A$34,$A189)</f>
        <v>0</v>
      </c>
      <c r="D189" s="108">
        <f ca="1">IF($C189&gt;=Config!$B$5,1,0)</f>
        <v>0</v>
      </c>
      <c r="E189" s="108">
        <f t="shared" ca="1" si="11"/>
        <v>0</v>
      </c>
      <c r="F189" s="108">
        <f ca="1">IF(AND($D189=0,$H188&gt;0,$E189&lt;Config!$B$8,$A189&lt;Config!$A$2),1,0)</f>
        <v>0</v>
      </c>
      <c r="G189" s="108">
        <f t="shared" ca="1" si="12"/>
        <v>0</v>
      </c>
      <c r="H189" s="108">
        <f ca="1">IF($D189=1,$H188+1,IF($F189=1,$H188,IF($A189=Config!$A$2,$H188,0)))</f>
        <v>0</v>
      </c>
      <c r="M189" s="109"/>
    </row>
    <row r="190" spans="1:13" x14ac:dyDescent="0.3">
      <c r="A190" s="106">
        <f t="shared" ca="1" si="10"/>
        <v>45768</v>
      </c>
      <c r="B190" s="107">
        <f ca="1">SUMIFS('Daily Writing Log'!$H$5:$H$34,'Daily Writing Log'!$A$5:$A$34,$A190)</f>
        <v>0</v>
      </c>
      <c r="C190" s="107">
        <f ca="1">SUMIFS('Daily Writing Log'!$I$5:$I$34,'Daily Writing Log'!$A$5:$A$34,$A190)</f>
        <v>0</v>
      </c>
      <c r="D190" s="108">
        <f ca="1">IF($C190&gt;=Config!$B$5,1,0)</f>
        <v>0</v>
      </c>
      <c r="E190" s="108">
        <f t="shared" ca="1" si="11"/>
        <v>0</v>
      </c>
      <c r="F190" s="108">
        <f ca="1">IF(AND($D190=0,$H189&gt;0,$E190&lt;Config!$B$8,$A190&lt;Config!$A$2),1,0)</f>
        <v>0</v>
      </c>
      <c r="G190" s="108">
        <f t="shared" ca="1" si="12"/>
        <v>0</v>
      </c>
      <c r="H190" s="108">
        <f ca="1">IF($D190=1,$H189+1,IF($F190=1,$H189,IF($A190=Config!$A$2,$H189,0)))</f>
        <v>0</v>
      </c>
      <c r="M190" s="109"/>
    </row>
    <row r="191" spans="1:13" x14ac:dyDescent="0.3">
      <c r="A191" s="106">
        <f t="shared" ca="1" si="10"/>
        <v>45769</v>
      </c>
      <c r="B191" s="107">
        <f ca="1">SUMIFS('Daily Writing Log'!$H$5:$H$34,'Daily Writing Log'!$A$5:$A$34,$A191)</f>
        <v>0</v>
      </c>
      <c r="C191" s="107">
        <f ca="1">SUMIFS('Daily Writing Log'!$I$5:$I$34,'Daily Writing Log'!$A$5:$A$34,$A191)</f>
        <v>0</v>
      </c>
      <c r="D191" s="108">
        <f ca="1">IF($C191&gt;=Config!$B$5,1,0)</f>
        <v>0</v>
      </c>
      <c r="E191" s="108">
        <f t="shared" ca="1" si="11"/>
        <v>0</v>
      </c>
      <c r="F191" s="108">
        <f ca="1">IF(AND($D191=0,$H190&gt;0,$E191&lt;Config!$B$8,$A191&lt;Config!$A$2),1,0)</f>
        <v>0</v>
      </c>
      <c r="G191" s="108">
        <f t="shared" ca="1" si="12"/>
        <v>0</v>
      </c>
      <c r="H191" s="108">
        <f ca="1">IF($D191=1,$H190+1,IF($F191=1,$H190,IF($A191=Config!$A$2,$H190,0)))</f>
        <v>0</v>
      </c>
      <c r="M191" s="109"/>
    </row>
    <row r="192" spans="1:13" x14ac:dyDescent="0.3">
      <c r="A192" s="106">
        <f t="shared" ca="1" si="10"/>
        <v>45770</v>
      </c>
      <c r="B192" s="107">
        <f ca="1">SUMIFS('Daily Writing Log'!$H$5:$H$34,'Daily Writing Log'!$A$5:$A$34,$A192)</f>
        <v>0</v>
      </c>
      <c r="C192" s="107">
        <f ca="1">SUMIFS('Daily Writing Log'!$I$5:$I$34,'Daily Writing Log'!$A$5:$A$34,$A192)</f>
        <v>0</v>
      </c>
      <c r="D192" s="108">
        <f ca="1">IF($C192&gt;=Config!$B$5,1,0)</f>
        <v>0</v>
      </c>
      <c r="E192" s="108">
        <f t="shared" ca="1" si="11"/>
        <v>0</v>
      </c>
      <c r="F192" s="108">
        <f ca="1">IF(AND($D192=0,$H191&gt;0,$E192&lt;Config!$B$8,$A192&lt;Config!$A$2),1,0)</f>
        <v>0</v>
      </c>
      <c r="G192" s="108">
        <f t="shared" ca="1" si="12"/>
        <v>0</v>
      </c>
      <c r="H192" s="108">
        <f ca="1">IF($D192=1,$H191+1,IF($F192=1,$H191,IF($A192=Config!$A$2,$H191,0)))</f>
        <v>0</v>
      </c>
      <c r="M192" s="109"/>
    </row>
    <row r="193" spans="1:13" x14ac:dyDescent="0.3">
      <c r="A193" s="106">
        <f t="shared" ca="1" si="10"/>
        <v>45771</v>
      </c>
      <c r="B193" s="107">
        <f ca="1">SUMIFS('Daily Writing Log'!$H$5:$H$34,'Daily Writing Log'!$A$5:$A$34,$A193)</f>
        <v>0</v>
      </c>
      <c r="C193" s="107">
        <f ca="1">SUMIFS('Daily Writing Log'!$I$5:$I$34,'Daily Writing Log'!$A$5:$A$34,$A193)</f>
        <v>0</v>
      </c>
      <c r="D193" s="108">
        <f ca="1">IF($C193&gt;=Config!$B$5,1,0)</f>
        <v>0</v>
      </c>
      <c r="E193" s="108">
        <f t="shared" ca="1" si="11"/>
        <v>0</v>
      </c>
      <c r="F193" s="108">
        <f ca="1">IF(AND($D193=0,$H192&gt;0,$E193&lt;Config!$B$8,$A193&lt;Config!$A$2),1,0)</f>
        <v>0</v>
      </c>
      <c r="G193" s="108">
        <f t="shared" ca="1" si="12"/>
        <v>0</v>
      </c>
      <c r="H193" s="108">
        <f ca="1">IF($D193=1,$H192+1,IF($F193=1,$H192,IF($A193=Config!$A$2,$H192,0)))</f>
        <v>0</v>
      </c>
      <c r="M193" s="109"/>
    </row>
    <row r="194" spans="1:13" x14ac:dyDescent="0.3">
      <c r="A194" s="106">
        <f t="shared" ca="1" si="10"/>
        <v>45772</v>
      </c>
      <c r="B194" s="107">
        <f ca="1">SUMIFS('Daily Writing Log'!$H$5:$H$34,'Daily Writing Log'!$A$5:$A$34,$A194)</f>
        <v>0</v>
      </c>
      <c r="C194" s="107">
        <f ca="1">SUMIFS('Daily Writing Log'!$I$5:$I$34,'Daily Writing Log'!$A$5:$A$34,$A194)</f>
        <v>0</v>
      </c>
      <c r="D194" s="108">
        <f ca="1">IF($C194&gt;=Config!$B$5,1,0)</f>
        <v>0</v>
      </c>
      <c r="E194" s="108">
        <f t="shared" ca="1" si="11"/>
        <v>0</v>
      </c>
      <c r="F194" s="108">
        <f ca="1">IF(AND($D194=0,$H193&gt;0,$E194&lt;Config!$B$8,$A194&lt;Config!$A$2),1,0)</f>
        <v>0</v>
      </c>
      <c r="G194" s="108">
        <f t="shared" ca="1" si="12"/>
        <v>0</v>
      </c>
      <c r="H194" s="108">
        <f ca="1">IF($D194=1,$H193+1,IF($F194=1,$H193,IF($A194=Config!$A$2,$H193,0)))</f>
        <v>0</v>
      </c>
      <c r="M194" s="109"/>
    </row>
    <row r="195" spans="1:13" x14ac:dyDescent="0.3">
      <c r="A195" s="106">
        <f t="shared" ca="1" si="10"/>
        <v>45773</v>
      </c>
      <c r="B195" s="107">
        <f ca="1">SUMIFS('Daily Writing Log'!$H$5:$H$34,'Daily Writing Log'!$A$5:$A$34,$A195)</f>
        <v>0</v>
      </c>
      <c r="C195" s="107">
        <f ca="1">SUMIFS('Daily Writing Log'!$I$5:$I$34,'Daily Writing Log'!$A$5:$A$34,$A195)</f>
        <v>0</v>
      </c>
      <c r="D195" s="108">
        <f ca="1">IF($C195&gt;=Config!$B$5,1,0)</f>
        <v>0</v>
      </c>
      <c r="E195" s="108">
        <f t="shared" ca="1" si="11"/>
        <v>0</v>
      </c>
      <c r="F195" s="108">
        <f ca="1">IF(AND($D195=0,$H194&gt;0,$E195&lt;Config!$B$8,$A195&lt;Config!$A$2),1,0)</f>
        <v>0</v>
      </c>
      <c r="G195" s="108">
        <f t="shared" ca="1" si="12"/>
        <v>0</v>
      </c>
      <c r="H195" s="108">
        <f ca="1">IF($D195=1,$H194+1,IF($F195=1,$H194,IF($A195=Config!$A$2,$H194,0)))</f>
        <v>0</v>
      </c>
      <c r="M195" s="109"/>
    </row>
    <row r="196" spans="1:13" x14ac:dyDescent="0.3">
      <c r="A196" s="106">
        <f t="shared" ca="1" si="10"/>
        <v>45774</v>
      </c>
      <c r="B196" s="107">
        <f ca="1">SUMIFS('Daily Writing Log'!$H$5:$H$34,'Daily Writing Log'!$A$5:$A$34,$A196)</f>
        <v>0</v>
      </c>
      <c r="C196" s="107">
        <f ca="1">SUMIFS('Daily Writing Log'!$I$5:$I$34,'Daily Writing Log'!$A$5:$A$34,$A196)</f>
        <v>0</v>
      </c>
      <c r="D196" s="108">
        <f ca="1">IF($C196&gt;=Config!$B$5,1,0)</f>
        <v>0</v>
      </c>
      <c r="E196" s="108">
        <f t="shared" ca="1" si="11"/>
        <v>0</v>
      </c>
      <c r="F196" s="108">
        <f ca="1">IF(AND($D196=0,$H195&gt;0,$E196&lt;Config!$B$8,$A196&lt;Config!$A$2),1,0)</f>
        <v>0</v>
      </c>
      <c r="G196" s="108">
        <f t="shared" ca="1" si="12"/>
        <v>0</v>
      </c>
      <c r="H196" s="108">
        <f ca="1">IF($D196=1,$H195+1,IF($F196=1,$H195,IF($A196=Config!$A$2,$H195,0)))</f>
        <v>0</v>
      </c>
      <c r="M196" s="109"/>
    </row>
    <row r="197" spans="1:13" x14ac:dyDescent="0.3">
      <c r="A197" s="106">
        <f t="shared" ca="1" si="10"/>
        <v>45775</v>
      </c>
      <c r="B197" s="107">
        <f ca="1">SUMIFS('Daily Writing Log'!$H$5:$H$34,'Daily Writing Log'!$A$5:$A$34,$A197)</f>
        <v>0</v>
      </c>
      <c r="C197" s="107">
        <f ca="1">SUMIFS('Daily Writing Log'!$I$5:$I$34,'Daily Writing Log'!$A$5:$A$34,$A197)</f>
        <v>0</v>
      </c>
      <c r="D197" s="108">
        <f ca="1">IF($C197&gt;=Config!$B$5,1,0)</f>
        <v>0</v>
      </c>
      <c r="E197" s="108">
        <f t="shared" ca="1" si="11"/>
        <v>0</v>
      </c>
      <c r="F197" s="108">
        <f ca="1">IF(AND($D197=0,$H196&gt;0,$E197&lt;Config!$B$8,$A197&lt;Config!$A$2),1,0)</f>
        <v>0</v>
      </c>
      <c r="G197" s="108">
        <f t="shared" ca="1" si="12"/>
        <v>0</v>
      </c>
      <c r="H197" s="108">
        <f ca="1">IF($D197=1,$H196+1,IF($F197=1,$H196,IF($A197=Config!$A$2,$H196,0)))</f>
        <v>0</v>
      </c>
      <c r="M197" s="109"/>
    </row>
    <row r="198" spans="1:13" x14ac:dyDescent="0.3">
      <c r="A198" s="106">
        <f t="shared" ref="A198:A261" ca="1" si="13">A197+1</f>
        <v>45776</v>
      </c>
      <c r="B198" s="107">
        <f ca="1">SUMIFS('Daily Writing Log'!$H$5:$H$34,'Daily Writing Log'!$A$5:$A$34,$A198)</f>
        <v>0</v>
      </c>
      <c r="C198" s="107">
        <f ca="1">SUMIFS('Daily Writing Log'!$I$5:$I$34,'Daily Writing Log'!$A$5:$A$34,$A198)</f>
        <v>0</v>
      </c>
      <c r="D198" s="108">
        <f ca="1">IF($C198&gt;=Config!$B$5,1,0)</f>
        <v>0</v>
      </c>
      <c r="E198" s="108">
        <f t="shared" ref="E198:E261" ca="1" si="14">IF(MONTH($A198)&lt;&gt;MONTH($A197),0,$G197)</f>
        <v>0</v>
      </c>
      <c r="F198" s="108">
        <f ca="1">IF(AND($D198=0,$H197&gt;0,$E198&lt;Config!$B$8,$A198&lt;Config!$A$2),1,0)</f>
        <v>0</v>
      </c>
      <c r="G198" s="108">
        <f t="shared" ref="G198:G261" ca="1" si="15">$E198+$F198</f>
        <v>0</v>
      </c>
      <c r="H198" s="108">
        <f ca="1">IF($D198=1,$H197+1,IF($F198=1,$H197,IF($A198=Config!$A$2,$H197,0)))</f>
        <v>0</v>
      </c>
      <c r="M198" s="109"/>
    </row>
    <row r="199" spans="1:13" x14ac:dyDescent="0.3">
      <c r="A199" s="106">
        <f t="shared" ca="1" si="13"/>
        <v>45777</v>
      </c>
      <c r="B199" s="107">
        <f ca="1">SUMIFS('Daily Writing Log'!$H$5:$H$34,'Daily Writing Log'!$A$5:$A$34,$A199)</f>
        <v>0</v>
      </c>
      <c r="C199" s="107">
        <f ca="1">SUMIFS('Daily Writing Log'!$I$5:$I$34,'Daily Writing Log'!$A$5:$A$34,$A199)</f>
        <v>0</v>
      </c>
      <c r="D199" s="108">
        <f ca="1">IF($C199&gt;=Config!$B$5,1,0)</f>
        <v>0</v>
      </c>
      <c r="E199" s="108">
        <f t="shared" ca="1" si="14"/>
        <v>0</v>
      </c>
      <c r="F199" s="108">
        <f ca="1">IF(AND($D199=0,$H198&gt;0,$E199&lt;Config!$B$8,$A199&lt;Config!$A$2),1,0)</f>
        <v>0</v>
      </c>
      <c r="G199" s="108">
        <f t="shared" ca="1" si="15"/>
        <v>0</v>
      </c>
      <c r="H199" s="108">
        <f ca="1">IF($D199=1,$H198+1,IF($F199=1,$H198,IF($A199=Config!$A$2,$H198,0)))</f>
        <v>0</v>
      </c>
      <c r="M199" s="109"/>
    </row>
    <row r="200" spans="1:13" x14ac:dyDescent="0.3">
      <c r="A200" s="106">
        <f t="shared" ca="1" si="13"/>
        <v>45778</v>
      </c>
      <c r="B200" s="107">
        <f ca="1">SUMIFS('Daily Writing Log'!$H$5:$H$34,'Daily Writing Log'!$A$5:$A$34,$A200)</f>
        <v>0</v>
      </c>
      <c r="C200" s="107">
        <f ca="1">SUMIFS('Daily Writing Log'!$I$5:$I$34,'Daily Writing Log'!$A$5:$A$34,$A200)</f>
        <v>0</v>
      </c>
      <c r="D200" s="108">
        <f ca="1">IF($C200&gt;=Config!$B$5,1,0)</f>
        <v>0</v>
      </c>
      <c r="E200" s="108">
        <f t="shared" ca="1" si="14"/>
        <v>0</v>
      </c>
      <c r="F200" s="108">
        <f ca="1">IF(AND($D200=0,$H199&gt;0,$E200&lt;Config!$B$8,$A200&lt;Config!$A$2),1,0)</f>
        <v>0</v>
      </c>
      <c r="G200" s="108">
        <f t="shared" ca="1" si="15"/>
        <v>0</v>
      </c>
      <c r="H200" s="108">
        <f ca="1">IF($D200=1,$H199+1,IF($F200=1,$H199,IF($A200=Config!$A$2,$H199,0)))</f>
        <v>0</v>
      </c>
      <c r="M200" s="109"/>
    </row>
    <row r="201" spans="1:13" x14ac:dyDescent="0.3">
      <c r="A201" s="106">
        <f t="shared" ca="1" si="13"/>
        <v>45779</v>
      </c>
      <c r="B201" s="107">
        <f ca="1">SUMIFS('Daily Writing Log'!$H$5:$H$34,'Daily Writing Log'!$A$5:$A$34,$A201)</f>
        <v>0</v>
      </c>
      <c r="C201" s="107">
        <f ca="1">SUMIFS('Daily Writing Log'!$I$5:$I$34,'Daily Writing Log'!$A$5:$A$34,$A201)</f>
        <v>0</v>
      </c>
      <c r="D201" s="108">
        <f ca="1">IF($C201&gt;=Config!$B$5,1,0)</f>
        <v>0</v>
      </c>
      <c r="E201" s="108">
        <f t="shared" ca="1" si="14"/>
        <v>0</v>
      </c>
      <c r="F201" s="108">
        <f ca="1">IF(AND($D201=0,$H200&gt;0,$E201&lt;Config!$B$8,$A201&lt;Config!$A$2),1,0)</f>
        <v>0</v>
      </c>
      <c r="G201" s="108">
        <f t="shared" ca="1" si="15"/>
        <v>0</v>
      </c>
      <c r="H201" s="108">
        <f ca="1">IF($D201=1,$H200+1,IF($F201=1,$H200,IF($A201=Config!$A$2,$H200,0)))</f>
        <v>0</v>
      </c>
      <c r="M201" s="109"/>
    </row>
    <row r="202" spans="1:13" x14ac:dyDescent="0.3">
      <c r="A202" s="106">
        <f t="shared" ca="1" si="13"/>
        <v>45780</v>
      </c>
      <c r="B202" s="107">
        <f ca="1">SUMIFS('Daily Writing Log'!$H$5:$H$34,'Daily Writing Log'!$A$5:$A$34,$A202)</f>
        <v>0</v>
      </c>
      <c r="C202" s="107">
        <f ca="1">SUMIFS('Daily Writing Log'!$I$5:$I$34,'Daily Writing Log'!$A$5:$A$34,$A202)</f>
        <v>0</v>
      </c>
      <c r="D202" s="108">
        <f ca="1">IF($C202&gt;=Config!$B$5,1,0)</f>
        <v>0</v>
      </c>
      <c r="E202" s="108">
        <f t="shared" ca="1" si="14"/>
        <v>0</v>
      </c>
      <c r="F202" s="108">
        <f ca="1">IF(AND($D202=0,$H201&gt;0,$E202&lt;Config!$B$8,$A202&lt;Config!$A$2),1,0)</f>
        <v>0</v>
      </c>
      <c r="G202" s="108">
        <f t="shared" ca="1" si="15"/>
        <v>0</v>
      </c>
      <c r="H202" s="108">
        <f ca="1">IF($D202=1,$H201+1,IF($F202=1,$H201,IF($A202=Config!$A$2,$H201,0)))</f>
        <v>0</v>
      </c>
      <c r="M202" s="109"/>
    </row>
    <row r="203" spans="1:13" x14ac:dyDescent="0.3">
      <c r="A203" s="106">
        <f t="shared" ca="1" si="13"/>
        <v>45781</v>
      </c>
      <c r="B203" s="107">
        <f ca="1">SUMIFS('Daily Writing Log'!$H$5:$H$34,'Daily Writing Log'!$A$5:$A$34,$A203)</f>
        <v>0</v>
      </c>
      <c r="C203" s="107">
        <f ca="1">SUMIFS('Daily Writing Log'!$I$5:$I$34,'Daily Writing Log'!$A$5:$A$34,$A203)</f>
        <v>0</v>
      </c>
      <c r="D203" s="108">
        <f ca="1">IF($C203&gt;=Config!$B$5,1,0)</f>
        <v>0</v>
      </c>
      <c r="E203" s="108">
        <f t="shared" ca="1" si="14"/>
        <v>0</v>
      </c>
      <c r="F203" s="108">
        <f ca="1">IF(AND($D203=0,$H202&gt;0,$E203&lt;Config!$B$8,$A203&lt;Config!$A$2),1,0)</f>
        <v>0</v>
      </c>
      <c r="G203" s="108">
        <f t="shared" ca="1" si="15"/>
        <v>0</v>
      </c>
      <c r="H203" s="108">
        <f ca="1">IF($D203=1,$H202+1,IF($F203=1,$H202,IF($A203=Config!$A$2,$H202,0)))</f>
        <v>0</v>
      </c>
      <c r="M203" s="109"/>
    </row>
    <row r="204" spans="1:13" x14ac:dyDescent="0.3">
      <c r="A204" s="106">
        <f t="shared" ca="1" si="13"/>
        <v>45782</v>
      </c>
      <c r="B204" s="107">
        <f ca="1">SUMIFS('Daily Writing Log'!$H$5:$H$34,'Daily Writing Log'!$A$5:$A$34,$A204)</f>
        <v>0</v>
      </c>
      <c r="C204" s="107">
        <f ca="1">SUMIFS('Daily Writing Log'!$I$5:$I$34,'Daily Writing Log'!$A$5:$A$34,$A204)</f>
        <v>0</v>
      </c>
      <c r="D204" s="108">
        <f ca="1">IF($C204&gt;=Config!$B$5,1,0)</f>
        <v>0</v>
      </c>
      <c r="E204" s="108">
        <f t="shared" ca="1" si="14"/>
        <v>0</v>
      </c>
      <c r="F204" s="108">
        <f ca="1">IF(AND($D204=0,$H203&gt;0,$E204&lt;Config!$B$8,$A204&lt;Config!$A$2),1,0)</f>
        <v>0</v>
      </c>
      <c r="G204" s="108">
        <f t="shared" ca="1" si="15"/>
        <v>0</v>
      </c>
      <c r="H204" s="108">
        <f ca="1">IF($D204=1,$H203+1,IF($F204=1,$H203,IF($A204=Config!$A$2,$H203,0)))</f>
        <v>0</v>
      </c>
      <c r="M204" s="109"/>
    </row>
    <row r="205" spans="1:13" x14ac:dyDescent="0.3">
      <c r="A205" s="106">
        <f t="shared" ca="1" si="13"/>
        <v>45783</v>
      </c>
      <c r="B205" s="107">
        <f ca="1">SUMIFS('Daily Writing Log'!$H$5:$H$34,'Daily Writing Log'!$A$5:$A$34,$A205)</f>
        <v>0</v>
      </c>
      <c r="C205" s="107">
        <f ca="1">SUMIFS('Daily Writing Log'!$I$5:$I$34,'Daily Writing Log'!$A$5:$A$34,$A205)</f>
        <v>0</v>
      </c>
      <c r="D205" s="108">
        <f ca="1">IF($C205&gt;=Config!$B$5,1,0)</f>
        <v>0</v>
      </c>
      <c r="E205" s="108">
        <f t="shared" ca="1" si="14"/>
        <v>0</v>
      </c>
      <c r="F205" s="108">
        <f ca="1">IF(AND($D205=0,$H204&gt;0,$E205&lt;Config!$B$8,$A205&lt;Config!$A$2),1,0)</f>
        <v>0</v>
      </c>
      <c r="G205" s="108">
        <f t="shared" ca="1" si="15"/>
        <v>0</v>
      </c>
      <c r="H205" s="108">
        <f ca="1">IF($D205=1,$H204+1,IF($F205=1,$H204,IF($A205=Config!$A$2,$H204,0)))</f>
        <v>0</v>
      </c>
      <c r="M205" s="109"/>
    </row>
    <row r="206" spans="1:13" x14ac:dyDescent="0.3">
      <c r="A206" s="106">
        <f t="shared" ca="1" si="13"/>
        <v>45784</v>
      </c>
      <c r="B206" s="107">
        <f ca="1">SUMIFS('Daily Writing Log'!$H$5:$H$34,'Daily Writing Log'!$A$5:$A$34,$A206)</f>
        <v>0</v>
      </c>
      <c r="C206" s="107">
        <f ca="1">SUMIFS('Daily Writing Log'!$I$5:$I$34,'Daily Writing Log'!$A$5:$A$34,$A206)</f>
        <v>0</v>
      </c>
      <c r="D206" s="108">
        <f ca="1">IF($C206&gt;=Config!$B$5,1,0)</f>
        <v>0</v>
      </c>
      <c r="E206" s="108">
        <f t="shared" ca="1" si="14"/>
        <v>0</v>
      </c>
      <c r="F206" s="108">
        <f ca="1">IF(AND($D206=0,$H205&gt;0,$E206&lt;Config!$B$8,$A206&lt;Config!$A$2),1,0)</f>
        <v>0</v>
      </c>
      <c r="G206" s="108">
        <f t="shared" ca="1" si="15"/>
        <v>0</v>
      </c>
      <c r="H206" s="108">
        <f ca="1">IF($D206=1,$H205+1,IF($F206=1,$H205,IF($A206=Config!$A$2,$H205,0)))</f>
        <v>0</v>
      </c>
      <c r="M206" s="109"/>
    </row>
    <row r="207" spans="1:13" x14ac:dyDescent="0.3">
      <c r="A207" s="106">
        <f t="shared" ca="1" si="13"/>
        <v>45785</v>
      </c>
      <c r="B207" s="107">
        <f ca="1">SUMIFS('Daily Writing Log'!$H$5:$H$34,'Daily Writing Log'!$A$5:$A$34,$A207)</f>
        <v>0</v>
      </c>
      <c r="C207" s="107">
        <f ca="1">SUMIFS('Daily Writing Log'!$I$5:$I$34,'Daily Writing Log'!$A$5:$A$34,$A207)</f>
        <v>0</v>
      </c>
      <c r="D207" s="108">
        <f ca="1">IF($C207&gt;=Config!$B$5,1,0)</f>
        <v>0</v>
      </c>
      <c r="E207" s="108">
        <f t="shared" ca="1" si="14"/>
        <v>0</v>
      </c>
      <c r="F207" s="108">
        <f ca="1">IF(AND($D207=0,$H206&gt;0,$E207&lt;Config!$B$8,$A207&lt;Config!$A$2),1,0)</f>
        <v>0</v>
      </c>
      <c r="G207" s="108">
        <f t="shared" ca="1" si="15"/>
        <v>0</v>
      </c>
      <c r="H207" s="108">
        <f ca="1">IF($D207=1,$H206+1,IF($F207=1,$H206,IF($A207=Config!$A$2,$H206,0)))</f>
        <v>0</v>
      </c>
      <c r="M207" s="109"/>
    </row>
    <row r="208" spans="1:13" x14ac:dyDescent="0.3">
      <c r="A208" s="106">
        <f t="shared" ca="1" si="13"/>
        <v>45786</v>
      </c>
      <c r="B208" s="107">
        <f ca="1">SUMIFS('Daily Writing Log'!$H$5:$H$34,'Daily Writing Log'!$A$5:$A$34,$A208)</f>
        <v>0</v>
      </c>
      <c r="C208" s="107">
        <f ca="1">SUMIFS('Daily Writing Log'!$I$5:$I$34,'Daily Writing Log'!$A$5:$A$34,$A208)</f>
        <v>0</v>
      </c>
      <c r="D208" s="108">
        <f ca="1">IF($C208&gt;=Config!$B$5,1,0)</f>
        <v>0</v>
      </c>
      <c r="E208" s="108">
        <f t="shared" ca="1" si="14"/>
        <v>0</v>
      </c>
      <c r="F208" s="108">
        <f ca="1">IF(AND($D208=0,$H207&gt;0,$E208&lt;Config!$B$8,$A208&lt;Config!$A$2),1,0)</f>
        <v>0</v>
      </c>
      <c r="G208" s="108">
        <f t="shared" ca="1" si="15"/>
        <v>0</v>
      </c>
      <c r="H208" s="108">
        <f ca="1">IF($D208=1,$H207+1,IF($F208=1,$H207,IF($A208=Config!$A$2,$H207,0)))</f>
        <v>0</v>
      </c>
      <c r="M208" s="109"/>
    </row>
    <row r="209" spans="1:13" x14ac:dyDescent="0.3">
      <c r="A209" s="106">
        <f t="shared" ca="1" si="13"/>
        <v>45787</v>
      </c>
      <c r="B209" s="107">
        <f ca="1">SUMIFS('Daily Writing Log'!$H$5:$H$34,'Daily Writing Log'!$A$5:$A$34,$A209)</f>
        <v>0</v>
      </c>
      <c r="C209" s="107">
        <f ca="1">SUMIFS('Daily Writing Log'!$I$5:$I$34,'Daily Writing Log'!$A$5:$A$34,$A209)</f>
        <v>0</v>
      </c>
      <c r="D209" s="108">
        <f ca="1">IF($C209&gt;=Config!$B$5,1,0)</f>
        <v>0</v>
      </c>
      <c r="E209" s="108">
        <f t="shared" ca="1" si="14"/>
        <v>0</v>
      </c>
      <c r="F209" s="108">
        <f ca="1">IF(AND($D209=0,$H208&gt;0,$E209&lt;Config!$B$8,$A209&lt;Config!$A$2),1,0)</f>
        <v>0</v>
      </c>
      <c r="G209" s="108">
        <f t="shared" ca="1" si="15"/>
        <v>0</v>
      </c>
      <c r="H209" s="108">
        <f ca="1">IF($D209=1,$H208+1,IF($F209=1,$H208,IF($A209=Config!$A$2,$H208,0)))</f>
        <v>0</v>
      </c>
      <c r="M209" s="109"/>
    </row>
    <row r="210" spans="1:13" x14ac:dyDescent="0.3">
      <c r="A210" s="106">
        <f t="shared" ca="1" si="13"/>
        <v>45788</v>
      </c>
      <c r="B210" s="107">
        <f ca="1">SUMIFS('Daily Writing Log'!$H$5:$H$34,'Daily Writing Log'!$A$5:$A$34,$A210)</f>
        <v>0</v>
      </c>
      <c r="C210" s="107">
        <f ca="1">SUMIFS('Daily Writing Log'!$I$5:$I$34,'Daily Writing Log'!$A$5:$A$34,$A210)</f>
        <v>0</v>
      </c>
      <c r="D210" s="108">
        <f ca="1">IF($C210&gt;=Config!$B$5,1,0)</f>
        <v>0</v>
      </c>
      <c r="E210" s="108">
        <f t="shared" ca="1" si="14"/>
        <v>0</v>
      </c>
      <c r="F210" s="108">
        <f ca="1">IF(AND($D210=0,$H209&gt;0,$E210&lt;Config!$B$8,$A210&lt;Config!$A$2),1,0)</f>
        <v>0</v>
      </c>
      <c r="G210" s="108">
        <f t="shared" ca="1" si="15"/>
        <v>0</v>
      </c>
      <c r="H210" s="108">
        <f ca="1">IF($D210=1,$H209+1,IF($F210=1,$H209,IF($A210=Config!$A$2,$H209,0)))</f>
        <v>0</v>
      </c>
      <c r="M210" s="109"/>
    </row>
    <row r="211" spans="1:13" x14ac:dyDescent="0.3">
      <c r="A211" s="106">
        <f t="shared" ca="1" si="13"/>
        <v>45789</v>
      </c>
      <c r="B211" s="107">
        <f ca="1">SUMIFS('Daily Writing Log'!$H$5:$H$34,'Daily Writing Log'!$A$5:$A$34,$A211)</f>
        <v>0</v>
      </c>
      <c r="C211" s="107">
        <f ca="1">SUMIFS('Daily Writing Log'!$I$5:$I$34,'Daily Writing Log'!$A$5:$A$34,$A211)</f>
        <v>0</v>
      </c>
      <c r="D211" s="108">
        <f ca="1">IF($C211&gt;=Config!$B$5,1,0)</f>
        <v>0</v>
      </c>
      <c r="E211" s="108">
        <f t="shared" ca="1" si="14"/>
        <v>0</v>
      </c>
      <c r="F211" s="108">
        <f ca="1">IF(AND($D211=0,$H210&gt;0,$E211&lt;Config!$B$8,$A211&lt;Config!$A$2),1,0)</f>
        <v>0</v>
      </c>
      <c r="G211" s="108">
        <f t="shared" ca="1" si="15"/>
        <v>0</v>
      </c>
      <c r="H211" s="108">
        <f ca="1">IF($D211=1,$H210+1,IF($F211=1,$H210,IF($A211=Config!$A$2,$H210,0)))</f>
        <v>0</v>
      </c>
      <c r="M211" s="109"/>
    </row>
    <row r="212" spans="1:13" x14ac:dyDescent="0.3">
      <c r="A212" s="106">
        <f t="shared" ca="1" si="13"/>
        <v>45790</v>
      </c>
      <c r="B212" s="107">
        <f ca="1">SUMIFS('Daily Writing Log'!$H$5:$H$34,'Daily Writing Log'!$A$5:$A$34,$A212)</f>
        <v>0</v>
      </c>
      <c r="C212" s="107">
        <f ca="1">SUMIFS('Daily Writing Log'!$I$5:$I$34,'Daily Writing Log'!$A$5:$A$34,$A212)</f>
        <v>0</v>
      </c>
      <c r="D212" s="108">
        <f ca="1">IF($C212&gt;=Config!$B$5,1,0)</f>
        <v>0</v>
      </c>
      <c r="E212" s="108">
        <f t="shared" ca="1" si="14"/>
        <v>0</v>
      </c>
      <c r="F212" s="108">
        <f ca="1">IF(AND($D212=0,$H211&gt;0,$E212&lt;Config!$B$8,$A212&lt;Config!$A$2),1,0)</f>
        <v>0</v>
      </c>
      <c r="G212" s="108">
        <f t="shared" ca="1" si="15"/>
        <v>0</v>
      </c>
      <c r="H212" s="108">
        <f ca="1">IF($D212=1,$H211+1,IF($F212=1,$H211,IF($A212=Config!$A$2,$H211,0)))</f>
        <v>0</v>
      </c>
      <c r="M212" s="109"/>
    </row>
    <row r="213" spans="1:13" x14ac:dyDescent="0.3">
      <c r="A213" s="106">
        <f t="shared" ca="1" si="13"/>
        <v>45791</v>
      </c>
      <c r="B213" s="107">
        <f ca="1">SUMIFS('Daily Writing Log'!$H$5:$H$34,'Daily Writing Log'!$A$5:$A$34,$A213)</f>
        <v>0</v>
      </c>
      <c r="C213" s="107">
        <f ca="1">SUMIFS('Daily Writing Log'!$I$5:$I$34,'Daily Writing Log'!$A$5:$A$34,$A213)</f>
        <v>0</v>
      </c>
      <c r="D213" s="108">
        <f ca="1">IF($C213&gt;=Config!$B$5,1,0)</f>
        <v>0</v>
      </c>
      <c r="E213" s="108">
        <f t="shared" ca="1" si="14"/>
        <v>0</v>
      </c>
      <c r="F213" s="108">
        <f ca="1">IF(AND($D213=0,$H212&gt;0,$E213&lt;Config!$B$8,$A213&lt;Config!$A$2),1,0)</f>
        <v>0</v>
      </c>
      <c r="G213" s="108">
        <f t="shared" ca="1" si="15"/>
        <v>0</v>
      </c>
      <c r="H213" s="108">
        <f ca="1">IF($D213=1,$H212+1,IF($F213=1,$H212,IF($A213=Config!$A$2,$H212,0)))</f>
        <v>0</v>
      </c>
      <c r="M213" s="109"/>
    </row>
    <row r="214" spans="1:13" x14ac:dyDescent="0.3">
      <c r="A214" s="106">
        <f t="shared" ca="1" si="13"/>
        <v>45792</v>
      </c>
      <c r="B214" s="107">
        <f ca="1">SUMIFS('Daily Writing Log'!$H$5:$H$34,'Daily Writing Log'!$A$5:$A$34,$A214)</f>
        <v>0</v>
      </c>
      <c r="C214" s="107">
        <f ca="1">SUMIFS('Daily Writing Log'!$I$5:$I$34,'Daily Writing Log'!$A$5:$A$34,$A214)</f>
        <v>0</v>
      </c>
      <c r="D214" s="108">
        <f ca="1">IF($C214&gt;=Config!$B$5,1,0)</f>
        <v>0</v>
      </c>
      <c r="E214" s="108">
        <f t="shared" ca="1" si="14"/>
        <v>0</v>
      </c>
      <c r="F214" s="108">
        <f ca="1">IF(AND($D214=0,$H213&gt;0,$E214&lt;Config!$B$8,$A214&lt;Config!$A$2),1,0)</f>
        <v>0</v>
      </c>
      <c r="G214" s="108">
        <f t="shared" ca="1" si="15"/>
        <v>0</v>
      </c>
      <c r="H214" s="108">
        <f ca="1">IF($D214=1,$H213+1,IF($F214=1,$H213,IF($A214=Config!$A$2,$H213,0)))</f>
        <v>0</v>
      </c>
      <c r="M214" s="109"/>
    </row>
    <row r="215" spans="1:13" x14ac:dyDescent="0.3">
      <c r="A215" s="106">
        <f t="shared" ca="1" si="13"/>
        <v>45793</v>
      </c>
      <c r="B215" s="107">
        <f ca="1">SUMIFS('Daily Writing Log'!$H$5:$H$34,'Daily Writing Log'!$A$5:$A$34,$A215)</f>
        <v>0</v>
      </c>
      <c r="C215" s="107">
        <f ca="1">SUMIFS('Daily Writing Log'!$I$5:$I$34,'Daily Writing Log'!$A$5:$A$34,$A215)</f>
        <v>0</v>
      </c>
      <c r="D215" s="108">
        <f ca="1">IF($C215&gt;=Config!$B$5,1,0)</f>
        <v>0</v>
      </c>
      <c r="E215" s="108">
        <f t="shared" ca="1" si="14"/>
        <v>0</v>
      </c>
      <c r="F215" s="108">
        <f ca="1">IF(AND($D215=0,$H214&gt;0,$E215&lt;Config!$B$8,$A215&lt;Config!$A$2),1,0)</f>
        <v>0</v>
      </c>
      <c r="G215" s="108">
        <f t="shared" ca="1" si="15"/>
        <v>0</v>
      </c>
      <c r="H215" s="108">
        <f ca="1">IF($D215=1,$H214+1,IF($F215=1,$H214,IF($A215=Config!$A$2,$H214,0)))</f>
        <v>0</v>
      </c>
      <c r="M215" s="109"/>
    </row>
    <row r="216" spans="1:13" x14ac:dyDescent="0.3">
      <c r="A216" s="106">
        <f t="shared" ca="1" si="13"/>
        <v>45794</v>
      </c>
      <c r="B216" s="107">
        <f ca="1">SUMIFS('Daily Writing Log'!$H$5:$H$34,'Daily Writing Log'!$A$5:$A$34,$A216)</f>
        <v>0</v>
      </c>
      <c r="C216" s="107">
        <f ca="1">SUMIFS('Daily Writing Log'!$I$5:$I$34,'Daily Writing Log'!$A$5:$A$34,$A216)</f>
        <v>0</v>
      </c>
      <c r="D216" s="108">
        <f ca="1">IF($C216&gt;=Config!$B$5,1,0)</f>
        <v>0</v>
      </c>
      <c r="E216" s="108">
        <f t="shared" ca="1" si="14"/>
        <v>0</v>
      </c>
      <c r="F216" s="108">
        <f ca="1">IF(AND($D216=0,$H215&gt;0,$E216&lt;Config!$B$8,$A216&lt;Config!$A$2),1,0)</f>
        <v>0</v>
      </c>
      <c r="G216" s="108">
        <f t="shared" ca="1" si="15"/>
        <v>0</v>
      </c>
      <c r="H216" s="108">
        <f ca="1">IF($D216=1,$H215+1,IF($F216=1,$H215,IF($A216=Config!$A$2,$H215,0)))</f>
        <v>0</v>
      </c>
      <c r="M216" s="109"/>
    </row>
    <row r="217" spans="1:13" x14ac:dyDescent="0.3">
      <c r="A217" s="106">
        <f t="shared" ca="1" si="13"/>
        <v>45795</v>
      </c>
      <c r="B217" s="107">
        <f ca="1">SUMIFS('Daily Writing Log'!$H$5:$H$34,'Daily Writing Log'!$A$5:$A$34,$A217)</f>
        <v>0</v>
      </c>
      <c r="C217" s="107">
        <f ca="1">SUMIFS('Daily Writing Log'!$I$5:$I$34,'Daily Writing Log'!$A$5:$A$34,$A217)</f>
        <v>0</v>
      </c>
      <c r="D217" s="108">
        <f ca="1">IF($C217&gt;=Config!$B$5,1,0)</f>
        <v>0</v>
      </c>
      <c r="E217" s="108">
        <f t="shared" ca="1" si="14"/>
        <v>0</v>
      </c>
      <c r="F217" s="108">
        <f ca="1">IF(AND($D217=0,$H216&gt;0,$E217&lt;Config!$B$8,$A217&lt;Config!$A$2),1,0)</f>
        <v>0</v>
      </c>
      <c r="G217" s="108">
        <f t="shared" ca="1" si="15"/>
        <v>0</v>
      </c>
      <c r="H217" s="108">
        <f ca="1">IF($D217=1,$H216+1,IF($F217=1,$H216,IF($A217=Config!$A$2,$H216,0)))</f>
        <v>0</v>
      </c>
      <c r="M217" s="109"/>
    </row>
    <row r="218" spans="1:13" x14ac:dyDescent="0.3">
      <c r="A218" s="106">
        <f t="shared" ca="1" si="13"/>
        <v>45796</v>
      </c>
      <c r="B218" s="107">
        <f ca="1">SUMIFS('Daily Writing Log'!$H$5:$H$34,'Daily Writing Log'!$A$5:$A$34,$A218)</f>
        <v>0</v>
      </c>
      <c r="C218" s="107">
        <f ca="1">SUMIFS('Daily Writing Log'!$I$5:$I$34,'Daily Writing Log'!$A$5:$A$34,$A218)</f>
        <v>0</v>
      </c>
      <c r="D218" s="108">
        <f ca="1">IF($C218&gt;=Config!$B$5,1,0)</f>
        <v>0</v>
      </c>
      <c r="E218" s="108">
        <f t="shared" ca="1" si="14"/>
        <v>0</v>
      </c>
      <c r="F218" s="108">
        <f ca="1">IF(AND($D218=0,$H217&gt;0,$E218&lt;Config!$B$8,$A218&lt;Config!$A$2),1,0)</f>
        <v>0</v>
      </c>
      <c r="G218" s="108">
        <f t="shared" ca="1" si="15"/>
        <v>0</v>
      </c>
      <c r="H218" s="108">
        <f ca="1">IF($D218=1,$H217+1,IF($F218=1,$H217,IF($A218=Config!$A$2,$H217,0)))</f>
        <v>0</v>
      </c>
      <c r="M218" s="109"/>
    </row>
    <row r="219" spans="1:13" x14ac:dyDescent="0.3">
      <c r="A219" s="106">
        <f t="shared" ca="1" si="13"/>
        <v>45797</v>
      </c>
      <c r="B219" s="107">
        <f ca="1">SUMIFS('Daily Writing Log'!$H$5:$H$34,'Daily Writing Log'!$A$5:$A$34,$A219)</f>
        <v>0</v>
      </c>
      <c r="C219" s="107">
        <f ca="1">SUMIFS('Daily Writing Log'!$I$5:$I$34,'Daily Writing Log'!$A$5:$A$34,$A219)</f>
        <v>0</v>
      </c>
      <c r="D219" s="108">
        <f ca="1">IF($C219&gt;=Config!$B$5,1,0)</f>
        <v>0</v>
      </c>
      <c r="E219" s="108">
        <f t="shared" ca="1" si="14"/>
        <v>0</v>
      </c>
      <c r="F219" s="108">
        <f ca="1">IF(AND($D219=0,$H218&gt;0,$E219&lt;Config!$B$8,$A219&lt;Config!$A$2),1,0)</f>
        <v>0</v>
      </c>
      <c r="G219" s="108">
        <f t="shared" ca="1" si="15"/>
        <v>0</v>
      </c>
      <c r="H219" s="108">
        <f ca="1">IF($D219=1,$H218+1,IF($F219=1,$H218,IF($A219=Config!$A$2,$H218,0)))</f>
        <v>0</v>
      </c>
      <c r="M219" s="109"/>
    </row>
    <row r="220" spans="1:13" x14ac:dyDescent="0.3">
      <c r="A220" s="106">
        <f t="shared" ca="1" si="13"/>
        <v>45798</v>
      </c>
      <c r="B220" s="107">
        <f ca="1">SUMIFS('Daily Writing Log'!$H$5:$H$34,'Daily Writing Log'!$A$5:$A$34,$A220)</f>
        <v>0</v>
      </c>
      <c r="C220" s="107">
        <f ca="1">SUMIFS('Daily Writing Log'!$I$5:$I$34,'Daily Writing Log'!$A$5:$A$34,$A220)</f>
        <v>0</v>
      </c>
      <c r="D220" s="108">
        <f ca="1">IF($C220&gt;=Config!$B$5,1,0)</f>
        <v>0</v>
      </c>
      <c r="E220" s="108">
        <f t="shared" ca="1" si="14"/>
        <v>0</v>
      </c>
      <c r="F220" s="108">
        <f ca="1">IF(AND($D220=0,$H219&gt;0,$E220&lt;Config!$B$8,$A220&lt;Config!$A$2),1,0)</f>
        <v>0</v>
      </c>
      <c r="G220" s="108">
        <f t="shared" ca="1" si="15"/>
        <v>0</v>
      </c>
      <c r="H220" s="108">
        <f ca="1">IF($D220=1,$H219+1,IF($F220=1,$H219,IF($A220=Config!$A$2,$H219,0)))</f>
        <v>0</v>
      </c>
      <c r="M220" s="109"/>
    </row>
    <row r="221" spans="1:13" x14ac:dyDescent="0.3">
      <c r="A221" s="106">
        <f t="shared" ca="1" si="13"/>
        <v>45799</v>
      </c>
      <c r="B221" s="107">
        <f ca="1">SUMIFS('Daily Writing Log'!$H$5:$H$34,'Daily Writing Log'!$A$5:$A$34,$A221)</f>
        <v>0</v>
      </c>
      <c r="C221" s="107">
        <f ca="1">SUMIFS('Daily Writing Log'!$I$5:$I$34,'Daily Writing Log'!$A$5:$A$34,$A221)</f>
        <v>0</v>
      </c>
      <c r="D221" s="108">
        <f ca="1">IF($C221&gt;=Config!$B$5,1,0)</f>
        <v>0</v>
      </c>
      <c r="E221" s="108">
        <f t="shared" ca="1" si="14"/>
        <v>0</v>
      </c>
      <c r="F221" s="108">
        <f ca="1">IF(AND($D221=0,$H220&gt;0,$E221&lt;Config!$B$8,$A221&lt;Config!$A$2),1,0)</f>
        <v>0</v>
      </c>
      <c r="G221" s="108">
        <f t="shared" ca="1" si="15"/>
        <v>0</v>
      </c>
      <c r="H221" s="108">
        <f ca="1">IF($D221=1,$H220+1,IF($F221=1,$H220,IF($A221=Config!$A$2,$H220,0)))</f>
        <v>0</v>
      </c>
      <c r="M221" s="109"/>
    </row>
    <row r="222" spans="1:13" x14ac:dyDescent="0.3">
      <c r="A222" s="106">
        <f t="shared" ca="1" si="13"/>
        <v>45800</v>
      </c>
      <c r="B222" s="107">
        <f ca="1">SUMIFS('Daily Writing Log'!$H$5:$H$34,'Daily Writing Log'!$A$5:$A$34,$A222)</f>
        <v>0</v>
      </c>
      <c r="C222" s="107">
        <f ca="1">SUMIFS('Daily Writing Log'!$I$5:$I$34,'Daily Writing Log'!$A$5:$A$34,$A222)</f>
        <v>0</v>
      </c>
      <c r="D222" s="108">
        <f ca="1">IF($C222&gt;=Config!$B$5,1,0)</f>
        <v>0</v>
      </c>
      <c r="E222" s="108">
        <f t="shared" ca="1" si="14"/>
        <v>0</v>
      </c>
      <c r="F222" s="108">
        <f ca="1">IF(AND($D222=0,$H221&gt;0,$E222&lt;Config!$B$8,$A222&lt;Config!$A$2),1,0)</f>
        <v>0</v>
      </c>
      <c r="G222" s="108">
        <f t="shared" ca="1" si="15"/>
        <v>0</v>
      </c>
      <c r="H222" s="108">
        <f ca="1">IF($D222=1,$H221+1,IF($F222=1,$H221,IF($A222=Config!$A$2,$H221,0)))</f>
        <v>0</v>
      </c>
      <c r="M222" s="109"/>
    </row>
    <row r="223" spans="1:13" x14ac:dyDescent="0.3">
      <c r="A223" s="106">
        <f t="shared" ca="1" si="13"/>
        <v>45801</v>
      </c>
      <c r="B223" s="107">
        <f ca="1">SUMIFS('Daily Writing Log'!$H$5:$H$34,'Daily Writing Log'!$A$5:$A$34,$A223)</f>
        <v>0</v>
      </c>
      <c r="C223" s="107">
        <f ca="1">SUMIFS('Daily Writing Log'!$I$5:$I$34,'Daily Writing Log'!$A$5:$A$34,$A223)</f>
        <v>0</v>
      </c>
      <c r="D223" s="108">
        <f ca="1">IF($C223&gt;=Config!$B$5,1,0)</f>
        <v>0</v>
      </c>
      <c r="E223" s="108">
        <f t="shared" ca="1" si="14"/>
        <v>0</v>
      </c>
      <c r="F223" s="108">
        <f ca="1">IF(AND($D223=0,$H222&gt;0,$E223&lt;Config!$B$8,$A223&lt;Config!$A$2),1,0)</f>
        <v>0</v>
      </c>
      <c r="G223" s="108">
        <f t="shared" ca="1" si="15"/>
        <v>0</v>
      </c>
      <c r="H223" s="108">
        <f ca="1">IF($D223=1,$H222+1,IF($F223=1,$H222,IF($A223=Config!$A$2,$H222,0)))</f>
        <v>0</v>
      </c>
      <c r="M223" s="109"/>
    </row>
    <row r="224" spans="1:13" x14ac:dyDescent="0.3">
      <c r="A224" s="106">
        <f t="shared" ca="1" si="13"/>
        <v>45802</v>
      </c>
      <c r="B224" s="107">
        <f ca="1">SUMIFS('Daily Writing Log'!$H$5:$H$34,'Daily Writing Log'!$A$5:$A$34,$A224)</f>
        <v>0</v>
      </c>
      <c r="C224" s="107">
        <f ca="1">SUMIFS('Daily Writing Log'!$I$5:$I$34,'Daily Writing Log'!$A$5:$A$34,$A224)</f>
        <v>0</v>
      </c>
      <c r="D224" s="108">
        <f ca="1">IF($C224&gt;=Config!$B$5,1,0)</f>
        <v>0</v>
      </c>
      <c r="E224" s="108">
        <f t="shared" ca="1" si="14"/>
        <v>0</v>
      </c>
      <c r="F224" s="108">
        <f ca="1">IF(AND($D224=0,$H223&gt;0,$E224&lt;Config!$B$8,$A224&lt;Config!$A$2),1,0)</f>
        <v>0</v>
      </c>
      <c r="G224" s="108">
        <f t="shared" ca="1" si="15"/>
        <v>0</v>
      </c>
      <c r="H224" s="108">
        <f ca="1">IF($D224=1,$H223+1,IF($F224=1,$H223,IF($A224=Config!$A$2,$H223,0)))</f>
        <v>0</v>
      </c>
      <c r="M224" s="109"/>
    </row>
    <row r="225" spans="1:13" x14ac:dyDescent="0.3">
      <c r="A225" s="106">
        <f t="shared" ca="1" si="13"/>
        <v>45803</v>
      </c>
      <c r="B225" s="107">
        <f ca="1">SUMIFS('Daily Writing Log'!$H$5:$H$34,'Daily Writing Log'!$A$5:$A$34,$A225)</f>
        <v>0</v>
      </c>
      <c r="C225" s="107">
        <f ca="1">SUMIFS('Daily Writing Log'!$I$5:$I$34,'Daily Writing Log'!$A$5:$A$34,$A225)</f>
        <v>0</v>
      </c>
      <c r="D225" s="108">
        <f ca="1">IF($C225&gt;=Config!$B$5,1,0)</f>
        <v>0</v>
      </c>
      <c r="E225" s="108">
        <f t="shared" ca="1" si="14"/>
        <v>0</v>
      </c>
      <c r="F225" s="108">
        <f ca="1">IF(AND($D225=0,$H224&gt;0,$E225&lt;Config!$B$8,$A225&lt;Config!$A$2),1,0)</f>
        <v>0</v>
      </c>
      <c r="G225" s="108">
        <f t="shared" ca="1" si="15"/>
        <v>0</v>
      </c>
      <c r="H225" s="108">
        <f ca="1">IF($D225=1,$H224+1,IF($F225=1,$H224,IF($A225=Config!$A$2,$H224,0)))</f>
        <v>0</v>
      </c>
      <c r="M225" s="109"/>
    </row>
    <row r="226" spans="1:13" x14ac:dyDescent="0.3">
      <c r="A226" s="106">
        <f t="shared" ca="1" si="13"/>
        <v>45804</v>
      </c>
      <c r="B226" s="107">
        <f ca="1">SUMIFS('Daily Writing Log'!$H$5:$H$34,'Daily Writing Log'!$A$5:$A$34,$A226)</f>
        <v>0</v>
      </c>
      <c r="C226" s="107">
        <f ca="1">SUMIFS('Daily Writing Log'!$I$5:$I$34,'Daily Writing Log'!$A$5:$A$34,$A226)</f>
        <v>0</v>
      </c>
      <c r="D226" s="108">
        <f ca="1">IF($C226&gt;=Config!$B$5,1,0)</f>
        <v>0</v>
      </c>
      <c r="E226" s="108">
        <f t="shared" ca="1" si="14"/>
        <v>0</v>
      </c>
      <c r="F226" s="108">
        <f ca="1">IF(AND($D226=0,$H225&gt;0,$E226&lt;Config!$B$8,$A226&lt;Config!$A$2),1,0)</f>
        <v>0</v>
      </c>
      <c r="G226" s="108">
        <f t="shared" ca="1" si="15"/>
        <v>0</v>
      </c>
      <c r="H226" s="108">
        <f ca="1">IF($D226=1,$H225+1,IF($F226=1,$H225,IF($A226=Config!$A$2,$H225,0)))</f>
        <v>0</v>
      </c>
      <c r="M226" s="109"/>
    </row>
    <row r="227" spans="1:13" x14ac:dyDescent="0.3">
      <c r="A227" s="106">
        <f t="shared" ca="1" si="13"/>
        <v>45805</v>
      </c>
      <c r="B227" s="107">
        <f ca="1">SUMIFS('Daily Writing Log'!$H$5:$H$34,'Daily Writing Log'!$A$5:$A$34,$A227)</f>
        <v>0</v>
      </c>
      <c r="C227" s="107">
        <f ca="1">SUMIFS('Daily Writing Log'!$I$5:$I$34,'Daily Writing Log'!$A$5:$A$34,$A227)</f>
        <v>0</v>
      </c>
      <c r="D227" s="108">
        <f ca="1">IF($C227&gt;=Config!$B$5,1,0)</f>
        <v>0</v>
      </c>
      <c r="E227" s="108">
        <f t="shared" ca="1" si="14"/>
        <v>0</v>
      </c>
      <c r="F227" s="108">
        <f ca="1">IF(AND($D227=0,$H226&gt;0,$E227&lt;Config!$B$8,$A227&lt;Config!$A$2),1,0)</f>
        <v>0</v>
      </c>
      <c r="G227" s="108">
        <f t="shared" ca="1" si="15"/>
        <v>0</v>
      </c>
      <c r="H227" s="108">
        <f ca="1">IF($D227=1,$H226+1,IF($F227=1,$H226,IF($A227=Config!$A$2,$H226,0)))</f>
        <v>0</v>
      </c>
      <c r="M227" s="109"/>
    </row>
    <row r="228" spans="1:13" x14ac:dyDescent="0.3">
      <c r="A228" s="106">
        <f t="shared" ca="1" si="13"/>
        <v>45806</v>
      </c>
      <c r="B228" s="107">
        <f ca="1">SUMIFS('Daily Writing Log'!$H$5:$H$34,'Daily Writing Log'!$A$5:$A$34,$A228)</f>
        <v>0</v>
      </c>
      <c r="C228" s="107">
        <f ca="1">SUMIFS('Daily Writing Log'!$I$5:$I$34,'Daily Writing Log'!$A$5:$A$34,$A228)</f>
        <v>0</v>
      </c>
      <c r="D228" s="108">
        <f ca="1">IF($C228&gt;=Config!$B$5,1,0)</f>
        <v>0</v>
      </c>
      <c r="E228" s="108">
        <f t="shared" ca="1" si="14"/>
        <v>0</v>
      </c>
      <c r="F228" s="108">
        <f ca="1">IF(AND($D228=0,$H227&gt;0,$E228&lt;Config!$B$8,$A228&lt;Config!$A$2),1,0)</f>
        <v>0</v>
      </c>
      <c r="G228" s="108">
        <f t="shared" ca="1" si="15"/>
        <v>0</v>
      </c>
      <c r="H228" s="108">
        <f ca="1">IF($D228=1,$H227+1,IF($F228=1,$H227,IF($A228=Config!$A$2,$H227,0)))</f>
        <v>0</v>
      </c>
      <c r="M228" s="109"/>
    </row>
    <row r="229" spans="1:13" x14ac:dyDescent="0.3">
      <c r="A229" s="106">
        <f t="shared" ca="1" si="13"/>
        <v>45807</v>
      </c>
      <c r="B229" s="107">
        <f ca="1">SUMIFS('Daily Writing Log'!$H$5:$H$34,'Daily Writing Log'!$A$5:$A$34,$A229)</f>
        <v>0</v>
      </c>
      <c r="C229" s="107">
        <f ca="1">SUMIFS('Daily Writing Log'!$I$5:$I$34,'Daily Writing Log'!$A$5:$A$34,$A229)</f>
        <v>0</v>
      </c>
      <c r="D229" s="108">
        <f ca="1">IF($C229&gt;=Config!$B$5,1,0)</f>
        <v>0</v>
      </c>
      <c r="E229" s="108">
        <f t="shared" ca="1" si="14"/>
        <v>0</v>
      </c>
      <c r="F229" s="108">
        <f ca="1">IF(AND($D229=0,$H228&gt;0,$E229&lt;Config!$B$8,$A229&lt;Config!$A$2),1,0)</f>
        <v>0</v>
      </c>
      <c r="G229" s="108">
        <f t="shared" ca="1" si="15"/>
        <v>0</v>
      </c>
      <c r="H229" s="108">
        <f ca="1">IF($D229=1,$H228+1,IF($F229=1,$H228,IF($A229=Config!$A$2,$H228,0)))</f>
        <v>0</v>
      </c>
      <c r="M229" s="109"/>
    </row>
    <row r="230" spans="1:13" x14ac:dyDescent="0.3">
      <c r="A230" s="106">
        <f t="shared" ca="1" si="13"/>
        <v>45808</v>
      </c>
      <c r="B230" s="107">
        <f ca="1">SUMIFS('Daily Writing Log'!$H$5:$H$34,'Daily Writing Log'!$A$5:$A$34,$A230)</f>
        <v>0</v>
      </c>
      <c r="C230" s="107">
        <f ca="1">SUMIFS('Daily Writing Log'!$I$5:$I$34,'Daily Writing Log'!$A$5:$A$34,$A230)</f>
        <v>0</v>
      </c>
      <c r="D230" s="108">
        <f ca="1">IF($C230&gt;=Config!$B$5,1,0)</f>
        <v>0</v>
      </c>
      <c r="E230" s="108">
        <f t="shared" ca="1" si="14"/>
        <v>0</v>
      </c>
      <c r="F230" s="108">
        <f ca="1">IF(AND($D230=0,$H229&gt;0,$E230&lt;Config!$B$8,$A230&lt;Config!$A$2),1,0)</f>
        <v>0</v>
      </c>
      <c r="G230" s="108">
        <f t="shared" ca="1" si="15"/>
        <v>0</v>
      </c>
      <c r="H230" s="108">
        <f ca="1">IF($D230=1,$H229+1,IF($F230=1,$H229,IF($A230=Config!$A$2,$H229,0)))</f>
        <v>0</v>
      </c>
      <c r="M230" s="109"/>
    </row>
    <row r="231" spans="1:13" x14ac:dyDescent="0.3">
      <c r="A231" s="106">
        <f t="shared" ca="1" si="13"/>
        <v>45809</v>
      </c>
      <c r="B231" s="107">
        <f ca="1">SUMIFS('Daily Writing Log'!$H$5:$H$34,'Daily Writing Log'!$A$5:$A$34,$A231)</f>
        <v>0</v>
      </c>
      <c r="C231" s="107">
        <f ca="1">SUMIFS('Daily Writing Log'!$I$5:$I$34,'Daily Writing Log'!$A$5:$A$34,$A231)</f>
        <v>0</v>
      </c>
      <c r="D231" s="108">
        <f ca="1">IF($C231&gt;=Config!$B$5,1,0)</f>
        <v>0</v>
      </c>
      <c r="E231" s="108">
        <f t="shared" ca="1" si="14"/>
        <v>0</v>
      </c>
      <c r="F231" s="108">
        <f ca="1">IF(AND($D231=0,$H230&gt;0,$E231&lt;Config!$B$8,$A231&lt;Config!$A$2),1,0)</f>
        <v>0</v>
      </c>
      <c r="G231" s="108">
        <f t="shared" ca="1" si="15"/>
        <v>0</v>
      </c>
      <c r="H231" s="108">
        <f ca="1">IF($D231=1,$H230+1,IF($F231=1,$H230,IF($A231=Config!$A$2,$H230,0)))</f>
        <v>0</v>
      </c>
      <c r="M231" s="109"/>
    </row>
    <row r="232" spans="1:13" x14ac:dyDescent="0.3">
      <c r="A232" s="106">
        <f t="shared" ca="1" si="13"/>
        <v>45810</v>
      </c>
      <c r="B232" s="107">
        <f ca="1">SUMIFS('Daily Writing Log'!$H$5:$H$34,'Daily Writing Log'!$A$5:$A$34,$A232)</f>
        <v>0</v>
      </c>
      <c r="C232" s="107">
        <f ca="1">SUMIFS('Daily Writing Log'!$I$5:$I$34,'Daily Writing Log'!$A$5:$A$34,$A232)</f>
        <v>0</v>
      </c>
      <c r="D232" s="108">
        <f ca="1">IF($C232&gt;=Config!$B$5,1,0)</f>
        <v>0</v>
      </c>
      <c r="E232" s="108">
        <f t="shared" ca="1" si="14"/>
        <v>0</v>
      </c>
      <c r="F232" s="108">
        <f ca="1">IF(AND($D232=0,$H231&gt;0,$E232&lt;Config!$B$8,$A232&lt;Config!$A$2),1,0)</f>
        <v>0</v>
      </c>
      <c r="G232" s="108">
        <f t="shared" ca="1" si="15"/>
        <v>0</v>
      </c>
      <c r="H232" s="108">
        <f ca="1">IF($D232=1,$H231+1,IF($F232=1,$H231,IF($A232=Config!$A$2,$H231,0)))</f>
        <v>0</v>
      </c>
      <c r="M232" s="109"/>
    </row>
    <row r="233" spans="1:13" x14ac:dyDescent="0.3">
      <c r="A233" s="106">
        <f t="shared" ca="1" si="13"/>
        <v>45811</v>
      </c>
      <c r="B233" s="107">
        <f ca="1">SUMIFS('Daily Writing Log'!$H$5:$H$34,'Daily Writing Log'!$A$5:$A$34,$A233)</f>
        <v>0</v>
      </c>
      <c r="C233" s="107">
        <f ca="1">SUMIFS('Daily Writing Log'!$I$5:$I$34,'Daily Writing Log'!$A$5:$A$34,$A233)</f>
        <v>0</v>
      </c>
      <c r="D233" s="108">
        <f ca="1">IF($C233&gt;=Config!$B$5,1,0)</f>
        <v>0</v>
      </c>
      <c r="E233" s="108">
        <f t="shared" ca="1" si="14"/>
        <v>0</v>
      </c>
      <c r="F233" s="108">
        <f ca="1">IF(AND($D233=0,$H232&gt;0,$E233&lt;Config!$B$8,$A233&lt;Config!$A$2),1,0)</f>
        <v>0</v>
      </c>
      <c r="G233" s="108">
        <f t="shared" ca="1" si="15"/>
        <v>0</v>
      </c>
      <c r="H233" s="108">
        <f ca="1">IF($D233=1,$H232+1,IF($F233=1,$H232,IF($A233=Config!$A$2,$H232,0)))</f>
        <v>0</v>
      </c>
      <c r="M233" s="109"/>
    </row>
    <row r="234" spans="1:13" x14ac:dyDescent="0.3">
      <c r="A234" s="106">
        <f t="shared" ca="1" si="13"/>
        <v>45812</v>
      </c>
      <c r="B234" s="107">
        <f ca="1">SUMIFS('Daily Writing Log'!$H$5:$H$34,'Daily Writing Log'!$A$5:$A$34,$A234)</f>
        <v>0</v>
      </c>
      <c r="C234" s="107">
        <f ca="1">SUMIFS('Daily Writing Log'!$I$5:$I$34,'Daily Writing Log'!$A$5:$A$34,$A234)</f>
        <v>0</v>
      </c>
      <c r="D234" s="108">
        <f ca="1">IF($C234&gt;=Config!$B$5,1,0)</f>
        <v>0</v>
      </c>
      <c r="E234" s="108">
        <f t="shared" ca="1" si="14"/>
        <v>0</v>
      </c>
      <c r="F234" s="108">
        <f ca="1">IF(AND($D234=0,$H233&gt;0,$E234&lt;Config!$B$8,$A234&lt;Config!$A$2),1,0)</f>
        <v>0</v>
      </c>
      <c r="G234" s="108">
        <f t="shared" ca="1" si="15"/>
        <v>0</v>
      </c>
      <c r="H234" s="108">
        <f ca="1">IF($D234=1,$H233+1,IF($F234=1,$H233,IF($A234=Config!$A$2,$H233,0)))</f>
        <v>0</v>
      </c>
      <c r="M234" s="109"/>
    </row>
    <row r="235" spans="1:13" x14ac:dyDescent="0.3">
      <c r="A235" s="106">
        <f t="shared" ca="1" si="13"/>
        <v>45813</v>
      </c>
      <c r="B235" s="107">
        <f ca="1">SUMIFS('Daily Writing Log'!$H$5:$H$34,'Daily Writing Log'!$A$5:$A$34,$A235)</f>
        <v>0</v>
      </c>
      <c r="C235" s="107">
        <f ca="1">SUMIFS('Daily Writing Log'!$I$5:$I$34,'Daily Writing Log'!$A$5:$A$34,$A235)</f>
        <v>0</v>
      </c>
      <c r="D235" s="108">
        <f ca="1">IF($C235&gt;=Config!$B$5,1,0)</f>
        <v>0</v>
      </c>
      <c r="E235" s="108">
        <f t="shared" ca="1" si="14"/>
        <v>0</v>
      </c>
      <c r="F235" s="108">
        <f ca="1">IF(AND($D235=0,$H234&gt;0,$E235&lt;Config!$B$8,$A235&lt;Config!$A$2),1,0)</f>
        <v>0</v>
      </c>
      <c r="G235" s="108">
        <f t="shared" ca="1" si="15"/>
        <v>0</v>
      </c>
      <c r="H235" s="108">
        <f ca="1">IF($D235=1,$H234+1,IF($F235=1,$H234,IF($A235=Config!$A$2,$H234,0)))</f>
        <v>0</v>
      </c>
      <c r="M235" s="109"/>
    </row>
    <row r="236" spans="1:13" x14ac:dyDescent="0.3">
      <c r="A236" s="106">
        <f t="shared" ca="1" si="13"/>
        <v>45814</v>
      </c>
      <c r="B236" s="107">
        <f ca="1">SUMIFS('Daily Writing Log'!$H$5:$H$34,'Daily Writing Log'!$A$5:$A$34,$A236)</f>
        <v>0</v>
      </c>
      <c r="C236" s="107">
        <f ca="1">SUMIFS('Daily Writing Log'!$I$5:$I$34,'Daily Writing Log'!$A$5:$A$34,$A236)</f>
        <v>0</v>
      </c>
      <c r="D236" s="108">
        <f ca="1">IF($C236&gt;=Config!$B$5,1,0)</f>
        <v>0</v>
      </c>
      <c r="E236" s="108">
        <f t="shared" ca="1" si="14"/>
        <v>0</v>
      </c>
      <c r="F236" s="108">
        <f ca="1">IF(AND($D236=0,$H235&gt;0,$E236&lt;Config!$B$8,$A236&lt;Config!$A$2),1,0)</f>
        <v>0</v>
      </c>
      <c r="G236" s="108">
        <f t="shared" ca="1" si="15"/>
        <v>0</v>
      </c>
      <c r="H236" s="108">
        <f ca="1">IF($D236=1,$H235+1,IF($F236=1,$H235,IF($A236=Config!$A$2,$H235,0)))</f>
        <v>0</v>
      </c>
      <c r="M236" s="109"/>
    </row>
    <row r="237" spans="1:13" x14ac:dyDescent="0.3">
      <c r="A237" s="106">
        <f t="shared" ca="1" si="13"/>
        <v>45815</v>
      </c>
      <c r="B237" s="107">
        <f ca="1">SUMIFS('Daily Writing Log'!$H$5:$H$34,'Daily Writing Log'!$A$5:$A$34,$A237)</f>
        <v>0</v>
      </c>
      <c r="C237" s="107">
        <f ca="1">SUMIFS('Daily Writing Log'!$I$5:$I$34,'Daily Writing Log'!$A$5:$A$34,$A237)</f>
        <v>0</v>
      </c>
      <c r="D237" s="108">
        <f ca="1">IF($C237&gt;=Config!$B$5,1,0)</f>
        <v>0</v>
      </c>
      <c r="E237" s="108">
        <f t="shared" ca="1" si="14"/>
        <v>0</v>
      </c>
      <c r="F237" s="108">
        <f ca="1">IF(AND($D237=0,$H236&gt;0,$E237&lt;Config!$B$8,$A237&lt;Config!$A$2),1,0)</f>
        <v>0</v>
      </c>
      <c r="G237" s="108">
        <f t="shared" ca="1" si="15"/>
        <v>0</v>
      </c>
      <c r="H237" s="108">
        <f ca="1">IF($D237=1,$H236+1,IF($F237=1,$H236,IF($A237=Config!$A$2,$H236,0)))</f>
        <v>0</v>
      </c>
      <c r="M237" s="109"/>
    </row>
    <row r="238" spans="1:13" x14ac:dyDescent="0.3">
      <c r="A238" s="106">
        <f t="shared" ca="1" si="13"/>
        <v>45816</v>
      </c>
      <c r="B238" s="107">
        <f ca="1">SUMIFS('Daily Writing Log'!$H$5:$H$34,'Daily Writing Log'!$A$5:$A$34,$A238)</f>
        <v>0</v>
      </c>
      <c r="C238" s="107">
        <f ca="1">SUMIFS('Daily Writing Log'!$I$5:$I$34,'Daily Writing Log'!$A$5:$A$34,$A238)</f>
        <v>0</v>
      </c>
      <c r="D238" s="108">
        <f ca="1">IF($C238&gt;=Config!$B$5,1,0)</f>
        <v>0</v>
      </c>
      <c r="E238" s="108">
        <f t="shared" ca="1" si="14"/>
        <v>0</v>
      </c>
      <c r="F238" s="108">
        <f ca="1">IF(AND($D238=0,$H237&gt;0,$E238&lt;Config!$B$8,$A238&lt;Config!$A$2),1,0)</f>
        <v>0</v>
      </c>
      <c r="G238" s="108">
        <f t="shared" ca="1" si="15"/>
        <v>0</v>
      </c>
      <c r="H238" s="108">
        <f ca="1">IF($D238=1,$H237+1,IF($F238=1,$H237,IF($A238=Config!$A$2,$H237,0)))</f>
        <v>0</v>
      </c>
      <c r="M238" s="109"/>
    </row>
    <row r="239" spans="1:13" x14ac:dyDescent="0.3">
      <c r="A239" s="106">
        <f t="shared" ca="1" si="13"/>
        <v>45817</v>
      </c>
      <c r="B239" s="107">
        <f ca="1">SUMIFS('Daily Writing Log'!$H$5:$H$34,'Daily Writing Log'!$A$5:$A$34,$A239)</f>
        <v>0</v>
      </c>
      <c r="C239" s="107">
        <f ca="1">SUMIFS('Daily Writing Log'!$I$5:$I$34,'Daily Writing Log'!$A$5:$A$34,$A239)</f>
        <v>0</v>
      </c>
      <c r="D239" s="108">
        <f ca="1">IF($C239&gt;=Config!$B$5,1,0)</f>
        <v>0</v>
      </c>
      <c r="E239" s="108">
        <f t="shared" ca="1" si="14"/>
        <v>0</v>
      </c>
      <c r="F239" s="108">
        <f ca="1">IF(AND($D239=0,$H238&gt;0,$E239&lt;Config!$B$8,$A239&lt;Config!$A$2),1,0)</f>
        <v>0</v>
      </c>
      <c r="G239" s="108">
        <f t="shared" ca="1" si="15"/>
        <v>0</v>
      </c>
      <c r="H239" s="108">
        <f ca="1">IF($D239=1,$H238+1,IF($F239=1,$H238,IF($A239=Config!$A$2,$H238,0)))</f>
        <v>0</v>
      </c>
      <c r="M239" s="109"/>
    </row>
    <row r="240" spans="1:13" x14ac:dyDescent="0.3">
      <c r="A240" s="106">
        <f t="shared" ca="1" si="13"/>
        <v>45818</v>
      </c>
      <c r="B240" s="107">
        <f ca="1">SUMIFS('Daily Writing Log'!$H$5:$H$34,'Daily Writing Log'!$A$5:$A$34,$A240)</f>
        <v>0</v>
      </c>
      <c r="C240" s="107">
        <f ca="1">SUMIFS('Daily Writing Log'!$I$5:$I$34,'Daily Writing Log'!$A$5:$A$34,$A240)</f>
        <v>0</v>
      </c>
      <c r="D240" s="108">
        <f ca="1">IF($C240&gt;=Config!$B$5,1,0)</f>
        <v>0</v>
      </c>
      <c r="E240" s="108">
        <f t="shared" ca="1" si="14"/>
        <v>0</v>
      </c>
      <c r="F240" s="108">
        <f ca="1">IF(AND($D240=0,$H239&gt;0,$E240&lt;Config!$B$8,$A240&lt;Config!$A$2),1,0)</f>
        <v>0</v>
      </c>
      <c r="G240" s="108">
        <f t="shared" ca="1" si="15"/>
        <v>0</v>
      </c>
      <c r="H240" s="108">
        <f ca="1">IF($D240=1,$H239+1,IF($F240=1,$H239,IF($A240=Config!$A$2,$H239,0)))</f>
        <v>0</v>
      </c>
      <c r="M240" s="109"/>
    </row>
    <row r="241" spans="1:13" x14ac:dyDescent="0.3">
      <c r="A241" s="106">
        <f t="shared" ca="1" si="13"/>
        <v>45819</v>
      </c>
      <c r="B241" s="107">
        <f ca="1">SUMIFS('Daily Writing Log'!$H$5:$H$34,'Daily Writing Log'!$A$5:$A$34,$A241)</f>
        <v>0</v>
      </c>
      <c r="C241" s="107">
        <f ca="1">SUMIFS('Daily Writing Log'!$I$5:$I$34,'Daily Writing Log'!$A$5:$A$34,$A241)</f>
        <v>0</v>
      </c>
      <c r="D241" s="108">
        <f ca="1">IF($C241&gt;=Config!$B$5,1,0)</f>
        <v>0</v>
      </c>
      <c r="E241" s="108">
        <f t="shared" ca="1" si="14"/>
        <v>0</v>
      </c>
      <c r="F241" s="108">
        <f ca="1">IF(AND($D241=0,$H240&gt;0,$E241&lt;Config!$B$8,$A241&lt;Config!$A$2),1,0)</f>
        <v>0</v>
      </c>
      <c r="G241" s="108">
        <f t="shared" ca="1" si="15"/>
        <v>0</v>
      </c>
      <c r="H241" s="108">
        <f ca="1">IF($D241=1,$H240+1,IF($F241=1,$H240,IF($A241=Config!$A$2,$H240,0)))</f>
        <v>0</v>
      </c>
      <c r="M241" s="109"/>
    </row>
    <row r="242" spans="1:13" x14ac:dyDescent="0.3">
      <c r="A242" s="106">
        <f t="shared" ca="1" si="13"/>
        <v>45820</v>
      </c>
      <c r="B242" s="107">
        <f ca="1">SUMIFS('Daily Writing Log'!$H$5:$H$34,'Daily Writing Log'!$A$5:$A$34,$A242)</f>
        <v>0</v>
      </c>
      <c r="C242" s="107">
        <f ca="1">SUMIFS('Daily Writing Log'!$I$5:$I$34,'Daily Writing Log'!$A$5:$A$34,$A242)</f>
        <v>0</v>
      </c>
      <c r="D242" s="108">
        <f ca="1">IF($C242&gt;=Config!$B$5,1,0)</f>
        <v>0</v>
      </c>
      <c r="E242" s="108">
        <f t="shared" ca="1" si="14"/>
        <v>0</v>
      </c>
      <c r="F242" s="108">
        <f ca="1">IF(AND($D242=0,$H241&gt;0,$E242&lt;Config!$B$8,$A242&lt;Config!$A$2),1,0)</f>
        <v>0</v>
      </c>
      <c r="G242" s="108">
        <f t="shared" ca="1" si="15"/>
        <v>0</v>
      </c>
      <c r="H242" s="108">
        <f ca="1">IF($D242=1,$H241+1,IF($F242=1,$H241,IF($A242=Config!$A$2,$H241,0)))</f>
        <v>0</v>
      </c>
      <c r="M242" s="109"/>
    </row>
    <row r="243" spans="1:13" x14ac:dyDescent="0.3">
      <c r="A243" s="106">
        <f t="shared" ca="1" si="13"/>
        <v>45821</v>
      </c>
      <c r="B243" s="107">
        <f ca="1">SUMIFS('Daily Writing Log'!$H$5:$H$34,'Daily Writing Log'!$A$5:$A$34,$A243)</f>
        <v>0</v>
      </c>
      <c r="C243" s="107">
        <f ca="1">SUMIFS('Daily Writing Log'!$I$5:$I$34,'Daily Writing Log'!$A$5:$A$34,$A243)</f>
        <v>0</v>
      </c>
      <c r="D243" s="108">
        <f ca="1">IF($C243&gt;=Config!$B$5,1,0)</f>
        <v>0</v>
      </c>
      <c r="E243" s="108">
        <f t="shared" ca="1" si="14"/>
        <v>0</v>
      </c>
      <c r="F243" s="108">
        <f ca="1">IF(AND($D243=0,$H242&gt;0,$E243&lt;Config!$B$8,$A243&lt;Config!$A$2),1,0)</f>
        <v>0</v>
      </c>
      <c r="G243" s="108">
        <f t="shared" ca="1" si="15"/>
        <v>0</v>
      </c>
      <c r="H243" s="108">
        <f ca="1">IF($D243=1,$H242+1,IF($F243=1,$H242,IF($A243=Config!$A$2,$H242,0)))</f>
        <v>0</v>
      </c>
      <c r="M243" s="109"/>
    </row>
    <row r="244" spans="1:13" x14ac:dyDescent="0.3">
      <c r="A244" s="106">
        <f t="shared" ca="1" si="13"/>
        <v>45822</v>
      </c>
      <c r="B244" s="107">
        <f ca="1">SUMIFS('Daily Writing Log'!$H$5:$H$34,'Daily Writing Log'!$A$5:$A$34,$A244)</f>
        <v>0</v>
      </c>
      <c r="C244" s="107">
        <f ca="1">SUMIFS('Daily Writing Log'!$I$5:$I$34,'Daily Writing Log'!$A$5:$A$34,$A244)</f>
        <v>0</v>
      </c>
      <c r="D244" s="108">
        <f ca="1">IF($C244&gt;=Config!$B$5,1,0)</f>
        <v>0</v>
      </c>
      <c r="E244" s="108">
        <f t="shared" ca="1" si="14"/>
        <v>0</v>
      </c>
      <c r="F244" s="108">
        <f ca="1">IF(AND($D244=0,$H243&gt;0,$E244&lt;Config!$B$8,$A244&lt;Config!$A$2),1,0)</f>
        <v>0</v>
      </c>
      <c r="G244" s="108">
        <f t="shared" ca="1" si="15"/>
        <v>0</v>
      </c>
      <c r="H244" s="108">
        <f ca="1">IF($D244=1,$H243+1,IF($F244=1,$H243,IF($A244=Config!$A$2,$H243,0)))</f>
        <v>0</v>
      </c>
      <c r="M244" s="109"/>
    </row>
    <row r="245" spans="1:13" x14ac:dyDescent="0.3">
      <c r="A245" s="106">
        <f t="shared" ca="1" si="13"/>
        <v>45823</v>
      </c>
      <c r="B245" s="107">
        <f ca="1">SUMIFS('Daily Writing Log'!$H$5:$H$34,'Daily Writing Log'!$A$5:$A$34,$A245)</f>
        <v>0</v>
      </c>
      <c r="C245" s="107">
        <f ca="1">SUMIFS('Daily Writing Log'!$I$5:$I$34,'Daily Writing Log'!$A$5:$A$34,$A245)</f>
        <v>0</v>
      </c>
      <c r="D245" s="108">
        <f ca="1">IF($C245&gt;=Config!$B$5,1,0)</f>
        <v>0</v>
      </c>
      <c r="E245" s="108">
        <f t="shared" ca="1" si="14"/>
        <v>0</v>
      </c>
      <c r="F245" s="108">
        <f ca="1">IF(AND($D245=0,$H244&gt;0,$E245&lt;Config!$B$8,$A245&lt;Config!$A$2),1,0)</f>
        <v>0</v>
      </c>
      <c r="G245" s="108">
        <f t="shared" ca="1" si="15"/>
        <v>0</v>
      </c>
      <c r="H245" s="108">
        <f ca="1">IF($D245=1,$H244+1,IF($F245=1,$H244,IF($A245=Config!$A$2,$H244,0)))</f>
        <v>0</v>
      </c>
      <c r="M245" s="109"/>
    </row>
    <row r="246" spans="1:13" x14ac:dyDescent="0.3">
      <c r="A246" s="106">
        <f t="shared" ca="1" si="13"/>
        <v>45824</v>
      </c>
      <c r="B246" s="107">
        <f ca="1">SUMIFS('Daily Writing Log'!$H$5:$H$34,'Daily Writing Log'!$A$5:$A$34,$A246)</f>
        <v>0</v>
      </c>
      <c r="C246" s="107">
        <f ca="1">SUMIFS('Daily Writing Log'!$I$5:$I$34,'Daily Writing Log'!$A$5:$A$34,$A246)</f>
        <v>0</v>
      </c>
      <c r="D246" s="108">
        <f ca="1">IF($C246&gt;=Config!$B$5,1,0)</f>
        <v>0</v>
      </c>
      <c r="E246" s="108">
        <f t="shared" ca="1" si="14"/>
        <v>0</v>
      </c>
      <c r="F246" s="108">
        <f ca="1">IF(AND($D246=0,$H245&gt;0,$E246&lt;Config!$B$8,$A246&lt;Config!$A$2),1,0)</f>
        <v>0</v>
      </c>
      <c r="G246" s="108">
        <f t="shared" ca="1" si="15"/>
        <v>0</v>
      </c>
      <c r="H246" s="108">
        <f ca="1">IF($D246=1,$H245+1,IF($F246=1,$H245,IF($A246=Config!$A$2,$H245,0)))</f>
        <v>0</v>
      </c>
      <c r="M246" s="109"/>
    </row>
    <row r="247" spans="1:13" x14ac:dyDescent="0.3">
      <c r="A247" s="106">
        <f t="shared" ca="1" si="13"/>
        <v>45825</v>
      </c>
      <c r="B247" s="107">
        <f ca="1">SUMIFS('Daily Writing Log'!$H$5:$H$34,'Daily Writing Log'!$A$5:$A$34,$A247)</f>
        <v>0</v>
      </c>
      <c r="C247" s="107">
        <f ca="1">SUMIFS('Daily Writing Log'!$I$5:$I$34,'Daily Writing Log'!$A$5:$A$34,$A247)</f>
        <v>0</v>
      </c>
      <c r="D247" s="108">
        <f ca="1">IF($C247&gt;=Config!$B$5,1,0)</f>
        <v>0</v>
      </c>
      <c r="E247" s="108">
        <f t="shared" ca="1" si="14"/>
        <v>0</v>
      </c>
      <c r="F247" s="108">
        <f ca="1">IF(AND($D247=0,$H246&gt;0,$E247&lt;Config!$B$8,$A247&lt;Config!$A$2),1,0)</f>
        <v>0</v>
      </c>
      <c r="G247" s="108">
        <f t="shared" ca="1" si="15"/>
        <v>0</v>
      </c>
      <c r="H247" s="108">
        <f ca="1">IF($D247=1,$H246+1,IF($F247=1,$H246,IF($A247=Config!$A$2,$H246,0)))</f>
        <v>0</v>
      </c>
      <c r="M247" s="109"/>
    </row>
    <row r="248" spans="1:13" x14ac:dyDescent="0.3">
      <c r="A248" s="106">
        <f t="shared" ca="1" si="13"/>
        <v>45826</v>
      </c>
      <c r="B248" s="107">
        <f ca="1">SUMIFS('Daily Writing Log'!$H$5:$H$34,'Daily Writing Log'!$A$5:$A$34,$A248)</f>
        <v>0</v>
      </c>
      <c r="C248" s="107">
        <f ca="1">SUMIFS('Daily Writing Log'!$I$5:$I$34,'Daily Writing Log'!$A$5:$A$34,$A248)</f>
        <v>0</v>
      </c>
      <c r="D248" s="108">
        <f ca="1">IF($C248&gt;=Config!$B$5,1,0)</f>
        <v>0</v>
      </c>
      <c r="E248" s="108">
        <f t="shared" ca="1" si="14"/>
        <v>0</v>
      </c>
      <c r="F248" s="108">
        <f ca="1">IF(AND($D248=0,$H247&gt;0,$E248&lt;Config!$B$8,$A248&lt;Config!$A$2),1,0)</f>
        <v>0</v>
      </c>
      <c r="G248" s="108">
        <f t="shared" ca="1" si="15"/>
        <v>0</v>
      </c>
      <c r="H248" s="108">
        <f ca="1">IF($D248=1,$H247+1,IF($F248=1,$H247,IF($A248=Config!$A$2,$H247,0)))</f>
        <v>0</v>
      </c>
      <c r="M248" s="109"/>
    </row>
    <row r="249" spans="1:13" x14ac:dyDescent="0.3">
      <c r="A249" s="106">
        <f t="shared" ca="1" si="13"/>
        <v>45827</v>
      </c>
      <c r="B249" s="107">
        <f ca="1">SUMIFS('Daily Writing Log'!$H$5:$H$34,'Daily Writing Log'!$A$5:$A$34,$A249)</f>
        <v>0</v>
      </c>
      <c r="C249" s="107">
        <f ca="1">SUMIFS('Daily Writing Log'!$I$5:$I$34,'Daily Writing Log'!$A$5:$A$34,$A249)</f>
        <v>0</v>
      </c>
      <c r="D249" s="108">
        <f ca="1">IF($C249&gt;=Config!$B$5,1,0)</f>
        <v>0</v>
      </c>
      <c r="E249" s="108">
        <f t="shared" ca="1" si="14"/>
        <v>0</v>
      </c>
      <c r="F249" s="108">
        <f ca="1">IF(AND($D249=0,$H248&gt;0,$E249&lt;Config!$B$8,$A249&lt;Config!$A$2),1,0)</f>
        <v>0</v>
      </c>
      <c r="G249" s="108">
        <f t="shared" ca="1" si="15"/>
        <v>0</v>
      </c>
      <c r="H249" s="108">
        <f ca="1">IF($D249=1,$H248+1,IF($F249=1,$H248,IF($A249=Config!$A$2,$H248,0)))</f>
        <v>0</v>
      </c>
      <c r="M249" s="109"/>
    </row>
    <row r="250" spans="1:13" x14ac:dyDescent="0.3">
      <c r="A250" s="106">
        <f t="shared" ca="1" si="13"/>
        <v>45828</v>
      </c>
      <c r="B250" s="107">
        <f ca="1">SUMIFS('Daily Writing Log'!$H$5:$H$34,'Daily Writing Log'!$A$5:$A$34,$A250)</f>
        <v>0</v>
      </c>
      <c r="C250" s="107">
        <f ca="1">SUMIFS('Daily Writing Log'!$I$5:$I$34,'Daily Writing Log'!$A$5:$A$34,$A250)</f>
        <v>0</v>
      </c>
      <c r="D250" s="108">
        <f ca="1">IF($C250&gt;=Config!$B$5,1,0)</f>
        <v>0</v>
      </c>
      <c r="E250" s="108">
        <f t="shared" ca="1" si="14"/>
        <v>0</v>
      </c>
      <c r="F250" s="108">
        <f ca="1">IF(AND($D250=0,$H249&gt;0,$E250&lt;Config!$B$8,$A250&lt;Config!$A$2),1,0)</f>
        <v>0</v>
      </c>
      <c r="G250" s="108">
        <f t="shared" ca="1" si="15"/>
        <v>0</v>
      </c>
      <c r="H250" s="108">
        <f ca="1">IF($D250=1,$H249+1,IF($F250=1,$H249,IF($A250=Config!$A$2,$H249,0)))</f>
        <v>0</v>
      </c>
      <c r="M250" s="109"/>
    </row>
    <row r="251" spans="1:13" x14ac:dyDescent="0.3">
      <c r="A251" s="106">
        <f t="shared" ca="1" si="13"/>
        <v>45829</v>
      </c>
      <c r="B251" s="107">
        <f ca="1">SUMIFS('Daily Writing Log'!$H$5:$H$34,'Daily Writing Log'!$A$5:$A$34,$A251)</f>
        <v>0</v>
      </c>
      <c r="C251" s="107">
        <f ca="1">SUMIFS('Daily Writing Log'!$I$5:$I$34,'Daily Writing Log'!$A$5:$A$34,$A251)</f>
        <v>0</v>
      </c>
      <c r="D251" s="108">
        <f ca="1">IF($C251&gt;=Config!$B$5,1,0)</f>
        <v>0</v>
      </c>
      <c r="E251" s="108">
        <f t="shared" ca="1" si="14"/>
        <v>0</v>
      </c>
      <c r="F251" s="108">
        <f ca="1">IF(AND($D251=0,$H250&gt;0,$E251&lt;Config!$B$8,$A251&lt;Config!$A$2),1,0)</f>
        <v>0</v>
      </c>
      <c r="G251" s="108">
        <f t="shared" ca="1" si="15"/>
        <v>0</v>
      </c>
      <c r="H251" s="108">
        <f ca="1">IF($D251=1,$H250+1,IF($F251=1,$H250,IF($A251=Config!$A$2,$H250,0)))</f>
        <v>0</v>
      </c>
      <c r="M251" s="109"/>
    </row>
    <row r="252" spans="1:13" x14ac:dyDescent="0.3">
      <c r="A252" s="106">
        <f t="shared" ca="1" si="13"/>
        <v>45830</v>
      </c>
      <c r="B252" s="107">
        <f ca="1">SUMIFS('Daily Writing Log'!$H$5:$H$34,'Daily Writing Log'!$A$5:$A$34,$A252)</f>
        <v>0</v>
      </c>
      <c r="C252" s="107">
        <f ca="1">SUMIFS('Daily Writing Log'!$I$5:$I$34,'Daily Writing Log'!$A$5:$A$34,$A252)</f>
        <v>0</v>
      </c>
      <c r="D252" s="108">
        <f ca="1">IF($C252&gt;=Config!$B$5,1,0)</f>
        <v>0</v>
      </c>
      <c r="E252" s="108">
        <f t="shared" ca="1" si="14"/>
        <v>0</v>
      </c>
      <c r="F252" s="108">
        <f ca="1">IF(AND($D252=0,$H251&gt;0,$E252&lt;Config!$B$8,$A252&lt;Config!$A$2),1,0)</f>
        <v>0</v>
      </c>
      <c r="G252" s="108">
        <f t="shared" ca="1" si="15"/>
        <v>0</v>
      </c>
      <c r="H252" s="108">
        <f ca="1">IF($D252=1,$H251+1,IF($F252=1,$H251,IF($A252=Config!$A$2,$H251,0)))</f>
        <v>0</v>
      </c>
      <c r="M252" s="109"/>
    </row>
    <row r="253" spans="1:13" x14ac:dyDescent="0.3">
      <c r="A253" s="106">
        <f t="shared" ca="1" si="13"/>
        <v>45831</v>
      </c>
      <c r="B253" s="107">
        <f ca="1">SUMIFS('Daily Writing Log'!$H$5:$H$34,'Daily Writing Log'!$A$5:$A$34,$A253)</f>
        <v>0</v>
      </c>
      <c r="C253" s="107">
        <f ca="1">SUMIFS('Daily Writing Log'!$I$5:$I$34,'Daily Writing Log'!$A$5:$A$34,$A253)</f>
        <v>0</v>
      </c>
      <c r="D253" s="108">
        <f ca="1">IF($C253&gt;=Config!$B$5,1,0)</f>
        <v>0</v>
      </c>
      <c r="E253" s="108">
        <f t="shared" ca="1" si="14"/>
        <v>0</v>
      </c>
      <c r="F253" s="108">
        <f ca="1">IF(AND($D253=0,$H252&gt;0,$E253&lt;Config!$B$8,$A253&lt;Config!$A$2),1,0)</f>
        <v>0</v>
      </c>
      <c r="G253" s="108">
        <f t="shared" ca="1" si="15"/>
        <v>0</v>
      </c>
      <c r="H253" s="108">
        <f ca="1">IF($D253=1,$H252+1,IF($F253=1,$H252,IF($A253=Config!$A$2,$H252,0)))</f>
        <v>0</v>
      </c>
      <c r="M253" s="109"/>
    </row>
    <row r="254" spans="1:13" x14ac:dyDescent="0.3">
      <c r="A254" s="106">
        <f t="shared" ca="1" si="13"/>
        <v>45832</v>
      </c>
      <c r="B254" s="107">
        <f ca="1">SUMIFS('Daily Writing Log'!$H$5:$H$34,'Daily Writing Log'!$A$5:$A$34,$A254)</f>
        <v>0</v>
      </c>
      <c r="C254" s="107">
        <f ca="1">SUMIFS('Daily Writing Log'!$I$5:$I$34,'Daily Writing Log'!$A$5:$A$34,$A254)</f>
        <v>0</v>
      </c>
      <c r="D254" s="108">
        <f ca="1">IF($C254&gt;=Config!$B$5,1,0)</f>
        <v>0</v>
      </c>
      <c r="E254" s="108">
        <f t="shared" ca="1" si="14"/>
        <v>0</v>
      </c>
      <c r="F254" s="108">
        <f ca="1">IF(AND($D254=0,$H253&gt;0,$E254&lt;Config!$B$8,$A254&lt;Config!$A$2),1,0)</f>
        <v>0</v>
      </c>
      <c r="G254" s="108">
        <f t="shared" ca="1" si="15"/>
        <v>0</v>
      </c>
      <c r="H254" s="108">
        <f ca="1">IF($D254=1,$H253+1,IF($F254=1,$H253,IF($A254=Config!$A$2,$H253,0)))</f>
        <v>0</v>
      </c>
      <c r="M254" s="109"/>
    </row>
    <row r="255" spans="1:13" x14ac:dyDescent="0.3">
      <c r="A255" s="106">
        <f t="shared" ca="1" si="13"/>
        <v>45833</v>
      </c>
      <c r="B255" s="107">
        <f ca="1">SUMIFS('Daily Writing Log'!$H$5:$H$34,'Daily Writing Log'!$A$5:$A$34,$A255)</f>
        <v>0</v>
      </c>
      <c r="C255" s="107">
        <f ca="1">SUMIFS('Daily Writing Log'!$I$5:$I$34,'Daily Writing Log'!$A$5:$A$34,$A255)</f>
        <v>0</v>
      </c>
      <c r="D255" s="108">
        <f ca="1">IF($C255&gt;=Config!$B$5,1,0)</f>
        <v>0</v>
      </c>
      <c r="E255" s="108">
        <f t="shared" ca="1" si="14"/>
        <v>0</v>
      </c>
      <c r="F255" s="108">
        <f ca="1">IF(AND($D255=0,$H254&gt;0,$E255&lt;Config!$B$8,$A255&lt;Config!$A$2),1,0)</f>
        <v>0</v>
      </c>
      <c r="G255" s="108">
        <f t="shared" ca="1" si="15"/>
        <v>0</v>
      </c>
      <c r="H255" s="108">
        <f ca="1">IF($D255=1,$H254+1,IF($F255=1,$H254,IF($A255=Config!$A$2,$H254,0)))</f>
        <v>0</v>
      </c>
      <c r="M255" s="109"/>
    </row>
    <row r="256" spans="1:13" x14ac:dyDescent="0.3">
      <c r="A256" s="106">
        <f t="shared" ca="1" si="13"/>
        <v>45834</v>
      </c>
      <c r="B256" s="107">
        <f ca="1">SUMIFS('Daily Writing Log'!$H$5:$H$34,'Daily Writing Log'!$A$5:$A$34,$A256)</f>
        <v>0</v>
      </c>
      <c r="C256" s="107">
        <f ca="1">SUMIFS('Daily Writing Log'!$I$5:$I$34,'Daily Writing Log'!$A$5:$A$34,$A256)</f>
        <v>0</v>
      </c>
      <c r="D256" s="108">
        <f ca="1">IF($C256&gt;=Config!$B$5,1,0)</f>
        <v>0</v>
      </c>
      <c r="E256" s="108">
        <f t="shared" ca="1" si="14"/>
        <v>0</v>
      </c>
      <c r="F256" s="108">
        <f ca="1">IF(AND($D256=0,$H255&gt;0,$E256&lt;Config!$B$8,$A256&lt;Config!$A$2),1,0)</f>
        <v>0</v>
      </c>
      <c r="G256" s="108">
        <f t="shared" ca="1" si="15"/>
        <v>0</v>
      </c>
      <c r="H256" s="108">
        <f ca="1">IF($D256=1,$H255+1,IF($F256=1,$H255,IF($A256=Config!$A$2,$H255,0)))</f>
        <v>0</v>
      </c>
      <c r="M256" s="109"/>
    </row>
    <row r="257" spans="1:13" x14ac:dyDescent="0.3">
      <c r="A257" s="106">
        <f t="shared" ca="1" si="13"/>
        <v>45835</v>
      </c>
      <c r="B257" s="107">
        <f ca="1">SUMIFS('Daily Writing Log'!$H$5:$H$34,'Daily Writing Log'!$A$5:$A$34,$A257)</f>
        <v>0</v>
      </c>
      <c r="C257" s="107">
        <f ca="1">SUMIFS('Daily Writing Log'!$I$5:$I$34,'Daily Writing Log'!$A$5:$A$34,$A257)</f>
        <v>0</v>
      </c>
      <c r="D257" s="108">
        <f ca="1">IF($C257&gt;=Config!$B$5,1,0)</f>
        <v>0</v>
      </c>
      <c r="E257" s="108">
        <f t="shared" ca="1" si="14"/>
        <v>0</v>
      </c>
      <c r="F257" s="108">
        <f ca="1">IF(AND($D257=0,$H256&gt;0,$E257&lt;Config!$B$8,$A257&lt;Config!$A$2),1,0)</f>
        <v>0</v>
      </c>
      <c r="G257" s="108">
        <f t="shared" ca="1" si="15"/>
        <v>0</v>
      </c>
      <c r="H257" s="108">
        <f ca="1">IF($D257=1,$H256+1,IF($F257=1,$H256,IF($A257=Config!$A$2,$H256,0)))</f>
        <v>0</v>
      </c>
      <c r="M257" s="109"/>
    </row>
    <row r="258" spans="1:13" x14ac:dyDescent="0.3">
      <c r="A258" s="106">
        <f t="shared" ca="1" si="13"/>
        <v>45836</v>
      </c>
      <c r="B258" s="107">
        <f ca="1">SUMIFS('Daily Writing Log'!$H$5:$H$34,'Daily Writing Log'!$A$5:$A$34,$A258)</f>
        <v>0</v>
      </c>
      <c r="C258" s="107">
        <f ca="1">SUMIFS('Daily Writing Log'!$I$5:$I$34,'Daily Writing Log'!$A$5:$A$34,$A258)</f>
        <v>0</v>
      </c>
      <c r="D258" s="108">
        <f ca="1">IF($C258&gt;=Config!$B$5,1,0)</f>
        <v>0</v>
      </c>
      <c r="E258" s="108">
        <f t="shared" ca="1" si="14"/>
        <v>0</v>
      </c>
      <c r="F258" s="108">
        <f ca="1">IF(AND($D258=0,$H257&gt;0,$E258&lt;Config!$B$8,$A258&lt;Config!$A$2),1,0)</f>
        <v>0</v>
      </c>
      <c r="G258" s="108">
        <f t="shared" ca="1" si="15"/>
        <v>0</v>
      </c>
      <c r="H258" s="108">
        <f ca="1">IF($D258=1,$H257+1,IF($F258=1,$H257,IF($A258=Config!$A$2,$H257,0)))</f>
        <v>0</v>
      </c>
      <c r="M258" s="109"/>
    </row>
    <row r="259" spans="1:13" x14ac:dyDescent="0.3">
      <c r="A259" s="106">
        <f t="shared" ca="1" si="13"/>
        <v>45837</v>
      </c>
      <c r="B259" s="107">
        <f ca="1">SUMIFS('Daily Writing Log'!$H$5:$H$34,'Daily Writing Log'!$A$5:$A$34,$A259)</f>
        <v>0</v>
      </c>
      <c r="C259" s="107">
        <f ca="1">SUMIFS('Daily Writing Log'!$I$5:$I$34,'Daily Writing Log'!$A$5:$A$34,$A259)</f>
        <v>0</v>
      </c>
      <c r="D259" s="108">
        <f ca="1">IF($C259&gt;=Config!$B$5,1,0)</f>
        <v>0</v>
      </c>
      <c r="E259" s="108">
        <f t="shared" ca="1" si="14"/>
        <v>0</v>
      </c>
      <c r="F259" s="108">
        <f ca="1">IF(AND($D259=0,$H258&gt;0,$E259&lt;Config!$B$8,$A259&lt;Config!$A$2),1,0)</f>
        <v>0</v>
      </c>
      <c r="G259" s="108">
        <f t="shared" ca="1" si="15"/>
        <v>0</v>
      </c>
      <c r="H259" s="108">
        <f ca="1">IF($D259=1,$H258+1,IF($F259=1,$H258,IF($A259=Config!$A$2,$H258,0)))</f>
        <v>0</v>
      </c>
      <c r="M259" s="109"/>
    </row>
    <row r="260" spans="1:13" x14ac:dyDescent="0.3">
      <c r="A260" s="106">
        <f t="shared" ca="1" si="13"/>
        <v>45838</v>
      </c>
      <c r="B260" s="107">
        <f ca="1">SUMIFS('Daily Writing Log'!$H$5:$H$34,'Daily Writing Log'!$A$5:$A$34,$A260)</f>
        <v>0</v>
      </c>
      <c r="C260" s="107">
        <f ca="1">SUMIFS('Daily Writing Log'!$I$5:$I$34,'Daily Writing Log'!$A$5:$A$34,$A260)</f>
        <v>0</v>
      </c>
      <c r="D260" s="108">
        <f ca="1">IF($C260&gt;=Config!$B$5,1,0)</f>
        <v>0</v>
      </c>
      <c r="E260" s="108">
        <f t="shared" ca="1" si="14"/>
        <v>0</v>
      </c>
      <c r="F260" s="108">
        <f ca="1">IF(AND($D260=0,$H259&gt;0,$E260&lt;Config!$B$8,$A260&lt;Config!$A$2),1,0)</f>
        <v>0</v>
      </c>
      <c r="G260" s="108">
        <f t="shared" ca="1" si="15"/>
        <v>0</v>
      </c>
      <c r="H260" s="108">
        <f ca="1">IF($D260=1,$H259+1,IF($F260=1,$H259,IF($A260=Config!$A$2,$H259,0)))</f>
        <v>0</v>
      </c>
      <c r="M260" s="109"/>
    </row>
    <row r="261" spans="1:13" x14ac:dyDescent="0.3">
      <c r="A261" s="106">
        <f t="shared" ca="1" si="13"/>
        <v>45839</v>
      </c>
      <c r="B261" s="107">
        <f ca="1">SUMIFS('Daily Writing Log'!$H$5:$H$34,'Daily Writing Log'!$A$5:$A$34,$A261)</f>
        <v>0</v>
      </c>
      <c r="C261" s="107">
        <f ca="1">SUMIFS('Daily Writing Log'!$I$5:$I$34,'Daily Writing Log'!$A$5:$A$34,$A261)</f>
        <v>0</v>
      </c>
      <c r="D261" s="108">
        <f ca="1">IF($C261&gt;=Config!$B$5,1,0)</f>
        <v>0</v>
      </c>
      <c r="E261" s="108">
        <f t="shared" ca="1" si="14"/>
        <v>0</v>
      </c>
      <c r="F261" s="108">
        <f ca="1">IF(AND($D261=0,$H260&gt;0,$E261&lt;Config!$B$8,$A261&lt;Config!$A$2),1,0)</f>
        <v>0</v>
      </c>
      <c r="G261" s="108">
        <f t="shared" ca="1" si="15"/>
        <v>0</v>
      </c>
      <c r="H261" s="108">
        <f ca="1">IF($D261=1,$H260+1,IF($F261=1,$H260,IF($A261=Config!$A$2,$H260,0)))</f>
        <v>0</v>
      </c>
      <c r="M261" s="109"/>
    </row>
    <row r="262" spans="1:13" x14ac:dyDescent="0.3">
      <c r="A262" s="106">
        <f t="shared" ref="A262:A325" ca="1" si="16">A261+1</f>
        <v>45840</v>
      </c>
      <c r="B262" s="107">
        <f ca="1">SUMIFS('Daily Writing Log'!$H$5:$H$34,'Daily Writing Log'!$A$5:$A$34,$A262)</f>
        <v>0</v>
      </c>
      <c r="C262" s="107">
        <f ca="1">SUMIFS('Daily Writing Log'!$I$5:$I$34,'Daily Writing Log'!$A$5:$A$34,$A262)</f>
        <v>0</v>
      </c>
      <c r="D262" s="108">
        <f ca="1">IF($C262&gt;=Config!$B$5,1,0)</f>
        <v>0</v>
      </c>
      <c r="E262" s="108">
        <f t="shared" ref="E262:E325" ca="1" si="17">IF(MONTH($A262)&lt;&gt;MONTH($A261),0,$G261)</f>
        <v>0</v>
      </c>
      <c r="F262" s="108">
        <f ca="1">IF(AND($D262=0,$H261&gt;0,$E262&lt;Config!$B$8,$A262&lt;Config!$A$2),1,0)</f>
        <v>0</v>
      </c>
      <c r="G262" s="108">
        <f t="shared" ref="G262:G325" ca="1" si="18">$E262+$F262</f>
        <v>0</v>
      </c>
      <c r="H262" s="108">
        <f ca="1">IF($D262=1,$H261+1,IF($F262=1,$H261,IF($A262=Config!$A$2,$H261,0)))</f>
        <v>0</v>
      </c>
      <c r="M262" s="109"/>
    </row>
    <row r="263" spans="1:13" x14ac:dyDescent="0.3">
      <c r="A263" s="106">
        <f t="shared" ca="1" si="16"/>
        <v>45841</v>
      </c>
      <c r="B263" s="107">
        <f ca="1">SUMIFS('Daily Writing Log'!$H$5:$H$34,'Daily Writing Log'!$A$5:$A$34,$A263)</f>
        <v>0</v>
      </c>
      <c r="C263" s="107">
        <f ca="1">SUMIFS('Daily Writing Log'!$I$5:$I$34,'Daily Writing Log'!$A$5:$A$34,$A263)</f>
        <v>0</v>
      </c>
      <c r="D263" s="108">
        <f ca="1">IF($C263&gt;=Config!$B$5,1,0)</f>
        <v>0</v>
      </c>
      <c r="E263" s="108">
        <f t="shared" ca="1" si="17"/>
        <v>0</v>
      </c>
      <c r="F263" s="108">
        <f ca="1">IF(AND($D263=0,$H262&gt;0,$E263&lt;Config!$B$8,$A263&lt;Config!$A$2),1,0)</f>
        <v>0</v>
      </c>
      <c r="G263" s="108">
        <f t="shared" ca="1" si="18"/>
        <v>0</v>
      </c>
      <c r="H263" s="108">
        <f ca="1">IF($D263=1,$H262+1,IF($F263=1,$H262,IF($A263=Config!$A$2,$H262,0)))</f>
        <v>0</v>
      </c>
      <c r="M263" s="109"/>
    </row>
    <row r="264" spans="1:13" x14ac:dyDescent="0.3">
      <c r="A264" s="106">
        <f t="shared" ca="1" si="16"/>
        <v>45842</v>
      </c>
      <c r="B264" s="107">
        <f ca="1">SUMIFS('Daily Writing Log'!$H$5:$H$34,'Daily Writing Log'!$A$5:$A$34,$A264)</f>
        <v>0</v>
      </c>
      <c r="C264" s="107">
        <f ca="1">SUMIFS('Daily Writing Log'!$I$5:$I$34,'Daily Writing Log'!$A$5:$A$34,$A264)</f>
        <v>0</v>
      </c>
      <c r="D264" s="108">
        <f ca="1">IF($C264&gt;=Config!$B$5,1,0)</f>
        <v>0</v>
      </c>
      <c r="E264" s="108">
        <f t="shared" ca="1" si="17"/>
        <v>0</v>
      </c>
      <c r="F264" s="108">
        <f ca="1">IF(AND($D264=0,$H263&gt;0,$E264&lt;Config!$B$8,$A264&lt;Config!$A$2),1,0)</f>
        <v>0</v>
      </c>
      <c r="G264" s="108">
        <f t="shared" ca="1" si="18"/>
        <v>0</v>
      </c>
      <c r="H264" s="108">
        <f ca="1">IF($D264=1,$H263+1,IF($F264=1,$H263,IF($A264=Config!$A$2,$H263,0)))</f>
        <v>0</v>
      </c>
      <c r="M264" s="109"/>
    </row>
    <row r="265" spans="1:13" x14ac:dyDescent="0.3">
      <c r="A265" s="106">
        <f t="shared" ca="1" si="16"/>
        <v>45843</v>
      </c>
      <c r="B265" s="107">
        <f ca="1">SUMIFS('Daily Writing Log'!$H$5:$H$34,'Daily Writing Log'!$A$5:$A$34,$A265)</f>
        <v>0</v>
      </c>
      <c r="C265" s="107">
        <f ca="1">SUMIFS('Daily Writing Log'!$I$5:$I$34,'Daily Writing Log'!$A$5:$A$34,$A265)</f>
        <v>0</v>
      </c>
      <c r="D265" s="108">
        <f ca="1">IF($C265&gt;=Config!$B$5,1,0)</f>
        <v>0</v>
      </c>
      <c r="E265" s="108">
        <f t="shared" ca="1" si="17"/>
        <v>0</v>
      </c>
      <c r="F265" s="108">
        <f ca="1">IF(AND($D265=0,$H264&gt;0,$E265&lt;Config!$B$8,$A265&lt;Config!$A$2),1,0)</f>
        <v>0</v>
      </c>
      <c r="G265" s="108">
        <f t="shared" ca="1" si="18"/>
        <v>0</v>
      </c>
      <c r="H265" s="108">
        <f ca="1">IF($D265=1,$H264+1,IF($F265=1,$H264,IF($A265=Config!$A$2,$H264,0)))</f>
        <v>0</v>
      </c>
      <c r="M265" s="109"/>
    </row>
    <row r="266" spans="1:13" x14ac:dyDescent="0.3">
      <c r="A266" s="106">
        <f t="shared" ca="1" si="16"/>
        <v>45844</v>
      </c>
      <c r="B266" s="107">
        <f ca="1">SUMIFS('Daily Writing Log'!$H$5:$H$34,'Daily Writing Log'!$A$5:$A$34,$A266)</f>
        <v>0</v>
      </c>
      <c r="C266" s="107">
        <f ca="1">SUMIFS('Daily Writing Log'!$I$5:$I$34,'Daily Writing Log'!$A$5:$A$34,$A266)</f>
        <v>0</v>
      </c>
      <c r="D266" s="108">
        <f ca="1">IF($C266&gt;=Config!$B$5,1,0)</f>
        <v>0</v>
      </c>
      <c r="E266" s="108">
        <f t="shared" ca="1" si="17"/>
        <v>0</v>
      </c>
      <c r="F266" s="108">
        <f ca="1">IF(AND($D266=0,$H265&gt;0,$E266&lt;Config!$B$8,$A266&lt;Config!$A$2),1,0)</f>
        <v>0</v>
      </c>
      <c r="G266" s="108">
        <f t="shared" ca="1" si="18"/>
        <v>0</v>
      </c>
      <c r="H266" s="108">
        <f ca="1">IF($D266=1,$H265+1,IF($F266=1,$H265,IF($A266=Config!$A$2,$H265,0)))</f>
        <v>0</v>
      </c>
      <c r="M266" s="109"/>
    </row>
    <row r="267" spans="1:13" x14ac:dyDescent="0.3">
      <c r="A267" s="106">
        <f t="shared" ca="1" si="16"/>
        <v>45845</v>
      </c>
      <c r="B267" s="107">
        <f ca="1">SUMIFS('Daily Writing Log'!$H$5:$H$34,'Daily Writing Log'!$A$5:$A$34,$A267)</f>
        <v>0</v>
      </c>
      <c r="C267" s="107">
        <f ca="1">SUMIFS('Daily Writing Log'!$I$5:$I$34,'Daily Writing Log'!$A$5:$A$34,$A267)</f>
        <v>0</v>
      </c>
      <c r="D267" s="108">
        <f ca="1">IF($C267&gt;=Config!$B$5,1,0)</f>
        <v>0</v>
      </c>
      <c r="E267" s="108">
        <f t="shared" ca="1" si="17"/>
        <v>0</v>
      </c>
      <c r="F267" s="108">
        <f ca="1">IF(AND($D267=0,$H266&gt;0,$E267&lt;Config!$B$8,$A267&lt;Config!$A$2),1,0)</f>
        <v>0</v>
      </c>
      <c r="G267" s="108">
        <f t="shared" ca="1" si="18"/>
        <v>0</v>
      </c>
      <c r="H267" s="108">
        <f ca="1">IF($D267=1,$H266+1,IF($F267=1,$H266,IF($A267=Config!$A$2,$H266,0)))</f>
        <v>0</v>
      </c>
      <c r="M267" s="109"/>
    </row>
    <row r="268" spans="1:13" x14ac:dyDescent="0.3">
      <c r="A268" s="106">
        <f t="shared" ca="1" si="16"/>
        <v>45846</v>
      </c>
      <c r="B268" s="107">
        <f ca="1">SUMIFS('Daily Writing Log'!$H$5:$H$34,'Daily Writing Log'!$A$5:$A$34,$A268)</f>
        <v>0</v>
      </c>
      <c r="C268" s="107">
        <f ca="1">SUMIFS('Daily Writing Log'!$I$5:$I$34,'Daily Writing Log'!$A$5:$A$34,$A268)</f>
        <v>0</v>
      </c>
      <c r="D268" s="108">
        <f ca="1">IF($C268&gt;=Config!$B$5,1,0)</f>
        <v>0</v>
      </c>
      <c r="E268" s="108">
        <f t="shared" ca="1" si="17"/>
        <v>0</v>
      </c>
      <c r="F268" s="108">
        <f ca="1">IF(AND($D268=0,$H267&gt;0,$E268&lt;Config!$B$8,$A268&lt;Config!$A$2),1,0)</f>
        <v>0</v>
      </c>
      <c r="G268" s="108">
        <f t="shared" ca="1" si="18"/>
        <v>0</v>
      </c>
      <c r="H268" s="108">
        <f ca="1">IF($D268=1,$H267+1,IF($F268=1,$H267,IF($A268=Config!$A$2,$H267,0)))</f>
        <v>0</v>
      </c>
      <c r="M268" s="109"/>
    </row>
    <row r="269" spans="1:13" x14ac:dyDescent="0.3">
      <c r="A269" s="106">
        <f t="shared" ca="1" si="16"/>
        <v>45847</v>
      </c>
      <c r="B269" s="107">
        <f ca="1">SUMIFS('Daily Writing Log'!$H$5:$H$34,'Daily Writing Log'!$A$5:$A$34,$A269)</f>
        <v>0</v>
      </c>
      <c r="C269" s="107">
        <f ca="1">SUMIFS('Daily Writing Log'!$I$5:$I$34,'Daily Writing Log'!$A$5:$A$34,$A269)</f>
        <v>0</v>
      </c>
      <c r="D269" s="108">
        <f ca="1">IF($C269&gt;=Config!$B$5,1,0)</f>
        <v>0</v>
      </c>
      <c r="E269" s="108">
        <f t="shared" ca="1" si="17"/>
        <v>0</v>
      </c>
      <c r="F269" s="108">
        <f ca="1">IF(AND($D269=0,$H268&gt;0,$E269&lt;Config!$B$8,$A269&lt;Config!$A$2),1,0)</f>
        <v>0</v>
      </c>
      <c r="G269" s="108">
        <f t="shared" ca="1" si="18"/>
        <v>0</v>
      </c>
      <c r="H269" s="108">
        <f ca="1">IF($D269=1,$H268+1,IF($F269=1,$H268,IF($A269=Config!$A$2,$H268,0)))</f>
        <v>0</v>
      </c>
      <c r="M269" s="109"/>
    </row>
    <row r="270" spans="1:13" x14ac:dyDescent="0.3">
      <c r="A270" s="106">
        <f t="shared" ca="1" si="16"/>
        <v>45848</v>
      </c>
      <c r="B270" s="107">
        <f ca="1">SUMIFS('Daily Writing Log'!$H$5:$H$34,'Daily Writing Log'!$A$5:$A$34,$A270)</f>
        <v>0</v>
      </c>
      <c r="C270" s="107">
        <f ca="1">SUMIFS('Daily Writing Log'!$I$5:$I$34,'Daily Writing Log'!$A$5:$A$34,$A270)</f>
        <v>0</v>
      </c>
      <c r="D270" s="108">
        <f ca="1">IF($C270&gt;=Config!$B$5,1,0)</f>
        <v>0</v>
      </c>
      <c r="E270" s="108">
        <f t="shared" ca="1" si="17"/>
        <v>0</v>
      </c>
      <c r="F270" s="108">
        <f ca="1">IF(AND($D270=0,$H269&gt;0,$E270&lt;Config!$B$8,$A270&lt;Config!$A$2),1,0)</f>
        <v>0</v>
      </c>
      <c r="G270" s="108">
        <f t="shared" ca="1" si="18"/>
        <v>0</v>
      </c>
      <c r="H270" s="108">
        <f ca="1">IF($D270=1,$H269+1,IF($F270=1,$H269,IF($A270=Config!$A$2,$H269,0)))</f>
        <v>0</v>
      </c>
      <c r="M270" s="109"/>
    </row>
    <row r="271" spans="1:13" x14ac:dyDescent="0.3">
      <c r="A271" s="106">
        <f t="shared" ca="1" si="16"/>
        <v>45849</v>
      </c>
      <c r="B271" s="107">
        <f ca="1">SUMIFS('Daily Writing Log'!$H$5:$H$34,'Daily Writing Log'!$A$5:$A$34,$A271)</f>
        <v>0</v>
      </c>
      <c r="C271" s="107">
        <f ca="1">SUMIFS('Daily Writing Log'!$I$5:$I$34,'Daily Writing Log'!$A$5:$A$34,$A271)</f>
        <v>0</v>
      </c>
      <c r="D271" s="108">
        <f ca="1">IF($C271&gt;=Config!$B$5,1,0)</f>
        <v>0</v>
      </c>
      <c r="E271" s="108">
        <f t="shared" ca="1" si="17"/>
        <v>0</v>
      </c>
      <c r="F271" s="108">
        <f ca="1">IF(AND($D271=0,$H270&gt;0,$E271&lt;Config!$B$8,$A271&lt;Config!$A$2),1,0)</f>
        <v>0</v>
      </c>
      <c r="G271" s="108">
        <f t="shared" ca="1" si="18"/>
        <v>0</v>
      </c>
      <c r="H271" s="108">
        <f ca="1">IF($D271=1,$H270+1,IF($F271=1,$H270,IF($A271=Config!$A$2,$H270,0)))</f>
        <v>0</v>
      </c>
      <c r="M271" s="109"/>
    </row>
    <row r="272" spans="1:13" x14ac:dyDescent="0.3">
      <c r="A272" s="106">
        <f t="shared" ca="1" si="16"/>
        <v>45850</v>
      </c>
      <c r="B272" s="107">
        <f ca="1">SUMIFS('Daily Writing Log'!$H$5:$H$34,'Daily Writing Log'!$A$5:$A$34,$A272)</f>
        <v>0</v>
      </c>
      <c r="C272" s="107">
        <f ca="1">SUMIFS('Daily Writing Log'!$I$5:$I$34,'Daily Writing Log'!$A$5:$A$34,$A272)</f>
        <v>0</v>
      </c>
      <c r="D272" s="108">
        <f ca="1">IF($C272&gt;=Config!$B$5,1,0)</f>
        <v>0</v>
      </c>
      <c r="E272" s="108">
        <f t="shared" ca="1" si="17"/>
        <v>0</v>
      </c>
      <c r="F272" s="108">
        <f ca="1">IF(AND($D272=0,$H271&gt;0,$E272&lt;Config!$B$8,$A272&lt;Config!$A$2),1,0)</f>
        <v>0</v>
      </c>
      <c r="G272" s="108">
        <f t="shared" ca="1" si="18"/>
        <v>0</v>
      </c>
      <c r="H272" s="108">
        <f ca="1">IF($D272=1,$H271+1,IF($F272=1,$H271,IF($A272=Config!$A$2,$H271,0)))</f>
        <v>0</v>
      </c>
      <c r="M272" s="109"/>
    </row>
    <row r="273" spans="1:13" x14ac:dyDescent="0.3">
      <c r="A273" s="106">
        <f t="shared" ca="1" si="16"/>
        <v>45851</v>
      </c>
      <c r="B273" s="107">
        <f ca="1">SUMIFS('Daily Writing Log'!$H$5:$H$34,'Daily Writing Log'!$A$5:$A$34,$A273)</f>
        <v>0</v>
      </c>
      <c r="C273" s="107">
        <f ca="1">SUMIFS('Daily Writing Log'!$I$5:$I$34,'Daily Writing Log'!$A$5:$A$34,$A273)</f>
        <v>0</v>
      </c>
      <c r="D273" s="108">
        <f ca="1">IF($C273&gt;=Config!$B$5,1,0)</f>
        <v>0</v>
      </c>
      <c r="E273" s="108">
        <f t="shared" ca="1" si="17"/>
        <v>0</v>
      </c>
      <c r="F273" s="108">
        <f ca="1">IF(AND($D273=0,$H272&gt;0,$E273&lt;Config!$B$8,$A273&lt;Config!$A$2),1,0)</f>
        <v>0</v>
      </c>
      <c r="G273" s="108">
        <f t="shared" ca="1" si="18"/>
        <v>0</v>
      </c>
      <c r="H273" s="108">
        <f ca="1">IF($D273=1,$H272+1,IF($F273=1,$H272,IF($A273=Config!$A$2,$H272,0)))</f>
        <v>0</v>
      </c>
      <c r="M273" s="109"/>
    </row>
    <row r="274" spans="1:13" x14ac:dyDescent="0.3">
      <c r="A274" s="106">
        <f t="shared" ca="1" si="16"/>
        <v>45852</v>
      </c>
      <c r="B274" s="107">
        <f ca="1">SUMIFS('Daily Writing Log'!$H$5:$H$34,'Daily Writing Log'!$A$5:$A$34,$A274)</f>
        <v>0</v>
      </c>
      <c r="C274" s="107">
        <f ca="1">SUMIFS('Daily Writing Log'!$I$5:$I$34,'Daily Writing Log'!$A$5:$A$34,$A274)</f>
        <v>0</v>
      </c>
      <c r="D274" s="108">
        <f ca="1">IF($C274&gt;=Config!$B$5,1,0)</f>
        <v>0</v>
      </c>
      <c r="E274" s="108">
        <f t="shared" ca="1" si="17"/>
        <v>0</v>
      </c>
      <c r="F274" s="108">
        <f ca="1">IF(AND($D274=0,$H273&gt;0,$E274&lt;Config!$B$8,$A274&lt;Config!$A$2),1,0)</f>
        <v>0</v>
      </c>
      <c r="G274" s="108">
        <f t="shared" ca="1" si="18"/>
        <v>0</v>
      </c>
      <c r="H274" s="108">
        <f ca="1">IF($D274=1,$H273+1,IF($F274=1,$H273,IF($A274=Config!$A$2,$H273,0)))</f>
        <v>0</v>
      </c>
      <c r="M274" s="109"/>
    </row>
    <row r="275" spans="1:13" x14ac:dyDescent="0.3">
      <c r="A275" s="106">
        <f t="shared" ca="1" si="16"/>
        <v>45853</v>
      </c>
      <c r="B275" s="107">
        <f ca="1">SUMIFS('Daily Writing Log'!$H$5:$H$34,'Daily Writing Log'!$A$5:$A$34,$A275)</f>
        <v>0</v>
      </c>
      <c r="C275" s="107">
        <f ca="1">SUMIFS('Daily Writing Log'!$I$5:$I$34,'Daily Writing Log'!$A$5:$A$34,$A275)</f>
        <v>0</v>
      </c>
      <c r="D275" s="108">
        <f ca="1">IF($C275&gt;=Config!$B$5,1,0)</f>
        <v>0</v>
      </c>
      <c r="E275" s="108">
        <f t="shared" ca="1" si="17"/>
        <v>0</v>
      </c>
      <c r="F275" s="108">
        <f ca="1">IF(AND($D275=0,$H274&gt;0,$E275&lt;Config!$B$8,$A275&lt;Config!$A$2),1,0)</f>
        <v>0</v>
      </c>
      <c r="G275" s="108">
        <f t="shared" ca="1" si="18"/>
        <v>0</v>
      </c>
      <c r="H275" s="108">
        <f ca="1">IF($D275=1,$H274+1,IF($F275=1,$H274,IF($A275=Config!$A$2,$H274,0)))</f>
        <v>0</v>
      </c>
      <c r="M275" s="109"/>
    </row>
    <row r="276" spans="1:13" x14ac:dyDescent="0.3">
      <c r="A276" s="106">
        <f t="shared" ca="1" si="16"/>
        <v>45854</v>
      </c>
      <c r="B276" s="107">
        <f ca="1">SUMIFS('Daily Writing Log'!$H$5:$H$34,'Daily Writing Log'!$A$5:$A$34,$A276)</f>
        <v>0</v>
      </c>
      <c r="C276" s="107">
        <f ca="1">SUMIFS('Daily Writing Log'!$I$5:$I$34,'Daily Writing Log'!$A$5:$A$34,$A276)</f>
        <v>0</v>
      </c>
      <c r="D276" s="108">
        <f ca="1">IF($C276&gt;=Config!$B$5,1,0)</f>
        <v>0</v>
      </c>
      <c r="E276" s="108">
        <f t="shared" ca="1" si="17"/>
        <v>0</v>
      </c>
      <c r="F276" s="108">
        <f ca="1">IF(AND($D276=0,$H275&gt;0,$E276&lt;Config!$B$8,$A276&lt;Config!$A$2),1,0)</f>
        <v>0</v>
      </c>
      <c r="G276" s="108">
        <f t="shared" ca="1" si="18"/>
        <v>0</v>
      </c>
      <c r="H276" s="108">
        <f ca="1">IF($D276=1,$H275+1,IF($F276=1,$H275,IF($A276=Config!$A$2,$H275,0)))</f>
        <v>0</v>
      </c>
      <c r="M276" s="109"/>
    </row>
    <row r="277" spans="1:13" x14ac:dyDescent="0.3">
      <c r="A277" s="106">
        <f t="shared" ca="1" si="16"/>
        <v>45855</v>
      </c>
      <c r="B277" s="107">
        <f ca="1">SUMIFS('Daily Writing Log'!$H$5:$H$34,'Daily Writing Log'!$A$5:$A$34,$A277)</f>
        <v>0</v>
      </c>
      <c r="C277" s="107">
        <f ca="1">SUMIFS('Daily Writing Log'!$I$5:$I$34,'Daily Writing Log'!$A$5:$A$34,$A277)</f>
        <v>0</v>
      </c>
      <c r="D277" s="108">
        <f ca="1">IF($C277&gt;=Config!$B$5,1,0)</f>
        <v>0</v>
      </c>
      <c r="E277" s="108">
        <f t="shared" ca="1" si="17"/>
        <v>0</v>
      </c>
      <c r="F277" s="108">
        <f ca="1">IF(AND($D277=0,$H276&gt;0,$E277&lt;Config!$B$8,$A277&lt;Config!$A$2),1,0)</f>
        <v>0</v>
      </c>
      <c r="G277" s="108">
        <f t="shared" ca="1" si="18"/>
        <v>0</v>
      </c>
      <c r="H277" s="108">
        <f ca="1">IF($D277=1,$H276+1,IF($F277=1,$H276,IF($A277=Config!$A$2,$H276,0)))</f>
        <v>0</v>
      </c>
      <c r="M277" s="109"/>
    </row>
    <row r="278" spans="1:13" x14ac:dyDescent="0.3">
      <c r="A278" s="106">
        <f t="shared" ca="1" si="16"/>
        <v>45856</v>
      </c>
      <c r="B278" s="107">
        <f ca="1">SUMIFS('Daily Writing Log'!$H$5:$H$34,'Daily Writing Log'!$A$5:$A$34,$A278)</f>
        <v>0</v>
      </c>
      <c r="C278" s="107">
        <f ca="1">SUMIFS('Daily Writing Log'!$I$5:$I$34,'Daily Writing Log'!$A$5:$A$34,$A278)</f>
        <v>0</v>
      </c>
      <c r="D278" s="108">
        <f ca="1">IF($C278&gt;=Config!$B$5,1,0)</f>
        <v>0</v>
      </c>
      <c r="E278" s="108">
        <f t="shared" ca="1" si="17"/>
        <v>0</v>
      </c>
      <c r="F278" s="108">
        <f ca="1">IF(AND($D278=0,$H277&gt;0,$E278&lt;Config!$B$8,$A278&lt;Config!$A$2),1,0)</f>
        <v>0</v>
      </c>
      <c r="G278" s="108">
        <f t="shared" ca="1" si="18"/>
        <v>0</v>
      </c>
      <c r="H278" s="108">
        <f ca="1">IF($D278=1,$H277+1,IF($F278=1,$H277,IF($A278=Config!$A$2,$H277,0)))</f>
        <v>0</v>
      </c>
      <c r="M278" s="109"/>
    </row>
    <row r="279" spans="1:13" x14ac:dyDescent="0.3">
      <c r="A279" s="106">
        <f t="shared" ca="1" si="16"/>
        <v>45857</v>
      </c>
      <c r="B279" s="107">
        <f ca="1">SUMIFS('Daily Writing Log'!$H$5:$H$34,'Daily Writing Log'!$A$5:$A$34,$A279)</f>
        <v>0</v>
      </c>
      <c r="C279" s="107">
        <f ca="1">SUMIFS('Daily Writing Log'!$I$5:$I$34,'Daily Writing Log'!$A$5:$A$34,$A279)</f>
        <v>0</v>
      </c>
      <c r="D279" s="108">
        <f ca="1">IF($C279&gt;=Config!$B$5,1,0)</f>
        <v>0</v>
      </c>
      <c r="E279" s="108">
        <f t="shared" ca="1" si="17"/>
        <v>0</v>
      </c>
      <c r="F279" s="108">
        <f ca="1">IF(AND($D279=0,$H278&gt;0,$E279&lt;Config!$B$8,$A279&lt;Config!$A$2),1,0)</f>
        <v>0</v>
      </c>
      <c r="G279" s="108">
        <f t="shared" ca="1" si="18"/>
        <v>0</v>
      </c>
      <c r="H279" s="108">
        <f ca="1">IF($D279=1,$H278+1,IF($F279=1,$H278,IF($A279=Config!$A$2,$H278,0)))</f>
        <v>0</v>
      </c>
      <c r="M279" s="109"/>
    </row>
    <row r="280" spans="1:13" x14ac:dyDescent="0.3">
      <c r="A280" s="106">
        <f t="shared" ca="1" si="16"/>
        <v>45858</v>
      </c>
      <c r="B280" s="107">
        <f ca="1">SUMIFS('Daily Writing Log'!$H$5:$H$34,'Daily Writing Log'!$A$5:$A$34,$A280)</f>
        <v>0</v>
      </c>
      <c r="C280" s="107">
        <f ca="1">SUMIFS('Daily Writing Log'!$I$5:$I$34,'Daily Writing Log'!$A$5:$A$34,$A280)</f>
        <v>0</v>
      </c>
      <c r="D280" s="108">
        <f ca="1">IF($C280&gt;=Config!$B$5,1,0)</f>
        <v>0</v>
      </c>
      <c r="E280" s="108">
        <f t="shared" ca="1" si="17"/>
        <v>0</v>
      </c>
      <c r="F280" s="108">
        <f ca="1">IF(AND($D280=0,$H279&gt;0,$E280&lt;Config!$B$8,$A280&lt;Config!$A$2),1,0)</f>
        <v>0</v>
      </c>
      <c r="G280" s="108">
        <f t="shared" ca="1" si="18"/>
        <v>0</v>
      </c>
      <c r="H280" s="108">
        <f ca="1">IF($D280=1,$H279+1,IF($F280=1,$H279,IF($A280=Config!$A$2,$H279,0)))</f>
        <v>0</v>
      </c>
      <c r="M280" s="109"/>
    </row>
    <row r="281" spans="1:13" x14ac:dyDescent="0.3">
      <c r="A281" s="106">
        <f t="shared" ca="1" si="16"/>
        <v>45859</v>
      </c>
      <c r="B281" s="107">
        <f ca="1">SUMIFS('Daily Writing Log'!$H$5:$H$34,'Daily Writing Log'!$A$5:$A$34,$A281)</f>
        <v>0</v>
      </c>
      <c r="C281" s="107">
        <f ca="1">SUMIFS('Daily Writing Log'!$I$5:$I$34,'Daily Writing Log'!$A$5:$A$34,$A281)</f>
        <v>0</v>
      </c>
      <c r="D281" s="108">
        <f ca="1">IF($C281&gt;=Config!$B$5,1,0)</f>
        <v>0</v>
      </c>
      <c r="E281" s="108">
        <f t="shared" ca="1" si="17"/>
        <v>0</v>
      </c>
      <c r="F281" s="108">
        <f ca="1">IF(AND($D281=0,$H280&gt;0,$E281&lt;Config!$B$8,$A281&lt;Config!$A$2),1,0)</f>
        <v>0</v>
      </c>
      <c r="G281" s="108">
        <f t="shared" ca="1" si="18"/>
        <v>0</v>
      </c>
      <c r="H281" s="108">
        <f ca="1">IF($D281=1,$H280+1,IF($F281=1,$H280,IF($A281=Config!$A$2,$H280,0)))</f>
        <v>0</v>
      </c>
      <c r="M281" s="109"/>
    </row>
    <row r="282" spans="1:13" x14ac:dyDescent="0.3">
      <c r="A282" s="106">
        <f t="shared" ca="1" si="16"/>
        <v>45860</v>
      </c>
      <c r="B282" s="107">
        <f ca="1">SUMIFS('Daily Writing Log'!$H$5:$H$34,'Daily Writing Log'!$A$5:$A$34,$A282)</f>
        <v>0</v>
      </c>
      <c r="C282" s="107">
        <f ca="1">SUMIFS('Daily Writing Log'!$I$5:$I$34,'Daily Writing Log'!$A$5:$A$34,$A282)</f>
        <v>0</v>
      </c>
      <c r="D282" s="108">
        <f ca="1">IF($C282&gt;=Config!$B$5,1,0)</f>
        <v>0</v>
      </c>
      <c r="E282" s="108">
        <f t="shared" ca="1" si="17"/>
        <v>0</v>
      </c>
      <c r="F282" s="108">
        <f ca="1">IF(AND($D282=0,$H281&gt;0,$E282&lt;Config!$B$8,$A282&lt;Config!$A$2),1,0)</f>
        <v>0</v>
      </c>
      <c r="G282" s="108">
        <f t="shared" ca="1" si="18"/>
        <v>0</v>
      </c>
      <c r="H282" s="108">
        <f ca="1">IF($D282=1,$H281+1,IF($F282=1,$H281,IF($A282=Config!$A$2,$H281,0)))</f>
        <v>0</v>
      </c>
      <c r="M282" s="109"/>
    </row>
    <row r="283" spans="1:13" x14ac:dyDescent="0.3">
      <c r="A283" s="106">
        <f t="shared" ca="1" si="16"/>
        <v>45861</v>
      </c>
      <c r="B283" s="107">
        <f ca="1">SUMIFS('Daily Writing Log'!$H$5:$H$34,'Daily Writing Log'!$A$5:$A$34,$A283)</f>
        <v>0</v>
      </c>
      <c r="C283" s="107">
        <f ca="1">SUMIFS('Daily Writing Log'!$I$5:$I$34,'Daily Writing Log'!$A$5:$A$34,$A283)</f>
        <v>0</v>
      </c>
      <c r="D283" s="108">
        <f ca="1">IF($C283&gt;=Config!$B$5,1,0)</f>
        <v>0</v>
      </c>
      <c r="E283" s="108">
        <f t="shared" ca="1" si="17"/>
        <v>0</v>
      </c>
      <c r="F283" s="108">
        <f ca="1">IF(AND($D283=0,$H282&gt;0,$E283&lt;Config!$B$8,$A283&lt;Config!$A$2),1,0)</f>
        <v>0</v>
      </c>
      <c r="G283" s="108">
        <f t="shared" ca="1" si="18"/>
        <v>0</v>
      </c>
      <c r="H283" s="108">
        <f ca="1">IF($D283=1,$H282+1,IF($F283=1,$H282,IF($A283=Config!$A$2,$H282,0)))</f>
        <v>0</v>
      </c>
      <c r="M283" s="109"/>
    </row>
    <row r="284" spans="1:13" x14ac:dyDescent="0.3">
      <c r="A284" s="106">
        <f t="shared" ca="1" si="16"/>
        <v>45862</v>
      </c>
      <c r="B284" s="107">
        <f ca="1">SUMIFS('Daily Writing Log'!$H$5:$H$34,'Daily Writing Log'!$A$5:$A$34,$A284)</f>
        <v>0</v>
      </c>
      <c r="C284" s="107">
        <f ca="1">SUMIFS('Daily Writing Log'!$I$5:$I$34,'Daily Writing Log'!$A$5:$A$34,$A284)</f>
        <v>0</v>
      </c>
      <c r="D284" s="108">
        <f ca="1">IF($C284&gt;=Config!$B$5,1,0)</f>
        <v>0</v>
      </c>
      <c r="E284" s="108">
        <f t="shared" ca="1" si="17"/>
        <v>0</v>
      </c>
      <c r="F284" s="108">
        <f ca="1">IF(AND($D284=0,$H283&gt;0,$E284&lt;Config!$B$8,$A284&lt;Config!$A$2),1,0)</f>
        <v>0</v>
      </c>
      <c r="G284" s="108">
        <f t="shared" ca="1" si="18"/>
        <v>0</v>
      </c>
      <c r="H284" s="108">
        <f ca="1">IF($D284=1,$H283+1,IF($F284=1,$H283,IF($A284=Config!$A$2,$H283,0)))</f>
        <v>0</v>
      </c>
      <c r="M284" s="109"/>
    </row>
    <row r="285" spans="1:13" x14ac:dyDescent="0.3">
      <c r="A285" s="106">
        <f t="shared" ca="1" si="16"/>
        <v>45863</v>
      </c>
      <c r="B285" s="107">
        <f ca="1">SUMIFS('Daily Writing Log'!$H$5:$H$34,'Daily Writing Log'!$A$5:$A$34,$A285)</f>
        <v>0</v>
      </c>
      <c r="C285" s="107">
        <f ca="1">SUMIFS('Daily Writing Log'!$I$5:$I$34,'Daily Writing Log'!$A$5:$A$34,$A285)</f>
        <v>0</v>
      </c>
      <c r="D285" s="108">
        <f ca="1">IF($C285&gt;=Config!$B$5,1,0)</f>
        <v>0</v>
      </c>
      <c r="E285" s="108">
        <f t="shared" ca="1" si="17"/>
        <v>0</v>
      </c>
      <c r="F285" s="108">
        <f ca="1">IF(AND($D285=0,$H284&gt;0,$E285&lt;Config!$B$8,$A285&lt;Config!$A$2),1,0)</f>
        <v>0</v>
      </c>
      <c r="G285" s="108">
        <f t="shared" ca="1" si="18"/>
        <v>0</v>
      </c>
      <c r="H285" s="108">
        <f ca="1">IF($D285=1,$H284+1,IF($F285=1,$H284,IF($A285=Config!$A$2,$H284,0)))</f>
        <v>0</v>
      </c>
      <c r="M285" s="109"/>
    </row>
    <row r="286" spans="1:13" x14ac:dyDescent="0.3">
      <c r="A286" s="106">
        <f t="shared" ca="1" si="16"/>
        <v>45864</v>
      </c>
      <c r="B286" s="107">
        <f ca="1">SUMIFS('Daily Writing Log'!$H$5:$H$34,'Daily Writing Log'!$A$5:$A$34,$A286)</f>
        <v>0</v>
      </c>
      <c r="C286" s="107">
        <f ca="1">SUMIFS('Daily Writing Log'!$I$5:$I$34,'Daily Writing Log'!$A$5:$A$34,$A286)</f>
        <v>0</v>
      </c>
      <c r="D286" s="108">
        <f ca="1">IF($C286&gt;=Config!$B$5,1,0)</f>
        <v>0</v>
      </c>
      <c r="E286" s="108">
        <f t="shared" ca="1" si="17"/>
        <v>0</v>
      </c>
      <c r="F286" s="108">
        <f ca="1">IF(AND($D286=0,$H285&gt;0,$E286&lt;Config!$B$8,$A286&lt;Config!$A$2),1,0)</f>
        <v>0</v>
      </c>
      <c r="G286" s="108">
        <f t="shared" ca="1" si="18"/>
        <v>0</v>
      </c>
      <c r="H286" s="108">
        <f ca="1">IF($D286=1,$H285+1,IF($F286=1,$H285,IF($A286=Config!$A$2,$H285,0)))</f>
        <v>0</v>
      </c>
      <c r="M286" s="109"/>
    </row>
    <row r="287" spans="1:13" x14ac:dyDescent="0.3">
      <c r="A287" s="106">
        <f t="shared" ca="1" si="16"/>
        <v>45865</v>
      </c>
      <c r="B287" s="107">
        <f ca="1">SUMIFS('Daily Writing Log'!$H$5:$H$34,'Daily Writing Log'!$A$5:$A$34,$A287)</f>
        <v>0</v>
      </c>
      <c r="C287" s="107">
        <f ca="1">SUMIFS('Daily Writing Log'!$I$5:$I$34,'Daily Writing Log'!$A$5:$A$34,$A287)</f>
        <v>0</v>
      </c>
      <c r="D287" s="108">
        <f ca="1">IF($C287&gt;=Config!$B$5,1,0)</f>
        <v>0</v>
      </c>
      <c r="E287" s="108">
        <f t="shared" ca="1" si="17"/>
        <v>0</v>
      </c>
      <c r="F287" s="108">
        <f ca="1">IF(AND($D287=0,$H286&gt;0,$E287&lt;Config!$B$8,$A287&lt;Config!$A$2),1,0)</f>
        <v>0</v>
      </c>
      <c r="G287" s="108">
        <f t="shared" ca="1" si="18"/>
        <v>0</v>
      </c>
      <c r="H287" s="108">
        <f ca="1">IF($D287=1,$H286+1,IF($F287=1,$H286,IF($A287=Config!$A$2,$H286,0)))</f>
        <v>0</v>
      </c>
      <c r="M287" s="109"/>
    </row>
    <row r="288" spans="1:13" x14ac:dyDescent="0.3">
      <c r="A288" s="106">
        <f t="shared" ca="1" si="16"/>
        <v>45866</v>
      </c>
      <c r="B288" s="107">
        <f ca="1">SUMIFS('Daily Writing Log'!$H$5:$H$34,'Daily Writing Log'!$A$5:$A$34,$A288)</f>
        <v>0</v>
      </c>
      <c r="C288" s="107">
        <f ca="1">SUMIFS('Daily Writing Log'!$I$5:$I$34,'Daily Writing Log'!$A$5:$A$34,$A288)</f>
        <v>0</v>
      </c>
      <c r="D288" s="108">
        <f ca="1">IF($C288&gt;=Config!$B$5,1,0)</f>
        <v>0</v>
      </c>
      <c r="E288" s="108">
        <f t="shared" ca="1" si="17"/>
        <v>0</v>
      </c>
      <c r="F288" s="108">
        <f ca="1">IF(AND($D288=0,$H287&gt;0,$E288&lt;Config!$B$8,$A288&lt;Config!$A$2),1,0)</f>
        <v>0</v>
      </c>
      <c r="G288" s="108">
        <f t="shared" ca="1" si="18"/>
        <v>0</v>
      </c>
      <c r="H288" s="108">
        <f ca="1">IF($D288=1,$H287+1,IF($F288=1,$H287,IF($A288=Config!$A$2,$H287,0)))</f>
        <v>0</v>
      </c>
      <c r="M288" s="109"/>
    </row>
    <row r="289" spans="1:13" x14ac:dyDescent="0.3">
      <c r="A289" s="106">
        <f t="shared" ca="1" si="16"/>
        <v>45867</v>
      </c>
      <c r="B289" s="107">
        <f ca="1">SUMIFS('Daily Writing Log'!$H$5:$H$34,'Daily Writing Log'!$A$5:$A$34,$A289)</f>
        <v>0</v>
      </c>
      <c r="C289" s="107">
        <f ca="1">SUMIFS('Daily Writing Log'!$I$5:$I$34,'Daily Writing Log'!$A$5:$A$34,$A289)</f>
        <v>0</v>
      </c>
      <c r="D289" s="108">
        <f ca="1">IF($C289&gt;=Config!$B$5,1,0)</f>
        <v>0</v>
      </c>
      <c r="E289" s="108">
        <f t="shared" ca="1" si="17"/>
        <v>0</v>
      </c>
      <c r="F289" s="108">
        <f ca="1">IF(AND($D289=0,$H288&gt;0,$E289&lt;Config!$B$8,$A289&lt;Config!$A$2),1,0)</f>
        <v>0</v>
      </c>
      <c r="G289" s="108">
        <f t="shared" ca="1" si="18"/>
        <v>0</v>
      </c>
      <c r="H289" s="108">
        <f ca="1">IF($D289=1,$H288+1,IF($F289=1,$H288,IF($A289=Config!$A$2,$H288,0)))</f>
        <v>0</v>
      </c>
      <c r="M289" s="109"/>
    </row>
    <row r="290" spans="1:13" x14ac:dyDescent="0.3">
      <c r="A290" s="106">
        <f t="shared" ca="1" si="16"/>
        <v>45868</v>
      </c>
      <c r="B290" s="107">
        <f ca="1">SUMIFS('Daily Writing Log'!$H$5:$H$34,'Daily Writing Log'!$A$5:$A$34,$A290)</f>
        <v>0</v>
      </c>
      <c r="C290" s="107">
        <f ca="1">SUMIFS('Daily Writing Log'!$I$5:$I$34,'Daily Writing Log'!$A$5:$A$34,$A290)</f>
        <v>0</v>
      </c>
      <c r="D290" s="108">
        <f ca="1">IF($C290&gt;=Config!$B$5,1,0)</f>
        <v>0</v>
      </c>
      <c r="E290" s="108">
        <f t="shared" ca="1" si="17"/>
        <v>0</v>
      </c>
      <c r="F290" s="108">
        <f ca="1">IF(AND($D290=0,$H289&gt;0,$E290&lt;Config!$B$8,$A290&lt;Config!$A$2),1,0)</f>
        <v>0</v>
      </c>
      <c r="G290" s="108">
        <f t="shared" ca="1" si="18"/>
        <v>0</v>
      </c>
      <c r="H290" s="108">
        <f ca="1">IF($D290=1,$H289+1,IF($F290=1,$H289,IF($A290=Config!$A$2,$H289,0)))</f>
        <v>0</v>
      </c>
      <c r="M290" s="109"/>
    </row>
    <row r="291" spans="1:13" x14ac:dyDescent="0.3">
      <c r="A291" s="106">
        <f t="shared" ca="1" si="16"/>
        <v>45869</v>
      </c>
      <c r="B291" s="107">
        <f ca="1">SUMIFS('Daily Writing Log'!$H$5:$H$34,'Daily Writing Log'!$A$5:$A$34,$A291)</f>
        <v>0</v>
      </c>
      <c r="C291" s="107">
        <f ca="1">SUMIFS('Daily Writing Log'!$I$5:$I$34,'Daily Writing Log'!$A$5:$A$34,$A291)</f>
        <v>0</v>
      </c>
      <c r="D291" s="108">
        <f ca="1">IF($C291&gt;=Config!$B$5,1,0)</f>
        <v>0</v>
      </c>
      <c r="E291" s="108">
        <f t="shared" ca="1" si="17"/>
        <v>0</v>
      </c>
      <c r="F291" s="108">
        <f ca="1">IF(AND($D291=0,$H290&gt;0,$E291&lt;Config!$B$8,$A291&lt;Config!$A$2),1,0)</f>
        <v>0</v>
      </c>
      <c r="G291" s="108">
        <f t="shared" ca="1" si="18"/>
        <v>0</v>
      </c>
      <c r="H291" s="108">
        <f ca="1">IF($D291=1,$H290+1,IF($F291=1,$H290,IF($A291=Config!$A$2,$H290,0)))</f>
        <v>0</v>
      </c>
      <c r="M291" s="109"/>
    </row>
    <row r="292" spans="1:13" x14ac:dyDescent="0.3">
      <c r="A292" s="106">
        <f t="shared" ca="1" si="16"/>
        <v>45870</v>
      </c>
      <c r="B292" s="107">
        <f ca="1">SUMIFS('Daily Writing Log'!$H$5:$H$34,'Daily Writing Log'!$A$5:$A$34,$A292)</f>
        <v>0</v>
      </c>
      <c r="C292" s="107">
        <f ca="1">SUMIFS('Daily Writing Log'!$I$5:$I$34,'Daily Writing Log'!$A$5:$A$34,$A292)</f>
        <v>0</v>
      </c>
      <c r="D292" s="108">
        <f ca="1">IF($C292&gt;=Config!$B$5,1,0)</f>
        <v>0</v>
      </c>
      <c r="E292" s="108">
        <f t="shared" ca="1" si="17"/>
        <v>0</v>
      </c>
      <c r="F292" s="108">
        <f ca="1">IF(AND($D292=0,$H291&gt;0,$E292&lt;Config!$B$8,$A292&lt;Config!$A$2),1,0)</f>
        <v>0</v>
      </c>
      <c r="G292" s="108">
        <f t="shared" ca="1" si="18"/>
        <v>0</v>
      </c>
      <c r="H292" s="108">
        <f ca="1">IF($D292=1,$H291+1,IF($F292=1,$H291,IF($A292=Config!$A$2,$H291,0)))</f>
        <v>0</v>
      </c>
      <c r="M292" s="109"/>
    </row>
    <row r="293" spans="1:13" x14ac:dyDescent="0.3">
      <c r="A293" s="106">
        <f t="shared" ca="1" si="16"/>
        <v>45871</v>
      </c>
      <c r="B293" s="107">
        <f ca="1">SUMIFS('Daily Writing Log'!$H$5:$H$34,'Daily Writing Log'!$A$5:$A$34,$A293)</f>
        <v>0</v>
      </c>
      <c r="C293" s="107">
        <f ca="1">SUMIFS('Daily Writing Log'!$I$5:$I$34,'Daily Writing Log'!$A$5:$A$34,$A293)</f>
        <v>0</v>
      </c>
      <c r="D293" s="108">
        <f ca="1">IF($C293&gt;=Config!$B$5,1,0)</f>
        <v>0</v>
      </c>
      <c r="E293" s="108">
        <f t="shared" ca="1" si="17"/>
        <v>0</v>
      </c>
      <c r="F293" s="108">
        <f ca="1">IF(AND($D293=0,$H292&gt;0,$E293&lt;Config!$B$8,$A293&lt;Config!$A$2),1,0)</f>
        <v>0</v>
      </c>
      <c r="G293" s="108">
        <f t="shared" ca="1" si="18"/>
        <v>0</v>
      </c>
      <c r="H293" s="108">
        <f ca="1">IF($D293=1,$H292+1,IF($F293=1,$H292,IF($A293=Config!$A$2,$H292,0)))</f>
        <v>0</v>
      </c>
      <c r="M293" s="109"/>
    </row>
    <row r="294" spans="1:13" x14ac:dyDescent="0.3">
      <c r="A294" s="106">
        <f t="shared" ca="1" si="16"/>
        <v>45872</v>
      </c>
      <c r="B294" s="107">
        <f ca="1">SUMIFS('Daily Writing Log'!$H$5:$H$34,'Daily Writing Log'!$A$5:$A$34,$A294)</f>
        <v>0</v>
      </c>
      <c r="C294" s="107">
        <f ca="1">SUMIFS('Daily Writing Log'!$I$5:$I$34,'Daily Writing Log'!$A$5:$A$34,$A294)</f>
        <v>0</v>
      </c>
      <c r="D294" s="108">
        <f ca="1">IF($C294&gt;=Config!$B$5,1,0)</f>
        <v>0</v>
      </c>
      <c r="E294" s="108">
        <f t="shared" ca="1" si="17"/>
        <v>0</v>
      </c>
      <c r="F294" s="108">
        <f ca="1">IF(AND($D294=0,$H293&gt;0,$E294&lt;Config!$B$8,$A294&lt;Config!$A$2),1,0)</f>
        <v>0</v>
      </c>
      <c r="G294" s="108">
        <f t="shared" ca="1" si="18"/>
        <v>0</v>
      </c>
      <c r="H294" s="108">
        <f ca="1">IF($D294=1,$H293+1,IF($F294=1,$H293,IF($A294=Config!$A$2,$H293,0)))</f>
        <v>0</v>
      </c>
      <c r="M294" s="109"/>
    </row>
    <row r="295" spans="1:13" x14ac:dyDescent="0.3">
      <c r="A295" s="106">
        <f t="shared" ca="1" si="16"/>
        <v>45873</v>
      </c>
      <c r="B295" s="107">
        <f ca="1">SUMIFS('Daily Writing Log'!$H$5:$H$34,'Daily Writing Log'!$A$5:$A$34,$A295)</f>
        <v>0</v>
      </c>
      <c r="C295" s="107">
        <f ca="1">SUMIFS('Daily Writing Log'!$I$5:$I$34,'Daily Writing Log'!$A$5:$A$34,$A295)</f>
        <v>0</v>
      </c>
      <c r="D295" s="108">
        <f ca="1">IF($C295&gt;=Config!$B$5,1,0)</f>
        <v>0</v>
      </c>
      <c r="E295" s="108">
        <f t="shared" ca="1" si="17"/>
        <v>0</v>
      </c>
      <c r="F295" s="108">
        <f ca="1">IF(AND($D295=0,$H294&gt;0,$E295&lt;Config!$B$8,$A295&lt;Config!$A$2),1,0)</f>
        <v>0</v>
      </c>
      <c r="G295" s="108">
        <f t="shared" ca="1" si="18"/>
        <v>0</v>
      </c>
      <c r="H295" s="108">
        <f ca="1">IF($D295=1,$H294+1,IF($F295=1,$H294,IF($A295=Config!$A$2,$H294,0)))</f>
        <v>0</v>
      </c>
      <c r="M295" s="109"/>
    </row>
    <row r="296" spans="1:13" x14ac:dyDescent="0.3">
      <c r="A296" s="106">
        <f t="shared" ca="1" si="16"/>
        <v>45874</v>
      </c>
      <c r="B296" s="107">
        <f ca="1">SUMIFS('Daily Writing Log'!$H$5:$H$34,'Daily Writing Log'!$A$5:$A$34,$A296)</f>
        <v>0</v>
      </c>
      <c r="C296" s="107">
        <f ca="1">SUMIFS('Daily Writing Log'!$I$5:$I$34,'Daily Writing Log'!$A$5:$A$34,$A296)</f>
        <v>0</v>
      </c>
      <c r="D296" s="108">
        <f ca="1">IF($C296&gt;=Config!$B$5,1,0)</f>
        <v>0</v>
      </c>
      <c r="E296" s="108">
        <f t="shared" ca="1" si="17"/>
        <v>0</v>
      </c>
      <c r="F296" s="108">
        <f ca="1">IF(AND($D296=0,$H295&gt;0,$E296&lt;Config!$B$8,$A296&lt;Config!$A$2),1,0)</f>
        <v>0</v>
      </c>
      <c r="G296" s="108">
        <f t="shared" ca="1" si="18"/>
        <v>0</v>
      </c>
      <c r="H296" s="108">
        <f ca="1">IF($D296=1,$H295+1,IF($F296=1,$H295,IF($A296=Config!$A$2,$H295,0)))</f>
        <v>0</v>
      </c>
      <c r="M296" s="109"/>
    </row>
    <row r="297" spans="1:13" x14ac:dyDescent="0.3">
      <c r="A297" s="106">
        <f t="shared" ca="1" si="16"/>
        <v>45875</v>
      </c>
      <c r="B297" s="107">
        <f ca="1">SUMIFS('Daily Writing Log'!$H$5:$H$34,'Daily Writing Log'!$A$5:$A$34,$A297)</f>
        <v>0</v>
      </c>
      <c r="C297" s="107">
        <f ca="1">SUMIFS('Daily Writing Log'!$I$5:$I$34,'Daily Writing Log'!$A$5:$A$34,$A297)</f>
        <v>0</v>
      </c>
      <c r="D297" s="108">
        <f ca="1">IF($C297&gt;=Config!$B$5,1,0)</f>
        <v>0</v>
      </c>
      <c r="E297" s="108">
        <f t="shared" ca="1" si="17"/>
        <v>0</v>
      </c>
      <c r="F297" s="108">
        <f ca="1">IF(AND($D297=0,$H296&gt;0,$E297&lt;Config!$B$8,$A297&lt;Config!$A$2),1,0)</f>
        <v>0</v>
      </c>
      <c r="G297" s="108">
        <f t="shared" ca="1" si="18"/>
        <v>0</v>
      </c>
      <c r="H297" s="108">
        <f ca="1">IF($D297=1,$H296+1,IF($F297=1,$H296,IF($A297=Config!$A$2,$H296,0)))</f>
        <v>0</v>
      </c>
      <c r="M297" s="109"/>
    </row>
    <row r="298" spans="1:13" x14ac:dyDescent="0.3">
      <c r="A298" s="106">
        <f t="shared" ca="1" si="16"/>
        <v>45876</v>
      </c>
      <c r="B298" s="107">
        <f ca="1">SUMIFS('Daily Writing Log'!$H$5:$H$34,'Daily Writing Log'!$A$5:$A$34,$A298)</f>
        <v>0</v>
      </c>
      <c r="C298" s="107">
        <f ca="1">SUMIFS('Daily Writing Log'!$I$5:$I$34,'Daily Writing Log'!$A$5:$A$34,$A298)</f>
        <v>0</v>
      </c>
      <c r="D298" s="108">
        <f ca="1">IF($C298&gt;=Config!$B$5,1,0)</f>
        <v>0</v>
      </c>
      <c r="E298" s="108">
        <f t="shared" ca="1" si="17"/>
        <v>0</v>
      </c>
      <c r="F298" s="108">
        <f ca="1">IF(AND($D298=0,$H297&gt;0,$E298&lt;Config!$B$8,$A298&lt;Config!$A$2),1,0)</f>
        <v>0</v>
      </c>
      <c r="G298" s="108">
        <f t="shared" ca="1" si="18"/>
        <v>0</v>
      </c>
      <c r="H298" s="108">
        <f ca="1">IF($D298=1,$H297+1,IF($F298=1,$H297,IF($A298=Config!$A$2,$H297,0)))</f>
        <v>0</v>
      </c>
      <c r="M298" s="109"/>
    </row>
    <row r="299" spans="1:13" x14ac:dyDescent="0.3">
      <c r="A299" s="106">
        <f t="shared" ca="1" si="16"/>
        <v>45877</v>
      </c>
      <c r="B299" s="107">
        <f ca="1">SUMIFS('Daily Writing Log'!$H$5:$H$34,'Daily Writing Log'!$A$5:$A$34,$A299)</f>
        <v>0</v>
      </c>
      <c r="C299" s="107">
        <f ca="1">SUMIFS('Daily Writing Log'!$I$5:$I$34,'Daily Writing Log'!$A$5:$A$34,$A299)</f>
        <v>0</v>
      </c>
      <c r="D299" s="108">
        <f ca="1">IF($C299&gt;=Config!$B$5,1,0)</f>
        <v>0</v>
      </c>
      <c r="E299" s="108">
        <f t="shared" ca="1" si="17"/>
        <v>0</v>
      </c>
      <c r="F299" s="108">
        <f ca="1">IF(AND($D299=0,$H298&gt;0,$E299&lt;Config!$B$8,$A299&lt;Config!$A$2),1,0)</f>
        <v>0</v>
      </c>
      <c r="G299" s="108">
        <f t="shared" ca="1" si="18"/>
        <v>0</v>
      </c>
      <c r="H299" s="108">
        <f ca="1">IF($D299=1,$H298+1,IF($F299=1,$H298,IF($A299=Config!$A$2,$H298,0)))</f>
        <v>0</v>
      </c>
      <c r="M299" s="109"/>
    </row>
    <row r="300" spans="1:13" x14ac:dyDescent="0.3">
      <c r="A300" s="106">
        <f t="shared" ca="1" si="16"/>
        <v>45878</v>
      </c>
      <c r="B300" s="107">
        <f ca="1">SUMIFS('Daily Writing Log'!$H$5:$H$34,'Daily Writing Log'!$A$5:$A$34,$A300)</f>
        <v>0</v>
      </c>
      <c r="C300" s="107">
        <f ca="1">SUMIFS('Daily Writing Log'!$I$5:$I$34,'Daily Writing Log'!$A$5:$A$34,$A300)</f>
        <v>0</v>
      </c>
      <c r="D300" s="108">
        <f ca="1">IF($C300&gt;=Config!$B$5,1,0)</f>
        <v>0</v>
      </c>
      <c r="E300" s="108">
        <f t="shared" ca="1" si="17"/>
        <v>0</v>
      </c>
      <c r="F300" s="108">
        <f ca="1">IF(AND($D300=0,$H299&gt;0,$E300&lt;Config!$B$8,$A300&lt;Config!$A$2),1,0)</f>
        <v>0</v>
      </c>
      <c r="G300" s="108">
        <f t="shared" ca="1" si="18"/>
        <v>0</v>
      </c>
      <c r="H300" s="108">
        <f ca="1">IF($D300=1,$H299+1,IF($F300=1,$H299,IF($A300=Config!$A$2,$H299,0)))</f>
        <v>0</v>
      </c>
      <c r="M300" s="109"/>
    </row>
    <row r="301" spans="1:13" x14ac:dyDescent="0.3">
      <c r="A301" s="106">
        <f t="shared" ca="1" si="16"/>
        <v>45879</v>
      </c>
      <c r="B301" s="107">
        <f ca="1">SUMIFS('Daily Writing Log'!$H$5:$H$34,'Daily Writing Log'!$A$5:$A$34,$A301)</f>
        <v>0</v>
      </c>
      <c r="C301" s="107">
        <f ca="1">SUMIFS('Daily Writing Log'!$I$5:$I$34,'Daily Writing Log'!$A$5:$A$34,$A301)</f>
        <v>0</v>
      </c>
      <c r="D301" s="108">
        <f ca="1">IF($C301&gt;=Config!$B$5,1,0)</f>
        <v>0</v>
      </c>
      <c r="E301" s="108">
        <f t="shared" ca="1" si="17"/>
        <v>0</v>
      </c>
      <c r="F301" s="108">
        <f ca="1">IF(AND($D301=0,$H300&gt;0,$E301&lt;Config!$B$8,$A301&lt;Config!$A$2),1,0)</f>
        <v>0</v>
      </c>
      <c r="G301" s="108">
        <f t="shared" ca="1" si="18"/>
        <v>0</v>
      </c>
      <c r="H301" s="108">
        <f ca="1">IF($D301=1,$H300+1,IF($F301=1,$H300,IF($A301=Config!$A$2,$H300,0)))</f>
        <v>0</v>
      </c>
      <c r="M301" s="109"/>
    </row>
    <row r="302" spans="1:13" x14ac:dyDescent="0.3">
      <c r="A302" s="106">
        <f t="shared" ca="1" si="16"/>
        <v>45880</v>
      </c>
      <c r="B302" s="107">
        <f ca="1">SUMIFS('Daily Writing Log'!$H$5:$H$34,'Daily Writing Log'!$A$5:$A$34,$A302)</f>
        <v>0</v>
      </c>
      <c r="C302" s="107">
        <f ca="1">SUMIFS('Daily Writing Log'!$I$5:$I$34,'Daily Writing Log'!$A$5:$A$34,$A302)</f>
        <v>0</v>
      </c>
      <c r="D302" s="108">
        <f ca="1">IF($C302&gt;=Config!$B$5,1,0)</f>
        <v>0</v>
      </c>
      <c r="E302" s="108">
        <f t="shared" ca="1" si="17"/>
        <v>0</v>
      </c>
      <c r="F302" s="108">
        <f ca="1">IF(AND($D302=0,$H301&gt;0,$E302&lt;Config!$B$8,$A302&lt;Config!$A$2),1,0)</f>
        <v>0</v>
      </c>
      <c r="G302" s="108">
        <f t="shared" ca="1" si="18"/>
        <v>0</v>
      </c>
      <c r="H302" s="108">
        <f ca="1">IF($D302=1,$H301+1,IF($F302=1,$H301,IF($A302=Config!$A$2,$H301,0)))</f>
        <v>0</v>
      </c>
      <c r="M302" s="109"/>
    </row>
    <row r="303" spans="1:13" x14ac:dyDescent="0.3">
      <c r="A303" s="106">
        <f t="shared" ca="1" si="16"/>
        <v>45881</v>
      </c>
      <c r="B303" s="107">
        <f ca="1">SUMIFS('Daily Writing Log'!$H$5:$H$34,'Daily Writing Log'!$A$5:$A$34,$A303)</f>
        <v>0</v>
      </c>
      <c r="C303" s="107">
        <f ca="1">SUMIFS('Daily Writing Log'!$I$5:$I$34,'Daily Writing Log'!$A$5:$A$34,$A303)</f>
        <v>0</v>
      </c>
      <c r="D303" s="108">
        <f ca="1">IF($C303&gt;=Config!$B$5,1,0)</f>
        <v>0</v>
      </c>
      <c r="E303" s="108">
        <f t="shared" ca="1" si="17"/>
        <v>0</v>
      </c>
      <c r="F303" s="108">
        <f ca="1">IF(AND($D303=0,$H302&gt;0,$E303&lt;Config!$B$8,$A303&lt;Config!$A$2),1,0)</f>
        <v>0</v>
      </c>
      <c r="G303" s="108">
        <f t="shared" ca="1" si="18"/>
        <v>0</v>
      </c>
      <c r="H303" s="108">
        <f ca="1">IF($D303=1,$H302+1,IF($F303=1,$H302,IF($A303=Config!$A$2,$H302,0)))</f>
        <v>0</v>
      </c>
      <c r="M303" s="109"/>
    </row>
    <row r="304" spans="1:13" x14ac:dyDescent="0.3">
      <c r="A304" s="106">
        <f t="shared" ca="1" si="16"/>
        <v>45882</v>
      </c>
      <c r="B304" s="107">
        <f ca="1">SUMIFS('Daily Writing Log'!$H$5:$H$34,'Daily Writing Log'!$A$5:$A$34,$A304)</f>
        <v>0</v>
      </c>
      <c r="C304" s="107">
        <f ca="1">SUMIFS('Daily Writing Log'!$I$5:$I$34,'Daily Writing Log'!$A$5:$A$34,$A304)</f>
        <v>0</v>
      </c>
      <c r="D304" s="108">
        <f ca="1">IF($C304&gt;=Config!$B$5,1,0)</f>
        <v>0</v>
      </c>
      <c r="E304" s="108">
        <f t="shared" ca="1" si="17"/>
        <v>0</v>
      </c>
      <c r="F304" s="108">
        <f ca="1">IF(AND($D304=0,$H303&gt;0,$E304&lt;Config!$B$8,$A304&lt;Config!$A$2),1,0)</f>
        <v>0</v>
      </c>
      <c r="G304" s="108">
        <f t="shared" ca="1" si="18"/>
        <v>0</v>
      </c>
      <c r="H304" s="108">
        <f ca="1">IF($D304=1,$H303+1,IF($F304=1,$H303,IF($A304=Config!$A$2,$H303,0)))</f>
        <v>0</v>
      </c>
      <c r="M304" s="109"/>
    </row>
    <row r="305" spans="1:13" x14ac:dyDescent="0.3">
      <c r="A305" s="106">
        <f t="shared" ca="1" si="16"/>
        <v>45883</v>
      </c>
      <c r="B305" s="107">
        <f ca="1">SUMIFS('Daily Writing Log'!$H$5:$H$34,'Daily Writing Log'!$A$5:$A$34,$A305)</f>
        <v>0</v>
      </c>
      <c r="C305" s="107">
        <f ca="1">SUMIFS('Daily Writing Log'!$I$5:$I$34,'Daily Writing Log'!$A$5:$A$34,$A305)</f>
        <v>0</v>
      </c>
      <c r="D305" s="108">
        <f ca="1">IF($C305&gt;=Config!$B$5,1,0)</f>
        <v>0</v>
      </c>
      <c r="E305" s="108">
        <f t="shared" ca="1" si="17"/>
        <v>0</v>
      </c>
      <c r="F305" s="108">
        <f ca="1">IF(AND($D305=0,$H304&gt;0,$E305&lt;Config!$B$8,$A305&lt;Config!$A$2),1,0)</f>
        <v>0</v>
      </c>
      <c r="G305" s="108">
        <f t="shared" ca="1" si="18"/>
        <v>0</v>
      </c>
      <c r="H305" s="108">
        <f ca="1">IF($D305=1,$H304+1,IF($F305=1,$H304,IF($A305=Config!$A$2,$H304,0)))</f>
        <v>0</v>
      </c>
      <c r="M305" s="109"/>
    </row>
    <row r="306" spans="1:13" x14ac:dyDescent="0.3">
      <c r="A306" s="106">
        <f t="shared" ca="1" si="16"/>
        <v>45884</v>
      </c>
      <c r="B306" s="107">
        <f ca="1">SUMIFS('Daily Writing Log'!$H$5:$H$34,'Daily Writing Log'!$A$5:$A$34,$A306)</f>
        <v>0</v>
      </c>
      <c r="C306" s="107">
        <f ca="1">SUMIFS('Daily Writing Log'!$I$5:$I$34,'Daily Writing Log'!$A$5:$A$34,$A306)</f>
        <v>0</v>
      </c>
      <c r="D306" s="108">
        <f ca="1">IF($C306&gt;=Config!$B$5,1,0)</f>
        <v>0</v>
      </c>
      <c r="E306" s="108">
        <f t="shared" ca="1" si="17"/>
        <v>0</v>
      </c>
      <c r="F306" s="108">
        <f ca="1">IF(AND($D306=0,$H305&gt;0,$E306&lt;Config!$B$8,$A306&lt;Config!$A$2),1,0)</f>
        <v>0</v>
      </c>
      <c r="G306" s="108">
        <f t="shared" ca="1" si="18"/>
        <v>0</v>
      </c>
      <c r="H306" s="108">
        <f ca="1">IF($D306=1,$H305+1,IF($F306=1,$H305,IF($A306=Config!$A$2,$H305,0)))</f>
        <v>0</v>
      </c>
      <c r="M306" s="109"/>
    </row>
    <row r="307" spans="1:13" x14ac:dyDescent="0.3">
      <c r="A307" s="106">
        <f t="shared" ca="1" si="16"/>
        <v>45885</v>
      </c>
      <c r="B307" s="107">
        <f ca="1">SUMIFS('Daily Writing Log'!$H$5:$H$34,'Daily Writing Log'!$A$5:$A$34,$A307)</f>
        <v>0</v>
      </c>
      <c r="C307" s="107">
        <f ca="1">SUMIFS('Daily Writing Log'!$I$5:$I$34,'Daily Writing Log'!$A$5:$A$34,$A307)</f>
        <v>0</v>
      </c>
      <c r="D307" s="108">
        <f ca="1">IF($C307&gt;=Config!$B$5,1,0)</f>
        <v>0</v>
      </c>
      <c r="E307" s="108">
        <f t="shared" ca="1" si="17"/>
        <v>0</v>
      </c>
      <c r="F307" s="108">
        <f ca="1">IF(AND($D307=0,$H306&gt;0,$E307&lt;Config!$B$8,$A307&lt;Config!$A$2),1,0)</f>
        <v>0</v>
      </c>
      <c r="G307" s="108">
        <f t="shared" ca="1" si="18"/>
        <v>0</v>
      </c>
      <c r="H307" s="108">
        <f ca="1">IF($D307=1,$H306+1,IF($F307=1,$H306,IF($A307=Config!$A$2,$H306,0)))</f>
        <v>0</v>
      </c>
      <c r="M307" s="109"/>
    </row>
    <row r="308" spans="1:13" x14ac:dyDescent="0.3">
      <c r="A308" s="106">
        <f t="shared" ca="1" si="16"/>
        <v>45886</v>
      </c>
      <c r="B308" s="107">
        <f ca="1">SUMIFS('Daily Writing Log'!$H$5:$H$34,'Daily Writing Log'!$A$5:$A$34,$A308)</f>
        <v>0</v>
      </c>
      <c r="C308" s="107">
        <f ca="1">SUMIFS('Daily Writing Log'!$I$5:$I$34,'Daily Writing Log'!$A$5:$A$34,$A308)</f>
        <v>0</v>
      </c>
      <c r="D308" s="108">
        <f ca="1">IF($C308&gt;=Config!$B$5,1,0)</f>
        <v>0</v>
      </c>
      <c r="E308" s="108">
        <f t="shared" ca="1" si="17"/>
        <v>0</v>
      </c>
      <c r="F308" s="108">
        <f ca="1">IF(AND($D308=0,$H307&gt;0,$E308&lt;Config!$B$8,$A308&lt;Config!$A$2),1,0)</f>
        <v>0</v>
      </c>
      <c r="G308" s="108">
        <f t="shared" ca="1" si="18"/>
        <v>0</v>
      </c>
      <c r="H308" s="108">
        <f ca="1">IF($D308=1,$H307+1,IF($F308=1,$H307,IF($A308=Config!$A$2,$H307,0)))</f>
        <v>0</v>
      </c>
      <c r="M308" s="109"/>
    </row>
    <row r="309" spans="1:13" x14ac:dyDescent="0.3">
      <c r="A309" s="106">
        <f t="shared" ca="1" si="16"/>
        <v>45887</v>
      </c>
      <c r="B309" s="107">
        <f ca="1">SUMIFS('Daily Writing Log'!$H$5:$H$34,'Daily Writing Log'!$A$5:$A$34,$A309)</f>
        <v>0</v>
      </c>
      <c r="C309" s="107">
        <f ca="1">SUMIFS('Daily Writing Log'!$I$5:$I$34,'Daily Writing Log'!$A$5:$A$34,$A309)</f>
        <v>0</v>
      </c>
      <c r="D309" s="108">
        <f ca="1">IF($C309&gt;=Config!$B$5,1,0)</f>
        <v>0</v>
      </c>
      <c r="E309" s="108">
        <f t="shared" ca="1" si="17"/>
        <v>0</v>
      </c>
      <c r="F309" s="108">
        <f ca="1">IF(AND($D309=0,$H308&gt;0,$E309&lt;Config!$B$8,$A309&lt;Config!$A$2),1,0)</f>
        <v>0</v>
      </c>
      <c r="G309" s="108">
        <f t="shared" ca="1" si="18"/>
        <v>0</v>
      </c>
      <c r="H309" s="108">
        <f ca="1">IF($D309=1,$H308+1,IF($F309=1,$H308,IF($A309=Config!$A$2,$H308,0)))</f>
        <v>0</v>
      </c>
      <c r="M309" s="109"/>
    </row>
    <row r="310" spans="1:13" x14ac:dyDescent="0.3">
      <c r="A310" s="106">
        <f t="shared" ca="1" si="16"/>
        <v>45888</v>
      </c>
      <c r="B310" s="107">
        <f ca="1">SUMIFS('Daily Writing Log'!$H$5:$H$34,'Daily Writing Log'!$A$5:$A$34,$A310)</f>
        <v>0</v>
      </c>
      <c r="C310" s="107">
        <f ca="1">SUMIFS('Daily Writing Log'!$I$5:$I$34,'Daily Writing Log'!$A$5:$A$34,$A310)</f>
        <v>0</v>
      </c>
      <c r="D310" s="108">
        <f ca="1">IF($C310&gt;=Config!$B$5,1,0)</f>
        <v>0</v>
      </c>
      <c r="E310" s="108">
        <f t="shared" ca="1" si="17"/>
        <v>0</v>
      </c>
      <c r="F310" s="108">
        <f ca="1">IF(AND($D310=0,$H309&gt;0,$E310&lt;Config!$B$8,$A310&lt;Config!$A$2),1,0)</f>
        <v>0</v>
      </c>
      <c r="G310" s="108">
        <f t="shared" ca="1" si="18"/>
        <v>0</v>
      </c>
      <c r="H310" s="108">
        <f ca="1">IF($D310=1,$H309+1,IF($F310=1,$H309,IF($A310=Config!$A$2,$H309,0)))</f>
        <v>0</v>
      </c>
      <c r="M310" s="109"/>
    </row>
    <row r="311" spans="1:13" x14ac:dyDescent="0.3">
      <c r="A311" s="106">
        <f t="shared" ca="1" si="16"/>
        <v>45889</v>
      </c>
      <c r="B311" s="107">
        <f ca="1">SUMIFS('Daily Writing Log'!$H$5:$H$34,'Daily Writing Log'!$A$5:$A$34,$A311)</f>
        <v>0</v>
      </c>
      <c r="C311" s="107">
        <f ca="1">SUMIFS('Daily Writing Log'!$I$5:$I$34,'Daily Writing Log'!$A$5:$A$34,$A311)</f>
        <v>0</v>
      </c>
      <c r="D311" s="108">
        <f ca="1">IF($C311&gt;=Config!$B$5,1,0)</f>
        <v>0</v>
      </c>
      <c r="E311" s="108">
        <f t="shared" ca="1" si="17"/>
        <v>0</v>
      </c>
      <c r="F311" s="108">
        <f ca="1">IF(AND($D311=0,$H310&gt;0,$E311&lt;Config!$B$8,$A311&lt;Config!$A$2),1,0)</f>
        <v>0</v>
      </c>
      <c r="G311" s="108">
        <f t="shared" ca="1" si="18"/>
        <v>0</v>
      </c>
      <c r="H311" s="108">
        <f ca="1">IF($D311=1,$H310+1,IF($F311=1,$H310,IF($A311=Config!$A$2,$H310,0)))</f>
        <v>0</v>
      </c>
      <c r="M311" s="109"/>
    </row>
    <row r="312" spans="1:13" x14ac:dyDescent="0.3">
      <c r="A312" s="106">
        <f t="shared" ca="1" si="16"/>
        <v>45890</v>
      </c>
      <c r="B312" s="107">
        <f ca="1">SUMIFS('Daily Writing Log'!$H$5:$H$34,'Daily Writing Log'!$A$5:$A$34,$A312)</f>
        <v>0</v>
      </c>
      <c r="C312" s="107">
        <f ca="1">SUMIFS('Daily Writing Log'!$I$5:$I$34,'Daily Writing Log'!$A$5:$A$34,$A312)</f>
        <v>0</v>
      </c>
      <c r="D312" s="108">
        <f ca="1">IF($C312&gt;=Config!$B$5,1,0)</f>
        <v>0</v>
      </c>
      <c r="E312" s="108">
        <f t="shared" ca="1" si="17"/>
        <v>0</v>
      </c>
      <c r="F312" s="108">
        <f ca="1">IF(AND($D312=0,$H311&gt;0,$E312&lt;Config!$B$8,$A312&lt;Config!$A$2),1,0)</f>
        <v>0</v>
      </c>
      <c r="G312" s="108">
        <f t="shared" ca="1" si="18"/>
        <v>0</v>
      </c>
      <c r="H312" s="108">
        <f ca="1">IF($D312=1,$H311+1,IF($F312=1,$H311,IF($A312=Config!$A$2,$H311,0)))</f>
        <v>0</v>
      </c>
      <c r="M312" s="109"/>
    </row>
    <row r="313" spans="1:13" x14ac:dyDescent="0.3">
      <c r="A313" s="106">
        <f t="shared" ca="1" si="16"/>
        <v>45891</v>
      </c>
      <c r="B313" s="107">
        <f ca="1">SUMIFS('Daily Writing Log'!$H$5:$H$34,'Daily Writing Log'!$A$5:$A$34,$A313)</f>
        <v>0</v>
      </c>
      <c r="C313" s="107">
        <f ca="1">SUMIFS('Daily Writing Log'!$I$5:$I$34,'Daily Writing Log'!$A$5:$A$34,$A313)</f>
        <v>0</v>
      </c>
      <c r="D313" s="108">
        <f ca="1">IF($C313&gt;=Config!$B$5,1,0)</f>
        <v>0</v>
      </c>
      <c r="E313" s="108">
        <f t="shared" ca="1" si="17"/>
        <v>0</v>
      </c>
      <c r="F313" s="108">
        <f ca="1">IF(AND($D313=0,$H312&gt;0,$E313&lt;Config!$B$8,$A313&lt;Config!$A$2),1,0)</f>
        <v>0</v>
      </c>
      <c r="G313" s="108">
        <f t="shared" ca="1" si="18"/>
        <v>0</v>
      </c>
      <c r="H313" s="108">
        <f ca="1">IF($D313=1,$H312+1,IF($F313=1,$H312,IF($A313=Config!$A$2,$H312,0)))</f>
        <v>0</v>
      </c>
      <c r="M313" s="109"/>
    </row>
    <row r="314" spans="1:13" x14ac:dyDescent="0.3">
      <c r="A314" s="106">
        <f t="shared" ca="1" si="16"/>
        <v>45892</v>
      </c>
      <c r="B314" s="107">
        <f ca="1">SUMIFS('Daily Writing Log'!$H$5:$H$34,'Daily Writing Log'!$A$5:$A$34,$A314)</f>
        <v>0</v>
      </c>
      <c r="C314" s="107">
        <f ca="1">SUMIFS('Daily Writing Log'!$I$5:$I$34,'Daily Writing Log'!$A$5:$A$34,$A314)</f>
        <v>0</v>
      </c>
      <c r="D314" s="108">
        <f ca="1">IF($C314&gt;=Config!$B$5,1,0)</f>
        <v>0</v>
      </c>
      <c r="E314" s="108">
        <f t="shared" ca="1" si="17"/>
        <v>0</v>
      </c>
      <c r="F314" s="108">
        <f ca="1">IF(AND($D314=0,$H313&gt;0,$E314&lt;Config!$B$8,$A314&lt;Config!$A$2),1,0)</f>
        <v>0</v>
      </c>
      <c r="G314" s="108">
        <f t="shared" ca="1" si="18"/>
        <v>0</v>
      </c>
      <c r="H314" s="108">
        <f ca="1">IF($D314=1,$H313+1,IF($F314=1,$H313,IF($A314=Config!$A$2,$H313,0)))</f>
        <v>0</v>
      </c>
      <c r="M314" s="109"/>
    </row>
    <row r="315" spans="1:13" x14ac:dyDescent="0.3">
      <c r="A315" s="106">
        <f t="shared" ca="1" si="16"/>
        <v>45893</v>
      </c>
      <c r="B315" s="107">
        <f ca="1">SUMIFS('Daily Writing Log'!$H$5:$H$34,'Daily Writing Log'!$A$5:$A$34,$A315)</f>
        <v>0</v>
      </c>
      <c r="C315" s="107">
        <f ca="1">SUMIFS('Daily Writing Log'!$I$5:$I$34,'Daily Writing Log'!$A$5:$A$34,$A315)</f>
        <v>0</v>
      </c>
      <c r="D315" s="108">
        <f ca="1">IF($C315&gt;=Config!$B$5,1,0)</f>
        <v>0</v>
      </c>
      <c r="E315" s="108">
        <f t="shared" ca="1" si="17"/>
        <v>0</v>
      </c>
      <c r="F315" s="108">
        <f ca="1">IF(AND($D315=0,$H314&gt;0,$E315&lt;Config!$B$8,$A315&lt;Config!$A$2),1,0)</f>
        <v>0</v>
      </c>
      <c r="G315" s="108">
        <f t="shared" ca="1" si="18"/>
        <v>0</v>
      </c>
      <c r="H315" s="108">
        <f ca="1">IF($D315=1,$H314+1,IF($F315=1,$H314,IF($A315=Config!$A$2,$H314,0)))</f>
        <v>0</v>
      </c>
      <c r="M315" s="109"/>
    </row>
    <row r="316" spans="1:13" x14ac:dyDescent="0.3">
      <c r="A316" s="106">
        <f t="shared" ca="1" si="16"/>
        <v>45894</v>
      </c>
      <c r="B316" s="107">
        <f ca="1">SUMIFS('Daily Writing Log'!$H$5:$H$34,'Daily Writing Log'!$A$5:$A$34,$A316)</f>
        <v>0</v>
      </c>
      <c r="C316" s="107">
        <f ca="1">SUMIFS('Daily Writing Log'!$I$5:$I$34,'Daily Writing Log'!$A$5:$A$34,$A316)</f>
        <v>0</v>
      </c>
      <c r="D316" s="108">
        <f ca="1">IF($C316&gt;=Config!$B$5,1,0)</f>
        <v>0</v>
      </c>
      <c r="E316" s="108">
        <f t="shared" ca="1" si="17"/>
        <v>0</v>
      </c>
      <c r="F316" s="108">
        <f ca="1">IF(AND($D316=0,$H315&gt;0,$E316&lt;Config!$B$8,$A316&lt;Config!$A$2),1,0)</f>
        <v>0</v>
      </c>
      <c r="G316" s="108">
        <f t="shared" ca="1" si="18"/>
        <v>0</v>
      </c>
      <c r="H316" s="108">
        <f ca="1">IF($D316=1,$H315+1,IF($F316=1,$H315,IF($A316=Config!$A$2,$H315,0)))</f>
        <v>0</v>
      </c>
      <c r="M316" s="109"/>
    </row>
    <row r="317" spans="1:13" x14ac:dyDescent="0.3">
      <c r="A317" s="106">
        <f t="shared" ca="1" si="16"/>
        <v>45895</v>
      </c>
      <c r="B317" s="107">
        <f ca="1">SUMIFS('Daily Writing Log'!$H$5:$H$34,'Daily Writing Log'!$A$5:$A$34,$A317)</f>
        <v>0</v>
      </c>
      <c r="C317" s="107">
        <f ca="1">SUMIFS('Daily Writing Log'!$I$5:$I$34,'Daily Writing Log'!$A$5:$A$34,$A317)</f>
        <v>0</v>
      </c>
      <c r="D317" s="108">
        <f ca="1">IF($C317&gt;=Config!$B$5,1,0)</f>
        <v>0</v>
      </c>
      <c r="E317" s="108">
        <f t="shared" ca="1" si="17"/>
        <v>0</v>
      </c>
      <c r="F317" s="108">
        <f ca="1">IF(AND($D317=0,$H316&gt;0,$E317&lt;Config!$B$8,$A317&lt;Config!$A$2),1,0)</f>
        <v>0</v>
      </c>
      <c r="G317" s="108">
        <f t="shared" ca="1" si="18"/>
        <v>0</v>
      </c>
      <c r="H317" s="108">
        <f ca="1">IF($D317=1,$H316+1,IF($F317=1,$H316,IF($A317=Config!$A$2,$H316,0)))</f>
        <v>0</v>
      </c>
      <c r="M317" s="109"/>
    </row>
    <row r="318" spans="1:13" x14ac:dyDescent="0.3">
      <c r="A318" s="106">
        <f t="shared" ca="1" si="16"/>
        <v>45896</v>
      </c>
      <c r="B318" s="107">
        <f ca="1">SUMIFS('Daily Writing Log'!$H$5:$H$34,'Daily Writing Log'!$A$5:$A$34,$A318)</f>
        <v>0</v>
      </c>
      <c r="C318" s="107">
        <f ca="1">SUMIFS('Daily Writing Log'!$I$5:$I$34,'Daily Writing Log'!$A$5:$A$34,$A318)</f>
        <v>0</v>
      </c>
      <c r="D318" s="108">
        <f ca="1">IF($C318&gt;=Config!$B$5,1,0)</f>
        <v>0</v>
      </c>
      <c r="E318" s="108">
        <f t="shared" ca="1" si="17"/>
        <v>0</v>
      </c>
      <c r="F318" s="108">
        <f ca="1">IF(AND($D318=0,$H317&gt;0,$E318&lt;Config!$B$8,$A318&lt;Config!$A$2),1,0)</f>
        <v>0</v>
      </c>
      <c r="G318" s="108">
        <f t="shared" ca="1" si="18"/>
        <v>0</v>
      </c>
      <c r="H318" s="108">
        <f ca="1">IF($D318=1,$H317+1,IF($F318=1,$H317,IF($A318=Config!$A$2,$H317,0)))</f>
        <v>0</v>
      </c>
      <c r="M318" s="109"/>
    </row>
    <row r="319" spans="1:13" x14ac:dyDescent="0.3">
      <c r="A319" s="106">
        <f t="shared" ca="1" si="16"/>
        <v>45897</v>
      </c>
      <c r="B319" s="107">
        <f ca="1">SUMIFS('Daily Writing Log'!$H$5:$H$34,'Daily Writing Log'!$A$5:$A$34,$A319)</f>
        <v>0</v>
      </c>
      <c r="C319" s="107">
        <f ca="1">SUMIFS('Daily Writing Log'!$I$5:$I$34,'Daily Writing Log'!$A$5:$A$34,$A319)</f>
        <v>0</v>
      </c>
      <c r="D319" s="108">
        <f ca="1">IF($C319&gt;=Config!$B$5,1,0)</f>
        <v>0</v>
      </c>
      <c r="E319" s="108">
        <f t="shared" ca="1" si="17"/>
        <v>0</v>
      </c>
      <c r="F319" s="108">
        <f ca="1">IF(AND($D319=0,$H318&gt;0,$E319&lt;Config!$B$8,$A319&lt;Config!$A$2),1,0)</f>
        <v>0</v>
      </c>
      <c r="G319" s="108">
        <f t="shared" ca="1" si="18"/>
        <v>0</v>
      </c>
      <c r="H319" s="108">
        <f ca="1">IF($D319=1,$H318+1,IF($F319=1,$H318,IF($A319=Config!$A$2,$H318,0)))</f>
        <v>0</v>
      </c>
      <c r="M319" s="109"/>
    </row>
    <row r="320" spans="1:13" x14ac:dyDescent="0.3">
      <c r="A320" s="106">
        <f t="shared" ca="1" si="16"/>
        <v>45898</v>
      </c>
      <c r="B320" s="107">
        <f ca="1">SUMIFS('Daily Writing Log'!$H$5:$H$34,'Daily Writing Log'!$A$5:$A$34,$A320)</f>
        <v>0</v>
      </c>
      <c r="C320" s="107">
        <f ca="1">SUMIFS('Daily Writing Log'!$I$5:$I$34,'Daily Writing Log'!$A$5:$A$34,$A320)</f>
        <v>0</v>
      </c>
      <c r="D320" s="108">
        <f ca="1">IF($C320&gt;=Config!$B$5,1,0)</f>
        <v>0</v>
      </c>
      <c r="E320" s="108">
        <f t="shared" ca="1" si="17"/>
        <v>0</v>
      </c>
      <c r="F320" s="108">
        <f ca="1">IF(AND($D320=0,$H319&gt;0,$E320&lt;Config!$B$8,$A320&lt;Config!$A$2),1,0)</f>
        <v>0</v>
      </c>
      <c r="G320" s="108">
        <f t="shared" ca="1" si="18"/>
        <v>0</v>
      </c>
      <c r="H320" s="108">
        <f ca="1">IF($D320=1,$H319+1,IF($F320=1,$H319,IF($A320=Config!$A$2,$H319,0)))</f>
        <v>0</v>
      </c>
      <c r="M320" s="109"/>
    </row>
    <row r="321" spans="1:13" x14ac:dyDescent="0.3">
      <c r="A321" s="106">
        <f t="shared" ca="1" si="16"/>
        <v>45899</v>
      </c>
      <c r="B321" s="107">
        <f ca="1">SUMIFS('Daily Writing Log'!$H$5:$H$34,'Daily Writing Log'!$A$5:$A$34,$A321)</f>
        <v>0</v>
      </c>
      <c r="C321" s="107">
        <f ca="1">SUMIFS('Daily Writing Log'!$I$5:$I$34,'Daily Writing Log'!$A$5:$A$34,$A321)</f>
        <v>0</v>
      </c>
      <c r="D321" s="108">
        <f ca="1">IF($C321&gt;=Config!$B$5,1,0)</f>
        <v>0</v>
      </c>
      <c r="E321" s="108">
        <f t="shared" ca="1" si="17"/>
        <v>0</v>
      </c>
      <c r="F321" s="108">
        <f ca="1">IF(AND($D321=0,$H320&gt;0,$E321&lt;Config!$B$8,$A321&lt;Config!$A$2),1,0)</f>
        <v>0</v>
      </c>
      <c r="G321" s="108">
        <f t="shared" ca="1" si="18"/>
        <v>0</v>
      </c>
      <c r="H321" s="108">
        <f ca="1">IF($D321=1,$H320+1,IF($F321=1,$H320,IF($A321=Config!$A$2,$H320,0)))</f>
        <v>0</v>
      </c>
      <c r="M321" s="109"/>
    </row>
    <row r="322" spans="1:13" x14ac:dyDescent="0.3">
      <c r="A322" s="106">
        <f t="shared" ca="1" si="16"/>
        <v>45900</v>
      </c>
      <c r="B322" s="107">
        <f ca="1">SUMIFS('Daily Writing Log'!$H$5:$H$34,'Daily Writing Log'!$A$5:$A$34,$A322)</f>
        <v>0</v>
      </c>
      <c r="C322" s="107">
        <f ca="1">SUMIFS('Daily Writing Log'!$I$5:$I$34,'Daily Writing Log'!$A$5:$A$34,$A322)</f>
        <v>0</v>
      </c>
      <c r="D322" s="108">
        <f ca="1">IF($C322&gt;=Config!$B$5,1,0)</f>
        <v>0</v>
      </c>
      <c r="E322" s="108">
        <f t="shared" ca="1" si="17"/>
        <v>0</v>
      </c>
      <c r="F322" s="108">
        <f ca="1">IF(AND($D322=0,$H321&gt;0,$E322&lt;Config!$B$8,$A322&lt;Config!$A$2),1,0)</f>
        <v>0</v>
      </c>
      <c r="G322" s="108">
        <f t="shared" ca="1" si="18"/>
        <v>0</v>
      </c>
      <c r="H322" s="108">
        <f ca="1">IF($D322=1,$H321+1,IF($F322=1,$H321,IF($A322=Config!$A$2,$H321,0)))</f>
        <v>0</v>
      </c>
      <c r="M322" s="109"/>
    </row>
    <row r="323" spans="1:13" x14ac:dyDescent="0.3">
      <c r="A323" s="106">
        <f t="shared" ca="1" si="16"/>
        <v>45901</v>
      </c>
      <c r="B323" s="107">
        <f ca="1">SUMIFS('Daily Writing Log'!$H$5:$H$34,'Daily Writing Log'!$A$5:$A$34,$A323)</f>
        <v>0</v>
      </c>
      <c r="C323" s="107">
        <f ca="1">SUMIFS('Daily Writing Log'!$I$5:$I$34,'Daily Writing Log'!$A$5:$A$34,$A323)</f>
        <v>0</v>
      </c>
      <c r="D323" s="108">
        <f ca="1">IF($C323&gt;=Config!$B$5,1,0)</f>
        <v>0</v>
      </c>
      <c r="E323" s="108">
        <f t="shared" ca="1" si="17"/>
        <v>0</v>
      </c>
      <c r="F323" s="108">
        <f ca="1">IF(AND($D323=0,$H322&gt;0,$E323&lt;Config!$B$8,$A323&lt;Config!$A$2),1,0)</f>
        <v>0</v>
      </c>
      <c r="G323" s="108">
        <f t="shared" ca="1" si="18"/>
        <v>0</v>
      </c>
      <c r="H323" s="108">
        <f ca="1">IF($D323=1,$H322+1,IF($F323=1,$H322,IF($A323=Config!$A$2,$H322,0)))</f>
        <v>0</v>
      </c>
      <c r="M323" s="109"/>
    </row>
    <row r="324" spans="1:13" x14ac:dyDescent="0.3">
      <c r="A324" s="106">
        <f t="shared" ca="1" si="16"/>
        <v>45902</v>
      </c>
      <c r="B324" s="107">
        <f ca="1">SUMIFS('Daily Writing Log'!$H$5:$H$34,'Daily Writing Log'!$A$5:$A$34,$A324)</f>
        <v>0</v>
      </c>
      <c r="C324" s="107">
        <f ca="1">SUMIFS('Daily Writing Log'!$I$5:$I$34,'Daily Writing Log'!$A$5:$A$34,$A324)</f>
        <v>0</v>
      </c>
      <c r="D324" s="108">
        <f ca="1">IF($C324&gt;=Config!$B$5,1,0)</f>
        <v>0</v>
      </c>
      <c r="E324" s="108">
        <f t="shared" ca="1" si="17"/>
        <v>0</v>
      </c>
      <c r="F324" s="108">
        <f ca="1">IF(AND($D324=0,$H323&gt;0,$E324&lt;Config!$B$8,$A324&lt;Config!$A$2),1,0)</f>
        <v>0</v>
      </c>
      <c r="G324" s="108">
        <f t="shared" ca="1" si="18"/>
        <v>0</v>
      </c>
      <c r="H324" s="108">
        <f ca="1">IF($D324=1,$H323+1,IF($F324=1,$H323,IF($A324=Config!$A$2,$H323,0)))</f>
        <v>0</v>
      </c>
      <c r="M324" s="109"/>
    </row>
    <row r="325" spans="1:13" x14ac:dyDescent="0.3">
      <c r="A325" s="106">
        <f t="shared" ca="1" si="16"/>
        <v>45903</v>
      </c>
      <c r="B325" s="107">
        <f ca="1">SUMIFS('Daily Writing Log'!$H$5:$H$34,'Daily Writing Log'!$A$5:$A$34,$A325)</f>
        <v>0</v>
      </c>
      <c r="C325" s="107">
        <f ca="1">SUMIFS('Daily Writing Log'!$I$5:$I$34,'Daily Writing Log'!$A$5:$A$34,$A325)</f>
        <v>0</v>
      </c>
      <c r="D325" s="108">
        <f ca="1">IF($C325&gt;=Config!$B$5,1,0)</f>
        <v>0</v>
      </c>
      <c r="E325" s="108">
        <f t="shared" ca="1" si="17"/>
        <v>0</v>
      </c>
      <c r="F325" s="108">
        <f ca="1">IF(AND($D325=0,$H324&gt;0,$E325&lt;Config!$B$8,$A325&lt;Config!$A$2),1,0)</f>
        <v>0</v>
      </c>
      <c r="G325" s="108">
        <f t="shared" ca="1" si="18"/>
        <v>0</v>
      </c>
      <c r="H325" s="108">
        <f ca="1">IF($D325=1,$H324+1,IF($F325=1,$H324,IF($A325=Config!$A$2,$H324,0)))</f>
        <v>0</v>
      </c>
      <c r="M325" s="109"/>
    </row>
    <row r="326" spans="1:13" x14ac:dyDescent="0.3">
      <c r="A326" s="106">
        <f t="shared" ref="A326:A389" ca="1" si="19">A325+1</f>
        <v>45904</v>
      </c>
      <c r="B326" s="107">
        <f ca="1">SUMIFS('Daily Writing Log'!$H$5:$H$34,'Daily Writing Log'!$A$5:$A$34,$A326)</f>
        <v>0</v>
      </c>
      <c r="C326" s="107">
        <f ca="1">SUMIFS('Daily Writing Log'!$I$5:$I$34,'Daily Writing Log'!$A$5:$A$34,$A326)</f>
        <v>0</v>
      </c>
      <c r="D326" s="108">
        <f ca="1">IF($C326&gt;=Config!$B$5,1,0)</f>
        <v>0</v>
      </c>
      <c r="E326" s="108">
        <f t="shared" ref="E326:E389" ca="1" si="20">IF(MONTH($A326)&lt;&gt;MONTH($A325),0,$G325)</f>
        <v>0</v>
      </c>
      <c r="F326" s="108">
        <f ca="1">IF(AND($D326=0,$H325&gt;0,$E326&lt;Config!$B$8,$A326&lt;Config!$A$2),1,0)</f>
        <v>0</v>
      </c>
      <c r="G326" s="108">
        <f t="shared" ref="G326:G389" ca="1" si="21">$E326+$F326</f>
        <v>0</v>
      </c>
      <c r="H326" s="108">
        <f ca="1">IF($D326=1,$H325+1,IF($F326=1,$H325,IF($A326=Config!$A$2,$H325,0)))</f>
        <v>0</v>
      </c>
      <c r="M326" s="109"/>
    </row>
    <row r="327" spans="1:13" x14ac:dyDescent="0.3">
      <c r="A327" s="106">
        <f t="shared" ca="1" si="19"/>
        <v>45905</v>
      </c>
      <c r="B327" s="107">
        <f ca="1">SUMIFS('Daily Writing Log'!$H$5:$H$34,'Daily Writing Log'!$A$5:$A$34,$A327)</f>
        <v>0</v>
      </c>
      <c r="C327" s="107">
        <f ca="1">SUMIFS('Daily Writing Log'!$I$5:$I$34,'Daily Writing Log'!$A$5:$A$34,$A327)</f>
        <v>0</v>
      </c>
      <c r="D327" s="108">
        <f ca="1">IF($C327&gt;=Config!$B$5,1,0)</f>
        <v>0</v>
      </c>
      <c r="E327" s="108">
        <f t="shared" ca="1" si="20"/>
        <v>0</v>
      </c>
      <c r="F327" s="108">
        <f ca="1">IF(AND($D327=0,$H326&gt;0,$E327&lt;Config!$B$8,$A327&lt;Config!$A$2),1,0)</f>
        <v>0</v>
      </c>
      <c r="G327" s="108">
        <f t="shared" ca="1" si="21"/>
        <v>0</v>
      </c>
      <c r="H327" s="108">
        <f ca="1">IF($D327=1,$H326+1,IF($F327=1,$H326,IF($A327=Config!$A$2,$H326,0)))</f>
        <v>0</v>
      </c>
      <c r="M327" s="109"/>
    </row>
    <row r="328" spans="1:13" x14ac:dyDescent="0.3">
      <c r="A328" s="106">
        <f t="shared" ca="1" si="19"/>
        <v>45906</v>
      </c>
      <c r="B328" s="107">
        <f ca="1">SUMIFS('Daily Writing Log'!$H$5:$H$34,'Daily Writing Log'!$A$5:$A$34,$A328)</f>
        <v>0</v>
      </c>
      <c r="C328" s="107">
        <f ca="1">SUMIFS('Daily Writing Log'!$I$5:$I$34,'Daily Writing Log'!$A$5:$A$34,$A328)</f>
        <v>0</v>
      </c>
      <c r="D328" s="108">
        <f ca="1">IF($C328&gt;=Config!$B$5,1,0)</f>
        <v>0</v>
      </c>
      <c r="E328" s="108">
        <f t="shared" ca="1" si="20"/>
        <v>0</v>
      </c>
      <c r="F328" s="108">
        <f ca="1">IF(AND($D328=0,$H327&gt;0,$E328&lt;Config!$B$8,$A328&lt;Config!$A$2),1,0)</f>
        <v>0</v>
      </c>
      <c r="G328" s="108">
        <f t="shared" ca="1" si="21"/>
        <v>0</v>
      </c>
      <c r="H328" s="108">
        <f ca="1">IF($D328=1,$H327+1,IF($F328=1,$H327,IF($A328=Config!$A$2,$H327,0)))</f>
        <v>0</v>
      </c>
      <c r="M328" s="109"/>
    </row>
    <row r="329" spans="1:13" x14ac:dyDescent="0.3">
      <c r="A329" s="106">
        <f t="shared" ca="1" si="19"/>
        <v>45907</v>
      </c>
      <c r="B329" s="107">
        <f ca="1">SUMIFS('Daily Writing Log'!$H$5:$H$34,'Daily Writing Log'!$A$5:$A$34,$A329)</f>
        <v>0</v>
      </c>
      <c r="C329" s="107">
        <f ca="1">SUMIFS('Daily Writing Log'!$I$5:$I$34,'Daily Writing Log'!$A$5:$A$34,$A329)</f>
        <v>0</v>
      </c>
      <c r="D329" s="108">
        <f ca="1">IF($C329&gt;=Config!$B$5,1,0)</f>
        <v>0</v>
      </c>
      <c r="E329" s="108">
        <f t="shared" ca="1" si="20"/>
        <v>0</v>
      </c>
      <c r="F329" s="108">
        <f ca="1">IF(AND($D329=0,$H328&gt;0,$E329&lt;Config!$B$8,$A329&lt;Config!$A$2),1,0)</f>
        <v>0</v>
      </c>
      <c r="G329" s="108">
        <f t="shared" ca="1" si="21"/>
        <v>0</v>
      </c>
      <c r="H329" s="108">
        <f ca="1">IF($D329=1,$H328+1,IF($F329=1,$H328,IF($A329=Config!$A$2,$H328,0)))</f>
        <v>0</v>
      </c>
      <c r="M329" s="109"/>
    </row>
    <row r="330" spans="1:13" x14ac:dyDescent="0.3">
      <c r="A330" s="106">
        <f t="shared" ca="1" si="19"/>
        <v>45908</v>
      </c>
      <c r="B330" s="107">
        <f ca="1">SUMIFS('Daily Writing Log'!$H$5:$H$34,'Daily Writing Log'!$A$5:$A$34,$A330)</f>
        <v>0</v>
      </c>
      <c r="C330" s="107">
        <f ca="1">SUMIFS('Daily Writing Log'!$I$5:$I$34,'Daily Writing Log'!$A$5:$A$34,$A330)</f>
        <v>0</v>
      </c>
      <c r="D330" s="108">
        <f ca="1">IF($C330&gt;=Config!$B$5,1,0)</f>
        <v>0</v>
      </c>
      <c r="E330" s="108">
        <f t="shared" ca="1" si="20"/>
        <v>0</v>
      </c>
      <c r="F330" s="108">
        <f ca="1">IF(AND($D330=0,$H329&gt;0,$E330&lt;Config!$B$8,$A330&lt;Config!$A$2),1,0)</f>
        <v>0</v>
      </c>
      <c r="G330" s="108">
        <f t="shared" ca="1" si="21"/>
        <v>0</v>
      </c>
      <c r="H330" s="108">
        <f ca="1">IF($D330=1,$H329+1,IF($F330=1,$H329,IF($A330=Config!$A$2,$H329,0)))</f>
        <v>0</v>
      </c>
      <c r="M330" s="109"/>
    </row>
    <row r="331" spans="1:13" x14ac:dyDescent="0.3">
      <c r="A331" s="106">
        <f t="shared" ca="1" si="19"/>
        <v>45909</v>
      </c>
      <c r="B331" s="107">
        <f ca="1">SUMIFS('Daily Writing Log'!$H$5:$H$34,'Daily Writing Log'!$A$5:$A$34,$A331)</f>
        <v>0</v>
      </c>
      <c r="C331" s="107">
        <f ca="1">SUMIFS('Daily Writing Log'!$I$5:$I$34,'Daily Writing Log'!$A$5:$A$34,$A331)</f>
        <v>0</v>
      </c>
      <c r="D331" s="108">
        <f ca="1">IF($C331&gt;=Config!$B$5,1,0)</f>
        <v>0</v>
      </c>
      <c r="E331" s="108">
        <f t="shared" ca="1" si="20"/>
        <v>0</v>
      </c>
      <c r="F331" s="108">
        <f ca="1">IF(AND($D331=0,$H330&gt;0,$E331&lt;Config!$B$8,$A331&lt;Config!$A$2),1,0)</f>
        <v>0</v>
      </c>
      <c r="G331" s="108">
        <f t="shared" ca="1" si="21"/>
        <v>0</v>
      </c>
      <c r="H331" s="108">
        <f ca="1">IF($D331=1,$H330+1,IF($F331=1,$H330,IF($A331=Config!$A$2,$H330,0)))</f>
        <v>0</v>
      </c>
      <c r="M331" s="109"/>
    </row>
    <row r="332" spans="1:13" x14ac:dyDescent="0.3">
      <c r="A332" s="106">
        <f t="shared" ca="1" si="19"/>
        <v>45910</v>
      </c>
      <c r="B332" s="107">
        <f ca="1">SUMIFS('Daily Writing Log'!$H$5:$H$34,'Daily Writing Log'!$A$5:$A$34,$A332)</f>
        <v>0</v>
      </c>
      <c r="C332" s="107">
        <f ca="1">SUMIFS('Daily Writing Log'!$I$5:$I$34,'Daily Writing Log'!$A$5:$A$34,$A332)</f>
        <v>0</v>
      </c>
      <c r="D332" s="108">
        <f ca="1">IF($C332&gt;=Config!$B$5,1,0)</f>
        <v>0</v>
      </c>
      <c r="E332" s="108">
        <f t="shared" ca="1" si="20"/>
        <v>0</v>
      </c>
      <c r="F332" s="108">
        <f ca="1">IF(AND($D332=0,$H331&gt;0,$E332&lt;Config!$B$8,$A332&lt;Config!$A$2),1,0)</f>
        <v>0</v>
      </c>
      <c r="G332" s="108">
        <f t="shared" ca="1" si="21"/>
        <v>0</v>
      </c>
      <c r="H332" s="108">
        <f ca="1">IF($D332=1,$H331+1,IF($F332=1,$H331,IF($A332=Config!$A$2,$H331,0)))</f>
        <v>0</v>
      </c>
      <c r="M332" s="109"/>
    </row>
    <row r="333" spans="1:13" x14ac:dyDescent="0.3">
      <c r="A333" s="106">
        <f t="shared" ca="1" si="19"/>
        <v>45911</v>
      </c>
      <c r="B333" s="107">
        <f ca="1">SUMIFS('Daily Writing Log'!$H$5:$H$34,'Daily Writing Log'!$A$5:$A$34,$A333)</f>
        <v>0</v>
      </c>
      <c r="C333" s="107">
        <f ca="1">SUMIFS('Daily Writing Log'!$I$5:$I$34,'Daily Writing Log'!$A$5:$A$34,$A333)</f>
        <v>0</v>
      </c>
      <c r="D333" s="108">
        <f ca="1">IF($C333&gt;=Config!$B$5,1,0)</f>
        <v>0</v>
      </c>
      <c r="E333" s="108">
        <f t="shared" ca="1" si="20"/>
        <v>0</v>
      </c>
      <c r="F333" s="108">
        <f ca="1">IF(AND($D333=0,$H332&gt;0,$E333&lt;Config!$B$8,$A333&lt;Config!$A$2),1,0)</f>
        <v>0</v>
      </c>
      <c r="G333" s="108">
        <f t="shared" ca="1" si="21"/>
        <v>0</v>
      </c>
      <c r="H333" s="108">
        <f ca="1">IF($D333=1,$H332+1,IF($F333=1,$H332,IF($A333=Config!$A$2,$H332,0)))</f>
        <v>0</v>
      </c>
      <c r="M333" s="109"/>
    </row>
    <row r="334" spans="1:13" x14ac:dyDescent="0.3">
      <c r="A334" s="106">
        <f t="shared" ca="1" si="19"/>
        <v>45912</v>
      </c>
      <c r="B334" s="107">
        <f ca="1">SUMIFS('Daily Writing Log'!$H$5:$H$34,'Daily Writing Log'!$A$5:$A$34,$A334)</f>
        <v>0</v>
      </c>
      <c r="C334" s="107">
        <f ca="1">SUMIFS('Daily Writing Log'!$I$5:$I$34,'Daily Writing Log'!$A$5:$A$34,$A334)</f>
        <v>0</v>
      </c>
      <c r="D334" s="108">
        <f ca="1">IF($C334&gt;=Config!$B$5,1,0)</f>
        <v>0</v>
      </c>
      <c r="E334" s="108">
        <f t="shared" ca="1" si="20"/>
        <v>0</v>
      </c>
      <c r="F334" s="108">
        <f ca="1">IF(AND($D334=0,$H333&gt;0,$E334&lt;Config!$B$8,$A334&lt;Config!$A$2),1,0)</f>
        <v>0</v>
      </c>
      <c r="G334" s="108">
        <f t="shared" ca="1" si="21"/>
        <v>0</v>
      </c>
      <c r="H334" s="108">
        <f ca="1">IF($D334=1,$H333+1,IF($F334=1,$H333,IF($A334=Config!$A$2,$H333,0)))</f>
        <v>0</v>
      </c>
      <c r="M334" s="109"/>
    </row>
    <row r="335" spans="1:13" x14ac:dyDescent="0.3">
      <c r="A335" s="106">
        <f t="shared" ca="1" si="19"/>
        <v>45913</v>
      </c>
      <c r="B335" s="107">
        <f ca="1">SUMIFS('Daily Writing Log'!$H$5:$H$34,'Daily Writing Log'!$A$5:$A$34,$A335)</f>
        <v>0</v>
      </c>
      <c r="C335" s="107">
        <f ca="1">SUMIFS('Daily Writing Log'!$I$5:$I$34,'Daily Writing Log'!$A$5:$A$34,$A335)</f>
        <v>0</v>
      </c>
      <c r="D335" s="108">
        <f ca="1">IF($C335&gt;=Config!$B$5,1,0)</f>
        <v>0</v>
      </c>
      <c r="E335" s="108">
        <f t="shared" ca="1" si="20"/>
        <v>0</v>
      </c>
      <c r="F335" s="108">
        <f ca="1">IF(AND($D335=0,$H334&gt;0,$E335&lt;Config!$B$8,$A335&lt;Config!$A$2),1,0)</f>
        <v>0</v>
      </c>
      <c r="G335" s="108">
        <f t="shared" ca="1" si="21"/>
        <v>0</v>
      </c>
      <c r="H335" s="108">
        <f ca="1">IF($D335=1,$H334+1,IF($F335=1,$H334,IF($A335=Config!$A$2,$H334,0)))</f>
        <v>0</v>
      </c>
      <c r="M335" s="109"/>
    </row>
    <row r="336" spans="1:13" x14ac:dyDescent="0.3">
      <c r="A336" s="106">
        <f t="shared" ca="1" si="19"/>
        <v>45914</v>
      </c>
      <c r="B336" s="107">
        <f ca="1">SUMIFS('Daily Writing Log'!$H$5:$H$34,'Daily Writing Log'!$A$5:$A$34,$A336)</f>
        <v>0</v>
      </c>
      <c r="C336" s="107">
        <f ca="1">SUMIFS('Daily Writing Log'!$I$5:$I$34,'Daily Writing Log'!$A$5:$A$34,$A336)</f>
        <v>0</v>
      </c>
      <c r="D336" s="108">
        <f ca="1">IF($C336&gt;=Config!$B$5,1,0)</f>
        <v>0</v>
      </c>
      <c r="E336" s="108">
        <f t="shared" ca="1" si="20"/>
        <v>0</v>
      </c>
      <c r="F336" s="108">
        <f ca="1">IF(AND($D336=0,$H335&gt;0,$E336&lt;Config!$B$8,$A336&lt;Config!$A$2),1,0)</f>
        <v>0</v>
      </c>
      <c r="G336" s="108">
        <f t="shared" ca="1" si="21"/>
        <v>0</v>
      </c>
      <c r="H336" s="108">
        <f ca="1">IF($D336=1,$H335+1,IF($F336=1,$H335,IF($A336=Config!$A$2,$H335,0)))</f>
        <v>0</v>
      </c>
      <c r="M336" s="109"/>
    </row>
    <row r="337" spans="1:13" x14ac:dyDescent="0.3">
      <c r="A337" s="106">
        <f t="shared" ca="1" si="19"/>
        <v>45915</v>
      </c>
      <c r="B337" s="107">
        <f ca="1">SUMIFS('Daily Writing Log'!$H$5:$H$34,'Daily Writing Log'!$A$5:$A$34,$A337)</f>
        <v>0</v>
      </c>
      <c r="C337" s="107">
        <f ca="1">SUMIFS('Daily Writing Log'!$I$5:$I$34,'Daily Writing Log'!$A$5:$A$34,$A337)</f>
        <v>0</v>
      </c>
      <c r="D337" s="108">
        <f ca="1">IF($C337&gt;=Config!$B$5,1,0)</f>
        <v>0</v>
      </c>
      <c r="E337" s="108">
        <f t="shared" ca="1" si="20"/>
        <v>0</v>
      </c>
      <c r="F337" s="108">
        <f ca="1">IF(AND($D337=0,$H336&gt;0,$E337&lt;Config!$B$8,$A337&lt;Config!$A$2),1,0)</f>
        <v>0</v>
      </c>
      <c r="G337" s="108">
        <f t="shared" ca="1" si="21"/>
        <v>0</v>
      </c>
      <c r="H337" s="108">
        <f ca="1">IF($D337=1,$H336+1,IF($F337=1,$H336,IF($A337=Config!$A$2,$H336,0)))</f>
        <v>0</v>
      </c>
      <c r="M337" s="109"/>
    </row>
    <row r="338" spans="1:13" x14ac:dyDescent="0.3">
      <c r="A338" s="106">
        <f t="shared" ca="1" si="19"/>
        <v>45916</v>
      </c>
      <c r="B338" s="107">
        <f ca="1">SUMIFS('Daily Writing Log'!$H$5:$H$34,'Daily Writing Log'!$A$5:$A$34,$A338)</f>
        <v>0</v>
      </c>
      <c r="C338" s="107">
        <f ca="1">SUMIFS('Daily Writing Log'!$I$5:$I$34,'Daily Writing Log'!$A$5:$A$34,$A338)</f>
        <v>0</v>
      </c>
      <c r="D338" s="108">
        <f ca="1">IF($C338&gt;=Config!$B$5,1,0)</f>
        <v>0</v>
      </c>
      <c r="E338" s="108">
        <f t="shared" ca="1" si="20"/>
        <v>0</v>
      </c>
      <c r="F338" s="108">
        <f ca="1">IF(AND($D338=0,$H337&gt;0,$E338&lt;Config!$B$8,$A338&lt;Config!$A$2),1,0)</f>
        <v>0</v>
      </c>
      <c r="G338" s="108">
        <f t="shared" ca="1" si="21"/>
        <v>0</v>
      </c>
      <c r="H338" s="108">
        <f ca="1">IF($D338=1,$H337+1,IF($F338=1,$H337,IF($A338=Config!$A$2,$H337,0)))</f>
        <v>0</v>
      </c>
      <c r="M338" s="109"/>
    </row>
    <row r="339" spans="1:13" x14ac:dyDescent="0.3">
      <c r="A339" s="106">
        <f t="shared" ca="1" si="19"/>
        <v>45917</v>
      </c>
      <c r="B339" s="107">
        <f ca="1">SUMIFS('Daily Writing Log'!$H$5:$H$34,'Daily Writing Log'!$A$5:$A$34,$A339)</f>
        <v>0</v>
      </c>
      <c r="C339" s="107">
        <f ca="1">SUMIFS('Daily Writing Log'!$I$5:$I$34,'Daily Writing Log'!$A$5:$A$34,$A339)</f>
        <v>0</v>
      </c>
      <c r="D339" s="108">
        <f ca="1">IF($C339&gt;=Config!$B$5,1,0)</f>
        <v>0</v>
      </c>
      <c r="E339" s="108">
        <f t="shared" ca="1" si="20"/>
        <v>0</v>
      </c>
      <c r="F339" s="108">
        <f ca="1">IF(AND($D339=0,$H338&gt;0,$E339&lt;Config!$B$8,$A339&lt;Config!$A$2),1,0)</f>
        <v>0</v>
      </c>
      <c r="G339" s="108">
        <f t="shared" ca="1" si="21"/>
        <v>0</v>
      </c>
      <c r="H339" s="108">
        <f ca="1">IF($D339=1,$H338+1,IF($F339=1,$H338,IF($A339=Config!$A$2,$H338,0)))</f>
        <v>0</v>
      </c>
      <c r="M339" s="109"/>
    </row>
    <row r="340" spans="1:13" x14ac:dyDescent="0.3">
      <c r="A340" s="106">
        <f t="shared" ca="1" si="19"/>
        <v>45918</v>
      </c>
      <c r="B340" s="107">
        <f ca="1">SUMIFS('Daily Writing Log'!$H$5:$H$34,'Daily Writing Log'!$A$5:$A$34,$A340)</f>
        <v>0</v>
      </c>
      <c r="C340" s="107">
        <f ca="1">SUMIFS('Daily Writing Log'!$I$5:$I$34,'Daily Writing Log'!$A$5:$A$34,$A340)</f>
        <v>0</v>
      </c>
      <c r="D340" s="108">
        <f ca="1">IF($C340&gt;=Config!$B$5,1,0)</f>
        <v>0</v>
      </c>
      <c r="E340" s="108">
        <f t="shared" ca="1" si="20"/>
        <v>0</v>
      </c>
      <c r="F340" s="108">
        <f ca="1">IF(AND($D340=0,$H339&gt;0,$E340&lt;Config!$B$8,$A340&lt;Config!$A$2),1,0)</f>
        <v>0</v>
      </c>
      <c r="G340" s="108">
        <f t="shared" ca="1" si="21"/>
        <v>0</v>
      </c>
      <c r="H340" s="108">
        <f ca="1">IF($D340=1,$H339+1,IF($F340=1,$H339,IF($A340=Config!$A$2,$H339,0)))</f>
        <v>0</v>
      </c>
      <c r="M340" s="109"/>
    </row>
    <row r="341" spans="1:13" x14ac:dyDescent="0.3">
      <c r="A341" s="106">
        <f t="shared" ca="1" si="19"/>
        <v>45919</v>
      </c>
      <c r="B341" s="107">
        <f ca="1">SUMIFS('Daily Writing Log'!$H$5:$H$34,'Daily Writing Log'!$A$5:$A$34,$A341)</f>
        <v>0</v>
      </c>
      <c r="C341" s="107">
        <f ca="1">SUMIFS('Daily Writing Log'!$I$5:$I$34,'Daily Writing Log'!$A$5:$A$34,$A341)</f>
        <v>0</v>
      </c>
      <c r="D341" s="108">
        <f ca="1">IF($C341&gt;=Config!$B$5,1,0)</f>
        <v>0</v>
      </c>
      <c r="E341" s="108">
        <f t="shared" ca="1" si="20"/>
        <v>0</v>
      </c>
      <c r="F341" s="108">
        <f ca="1">IF(AND($D341=0,$H340&gt;0,$E341&lt;Config!$B$8,$A341&lt;Config!$A$2),1,0)</f>
        <v>0</v>
      </c>
      <c r="G341" s="108">
        <f t="shared" ca="1" si="21"/>
        <v>0</v>
      </c>
      <c r="H341" s="108">
        <f ca="1">IF($D341=1,$H340+1,IF($F341=1,$H340,IF($A341=Config!$A$2,$H340,0)))</f>
        <v>0</v>
      </c>
      <c r="M341" s="109"/>
    </row>
    <row r="342" spans="1:13" x14ac:dyDescent="0.3">
      <c r="A342" s="106">
        <f t="shared" ca="1" si="19"/>
        <v>45920</v>
      </c>
      <c r="B342" s="107">
        <f ca="1">SUMIFS('Daily Writing Log'!$H$5:$H$34,'Daily Writing Log'!$A$5:$A$34,$A342)</f>
        <v>0</v>
      </c>
      <c r="C342" s="107">
        <f ca="1">SUMIFS('Daily Writing Log'!$I$5:$I$34,'Daily Writing Log'!$A$5:$A$34,$A342)</f>
        <v>0</v>
      </c>
      <c r="D342" s="108">
        <f ca="1">IF($C342&gt;=Config!$B$5,1,0)</f>
        <v>0</v>
      </c>
      <c r="E342" s="108">
        <f t="shared" ca="1" si="20"/>
        <v>0</v>
      </c>
      <c r="F342" s="108">
        <f ca="1">IF(AND($D342=0,$H341&gt;0,$E342&lt;Config!$B$8,$A342&lt;Config!$A$2),1,0)</f>
        <v>0</v>
      </c>
      <c r="G342" s="108">
        <f t="shared" ca="1" si="21"/>
        <v>0</v>
      </c>
      <c r="H342" s="108">
        <f ca="1">IF($D342=1,$H341+1,IF($F342=1,$H341,IF($A342=Config!$A$2,$H341,0)))</f>
        <v>0</v>
      </c>
      <c r="M342" s="109"/>
    </row>
    <row r="343" spans="1:13" x14ac:dyDescent="0.3">
      <c r="A343" s="106">
        <f t="shared" ca="1" si="19"/>
        <v>45921</v>
      </c>
      <c r="B343" s="107">
        <f ca="1">SUMIFS('Daily Writing Log'!$H$5:$H$34,'Daily Writing Log'!$A$5:$A$34,$A343)</f>
        <v>0</v>
      </c>
      <c r="C343" s="107">
        <f ca="1">SUMIFS('Daily Writing Log'!$I$5:$I$34,'Daily Writing Log'!$A$5:$A$34,$A343)</f>
        <v>0</v>
      </c>
      <c r="D343" s="108">
        <f ca="1">IF($C343&gt;=Config!$B$5,1,0)</f>
        <v>0</v>
      </c>
      <c r="E343" s="108">
        <f t="shared" ca="1" si="20"/>
        <v>0</v>
      </c>
      <c r="F343" s="108">
        <f ca="1">IF(AND($D343=0,$H342&gt;0,$E343&lt;Config!$B$8,$A343&lt;Config!$A$2),1,0)</f>
        <v>0</v>
      </c>
      <c r="G343" s="108">
        <f t="shared" ca="1" si="21"/>
        <v>0</v>
      </c>
      <c r="H343" s="108">
        <f ca="1">IF($D343=1,$H342+1,IF($F343=1,$H342,IF($A343=Config!$A$2,$H342,0)))</f>
        <v>0</v>
      </c>
      <c r="M343" s="109"/>
    </row>
    <row r="344" spans="1:13" x14ac:dyDescent="0.3">
      <c r="A344" s="106">
        <f t="shared" ca="1" si="19"/>
        <v>45922</v>
      </c>
      <c r="B344" s="107">
        <f ca="1">SUMIFS('Daily Writing Log'!$H$5:$H$34,'Daily Writing Log'!$A$5:$A$34,$A344)</f>
        <v>0</v>
      </c>
      <c r="C344" s="107">
        <f ca="1">SUMIFS('Daily Writing Log'!$I$5:$I$34,'Daily Writing Log'!$A$5:$A$34,$A344)</f>
        <v>0</v>
      </c>
      <c r="D344" s="108">
        <f ca="1">IF($C344&gt;=Config!$B$5,1,0)</f>
        <v>0</v>
      </c>
      <c r="E344" s="108">
        <f t="shared" ca="1" si="20"/>
        <v>0</v>
      </c>
      <c r="F344" s="108">
        <f ca="1">IF(AND($D344=0,$H343&gt;0,$E344&lt;Config!$B$8,$A344&lt;Config!$A$2),1,0)</f>
        <v>0</v>
      </c>
      <c r="G344" s="108">
        <f t="shared" ca="1" si="21"/>
        <v>0</v>
      </c>
      <c r="H344" s="108">
        <f ca="1">IF($D344=1,$H343+1,IF($F344=1,$H343,IF($A344=Config!$A$2,$H343,0)))</f>
        <v>0</v>
      </c>
      <c r="M344" s="109"/>
    </row>
    <row r="345" spans="1:13" x14ac:dyDescent="0.3">
      <c r="A345" s="106">
        <f t="shared" ca="1" si="19"/>
        <v>45923</v>
      </c>
      <c r="B345" s="107">
        <f ca="1">SUMIFS('Daily Writing Log'!$H$5:$H$34,'Daily Writing Log'!$A$5:$A$34,$A345)</f>
        <v>0</v>
      </c>
      <c r="C345" s="107">
        <f ca="1">SUMIFS('Daily Writing Log'!$I$5:$I$34,'Daily Writing Log'!$A$5:$A$34,$A345)</f>
        <v>0</v>
      </c>
      <c r="D345" s="108">
        <f ca="1">IF($C345&gt;=Config!$B$5,1,0)</f>
        <v>0</v>
      </c>
      <c r="E345" s="108">
        <f t="shared" ca="1" si="20"/>
        <v>0</v>
      </c>
      <c r="F345" s="108">
        <f ca="1">IF(AND($D345=0,$H344&gt;0,$E345&lt;Config!$B$8,$A345&lt;Config!$A$2),1,0)</f>
        <v>0</v>
      </c>
      <c r="G345" s="108">
        <f t="shared" ca="1" si="21"/>
        <v>0</v>
      </c>
      <c r="H345" s="108">
        <f ca="1">IF($D345=1,$H344+1,IF($F345=1,$H344,IF($A345=Config!$A$2,$H344,0)))</f>
        <v>0</v>
      </c>
      <c r="M345" s="109"/>
    </row>
    <row r="346" spans="1:13" x14ac:dyDescent="0.3">
      <c r="A346" s="106">
        <f t="shared" ca="1" si="19"/>
        <v>45924</v>
      </c>
      <c r="B346" s="107">
        <f ca="1">SUMIFS('Daily Writing Log'!$H$5:$H$34,'Daily Writing Log'!$A$5:$A$34,$A346)</f>
        <v>0</v>
      </c>
      <c r="C346" s="107">
        <f ca="1">SUMIFS('Daily Writing Log'!$I$5:$I$34,'Daily Writing Log'!$A$5:$A$34,$A346)</f>
        <v>0</v>
      </c>
      <c r="D346" s="108">
        <f ca="1">IF($C346&gt;=Config!$B$5,1,0)</f>
        <v>0</v>
      </c>
      <c r="E346" s="108">
        <f t="shared" ca="1" si="20"/>
        <v>0</v>
      </c>
      <c r="F346" s="108">
        <f ca="1">IF(AND($D346=0,$H345&gt;0,$E346&lt;Config!$B$8,$A346&lt;Config!$A$2),1,0)</f>
        <v>0</v>
      </c>
      <c r="G346" s="108">
        <f t="shared" ca="1" si="21"/>
        <v>0</v>
      </c>
      <c r="H346" s="108">
        <f ca="1">IF($D346=1,$H345+1,IF($F346=1,$H345,IF($A346=Config!$A$2,$H345,0)))</f>
        <v>0</v>
      </c>
      <c r="M346" s="109"/>
    </row>
    <row r="347" spans="1:13" x14ac:dyDescent="0.3">
      <c r="A347" s="106">
        <f t="shared" ca="1" si="19"/>
        <v>45925</v>
      </c>
      <c r="B347" s="107">
        <f ca="1">SUMIFS('Daily Writing Log'!$H$5:$H$34,'Daily Writing Log'!$A$5:$A$34,$A347)</f>
        <v>0</v>
      </c>
      <c r="C347" s="107">
        <f ca="1">SUMIFS('Daily Writing Log'!$I$5:$I$34,'Daily Writing Log'!$A$5:$A$34,$A347)</f>
        <v>0</v>
      </c>
      <c r="D347" s="108">
        <f ca="1">IF($C347&gt;=Config!$B$5,1,0)</f>
        <v>0</v>
      </c>
      <c r="E347" s="108">
        <f t="shared" ca="1" si="20"/>
        <v>0</v>
      </c>
      <c r="F347" s="108">
        <f ca="1">IF(AND($D347=0,$H346&gt;0,$E347&lt;Config!$B$8,$A347&lt;Config!$A$2),1,0)</f>
        <v>0</v>
      </c>
      <c r="G347" s="108">
        <f t="shared" ca="1" si="21"/>
        <v>0</v>
      </c>
      <c r="H347" s="108">
        <f ca="1">IF($D347=1,$H346+1,IF($F347=1,$H346,IF($A347=Config!$A$2,$H346,0)))</f>
        <v>0</v>
      </c>
      <c r="M347" s="109"/>
    </row>
    <row r="348" spans="1:13" x14ac:dyDescent="0.3">
      <c r="A348" s="106">
        <f t="shared" ca="1" si="19"/>
        <v>45926</v>
      </c>
      <c r="B348" s="107">
        <f ca="1">SUMIFS('Daily Writing Log'!$H$5:$H$34,'Daily Writing Log'!$A$5:$A$34,$A348)</f>
        <v>0</v>
      </c>
      <c r="C348" s="107">
        <f ca="1">SUMIFS('Daily Writing Log'!$I$5:$I$34,'Daily Writing Log'!$A$5:$A$34,$A348)</f>
        <v>0</v>
      </c>
      <c r="D348" s="108">
        <f ca="1">IF($C348&gt;=Config!$B$5,1,0)</f>
        <v>0</v>
      </c>
      <c r="E348" s="108">
        <f t="shared" ca="1" si="20"/>
        <v>0</v>
      </c>
      <c r="F348" s="108">
        <f ca="1">IF(AND($D348=0,$H347&gt;0,$E348&lt;Config!$B$8,$A348&lt;Config!$A$2),1,0)</f>
        <v>0</v>
      </c>
      <c r="G348" s="108">
        <f t="shared" ca="1" si="21"/>
        <v>0</v>
      </c>
      <c r="H348" s="108">
        <f ca="1">IF($D348=1,$H347+1,IF($F348=1,$H347,IF($A348=Config!$A$2,$H347,0)))</f>
        <v>0</v>
      </c>
      <c r="M348" s="109"/>
    </row>
    <row r="349" spans="1:13" x14ac:dyDescent="0.3">
      <c r="A349" s="106">
        <f t="shared" ca="1" si="19"/>
        <v>45927</v>
      </c>
      <c r="B349" s="107">
        <f ca="1">SUMIFS('Daily Writing Log'!$H$5:$H$34,'Daily Writing Log'!$A$5:$A$34,$A349)</f>
        <v>0</v>
      </c>
      <c r="C349" s="107">
        <f ca="1">SUMIFS('Daily Writing Log'!$I$5:$I$34,'Daily Writing Log'!$A$5:$A$34,$A349)</f>
        <v>0</v>
      </c>
      <c r="D349" s="108">
        <f ca="1">IF($C349&gt;=Config!$B$5,1,0)</f>
        <v>0</v>
      </c>
      <c r="E349" s="108">
        <f t="shared" ca="1" si="20"/>
        <v>0</v>
      </c>
      <c r="F349" s="108">
        <f ca="1">IF(AND($D349=0,$H348&gt;0,$E349&lt;Config!$B$8,$A349&lt;Config!$A$2),1,0)</f>
        <v>0</v>
      </c>
      <c r="G349" s="108">
        <f t="shared" ca="1" si="21"/>
        <v>0</v>
      </c>
      <c r="H349" s="108">
        <f ca="1">IF($D349=1,$H348+1,IF($F349=1,$H348,IF($A349=Config!$A$2,$H348,0)))</f>
        <v>0</v>
      </c>
      <c r="M349" s="109"/>
    </row>
    <row r="350" spans="1:13" x14ac:dyDescent="0.3">
      <c r="A350" s="106">
        <f t="shared" ca="1" si="19"/>
        <v>45928</v>
      </c>
      <c r="B350" s="107">
        <f ca="1">SUMIFS('Daily Writing Log'!$H$5:$H$34,'Daily Writing Log'!$A$5:$A$34,$A350)</f>
        <v>0</v>
      </c>
      <c r="C350" s="107">
        <f ca="1">SUMIFS('Daily Writing Log'!$I$5:$I$34,'Daily Writing Log'!$A$5:$A$34,$A350)</f>
        <v>0</v>
      </c>
      <c r="D350" s="108">
        <f ca="1">IF($C350&gt;=Config!$B$5,1,0)</f>
        <v>0</v>
      </c>
      <c r="E350" s="108">
        <f t="shared" ca="1" si="20"/>
        <v>0</v>
      </c>
      <c r="F350" s="108">
        <f ca="1">IF(AND($D350=0,$H349&gt;0,$E350&lt;Config!$B$8,$A350&lt;Config!$A$2),1,0)</f>
        <v>0</v>
      </c>
      <c r="G350" s="108">
        <f t="shared" ca="1" si="21"/>
        <v>0</v>
      </c>
      <c r="H350" s="108">
        <f ca="1">IF($D350=1,$H349+1,IF($F350=1,$H349,IF($A350=Config!$A$2,$H349,0)))</f>
        <v>0</v>
      </c>
      <c r="M350" s="109"/>
    </row>
    <row r="351" spans="1:13" x14ac:dyDescent="0.3">
      <c r="A351" s="106">
        <f t="shared" ca="1" si="19"/>
        <v>45929</v>
      </c>
      <c r="B351" s="107">
        <f ca="1">SUMIFS('Daily Writing Log'!$H$5:$H$34,'Daily Writing Log'!$A$5:$A$34,$A351)</f>
        <v>0</v>
      </c>
      <c r="C351" s="107">
        <f ca="1">SUMIFS('Daily Writing Log'!$I$5:$I$34,'Daily Writing Log'!$A$5:$A$34,$A351)</f>
        <v>0</v>
      </c>
      <c r="D351" s="108">
        <f ca="1">IF($C351&gt;=Config!$B$5,1,0)</f>
        <v>0</v>
      </c>
      <c r="E351" s="108">
        <f t="shared" ca="1" si="20"/>
        <v>0</v>
      </c>
      <c r="F351" s="108">
        <f ca="1">IF(AND($D351=0,$H350&gt;0,$E351&lt;Config!$B$8,$A351&lt;Config!$A$2),1,0)</f>
        <v>0</v>
      </c>
      <c r="G351" s="108">
        <f t="shared" ca="1" si="21"/>
        <v>0</v>
      </c>
      <c r="H351" s="108">
        <f ca="1">IF($D351=1,$H350+1,IF($F351=1,$H350,IF($A351=Config!$A$2,$H350,0)))</f>
        <v>0</v>
      </c>
      <c r="M351" s="109"/>
    </row>
    <row r="352" spans="1:13" x14ac:dyDescent="0.3">
      <c r="A352" s="106">
        <f t="shared" ca="1" si="19"/>
        <v>45930</v>
      </c>
      <c r="B352" s="107">
        <f ca="1">SUMIFS('Daily Writing Log'!$H$5:$H$34,'Daily Writing Log'!$A$5:$A$34,$A352)</f>
        <v>0</v>
      </c>
      <c r="C352" s="107">
        <f ca="1">SUMIFS('Daily Writing Log'!$I$5:$I$34,'Daily Writing Log'!$A$5:$A$34,$A352)</f>
        <v>0</v>
      </c>
      <c r="D352" s="108">
        <f ca="1">IF($C352&gt;=Config!$B$5,1,0)</f>
        <v>0</v>
      </c>
      <c r="E352" s="108">
        <f t="shared" ca="1" si="20"/>
        <v>0</v>
      </c>
      <c r="F352" s="108">
        <f ca="1">IF(AND($D352=0,$H351&gt;0,$E352&lt;Config!$B$8,$A352&lt;Config!$A$2),1,0)</f>
        <v>0</v>
      </c>
      <c r="G352" s="108">
        <f t="shared" ca="1" si="21"/>
        <v>0</v>
      </c>
      <c r="H352" s="108">
        <f ca="1">IF($D352=1,$H351+1,IF($F352=1,$H351,IF($A352=Config!$A$2,$H351,0)))</f>
        <v>0</v>
      </c>
      <c r="M352" s="109"/>
    </row>
    <row r="353" spans="1:13" x14ac:dyDescent="0.3">
      <c r="A353" s="106">
        <f t="shared" ca="1" si="19"/>
        <v>45931</v>
      </c>
      <c r="B353" s="107">
        <f ca="1">SUMIFS('Daily Writing Log'!$H$5:$H$34,'Daily Writing Log'!$A$5:$A$34,$A353)</f>
        <v>0</v>
      </c>
      <c r="C353" s="107">
        <f ca="1">SUMIFS('Daily Writing Log'!$I$5:$I$34,'Daily Writing Log'!$A$5:$A$34,$A353)</f>
        <v>0</v>
      </c>
      <c r="D353" s="108">
        <f ca="1">IF($C353&gt;=Config!$B$5,1,0)</f>
        <v>0</v>
      </c>
      <c r="E353" s="108">
        <f t="shared" ca="1" si="20"/>
        <v>0</v>
      </c>
      <c r="F353" s="108">
        <f ca="1">IF(AND($D353=0,$H352&gt;0,$E353&lt;Config!$B$8,$A353&lt;Config!$A$2),1,0)</f>
        <v>0</v>
      </c>
      <c r="G353" s="108">
        <f t="shared" ca="1" si="21"/>
        <v>0</v>
      </c>
      <c r="H353" s="108">
        <f ca="1">IF($D353=1,$H352+1,IF($F353=1,$H352,IF($A353=Config!$A$2,$H352,0)))</f>
        <v>0</v>
      </c>
      <c r="M353" s="109"/>
    </row>
    <row r="354" spans="1:13" x14ac:dyDescent="0.3">
      <c r="A354" s="106">
        <f t="shared" ca="1" si="19"/>
        <v>45932</v>
      </c>
      <c r="B354" s="107">
        <f ca="1">SUMIFS('Daily Writing Log'!$H$5:$H$34,'Daily Writing Log'!$A$5:$A$34,$A354)</f>
        <v>0</v>
      </c>
      <c r="C354" s="107">
        <f ca="1">SUMIFS('Daily Writing Log'!$I$5:$I$34,'Daily Writing Log'!$A$5:$A$34,$A354)</f>
        <v>0</v>
      </c>
      <c r="D354" s="108">
        <f ca="1">IF($C354&gt;=Config!$B$5,1,0)</f>
        <v>0</v>
      </c>
      <c r="E354" s="108">
        <f t="shared" ca="1" si="20"/>
        <v>0</v>
      </c>
      <c r="F354" s="108">
        <f ca="1">IF(AND($D354=0,$H353&gt;0,$E354&lt;Config!$B$8,$A354&lt;Config!$A$2),1,0)</f>
        <v>0</v>
      </c>
      <c r="G354" s="108">
        <f t="shared" ca="1" si="21"/>
        <v>0</v>
      </c>
      <c r="H354" s="108">
        <f ca="1">IF($D354=1,$H353+1,IF($F354=1,$H353,IF($A354=Config!$A$2,$H353,0)))</f>
        <v>0</v>
      </c>
      <c r="M354" s="109"/>
    </row>
    <row r="355" spans="1:13" x14ac:dyDescent="0.3">
      <c r="A355" s="106">
        <f t="shared" ca="1" si="19"/>
        <v>45933</v>
      </c>
      <c r="B355" s="107">
        <f ca="1">SUMIFS('Daily Writing Log'!$H$5:$H$34,'Daily Writing Log'!$A$5:$A$34,$A355)</f>
        <v>0</v>
      </c>
      <c r="C355" s="107">
        <f ca="1">SUMIFS('Daily Writing Log'!$I$5:$I$34,'Daily Writing Log'!$A$5:$A$34,$A355)</f>
        <v>0</v>
      </c>
      <c r="D355" s="108">
        <f ca="1">IF($C355&gt;=Config!$B$5,1,0)</f>
        <v>0</v>
      </c>
      <c r="E355" s="108">
        <f t="shared" ca="1" si="20"/>
        <v>0</v>
      </c>
      <c r="F355" s="108">
        <f ca="1">IF(AND($D355=0,$H354&gt;0,$E355&lt;Config!$B$8,$A355&lt;Config!$A$2),1,0)</f>
        <v>0</v>
      </c>
      <c r="G355" s="108">
        <f t="shared" ca="1" si="21"/>
        <v>0</v>
      </c>
      <c r="H355" s="108">
        <f ca="1">IF($D355=1,$H354+1,IF($F355=1,$H354,IF($A355=Config!$A$2,$H354,0)))</f>
        <v>0</v>
      </c>
      <c r="M355" s="109"/>
    </row>
    <row r="356" spans="1:13" x14ac:dyDescent="0.3">
      <c r="A356" s="106">
        <f t="shared" ca="1" si="19"/>
        <v>45934</v>
      </c>
      <c r="B356" s="107">
        <f ca="1">SUMIFS('Daily Writing Log'!$H$5:$H$34,'Daily Writing Log'!$A$5:$A$34,$A356)</f>
        <v>0</v>
      </c>
      <c r="C356" s="107">
        <f ca="1">SUMIFS('Daily Writing Log'!$I$5:$I$34,'Daily Writing Log'!$A$5:$A$34,$A356)</f>
        <v>0</v>
      </c>
      <c r="D356" s="108">
        <f ca="1">IF($C356&gt;=Config!$B$5,1,0)</f>
        <v>0</v>
      </c>
      <c r="E356" s="108">
        <f t="shared" ca="1" si="20"/>
        <v>0</v>
      </c>
      <c r="F356" s="108">
        <f ca="1">IF(AND($D356=0,$H355&gt;0,$E356&lt;Config!$B$8,$A356&lt;Config!$A$2),1,0)</f>
        <v>0</v>
      </c>
      <c r="G356" s="108">
        <f t="shared" ca="1" si="21"/>
        <v>0</v>
      </c>
      <c r="H356" s="108">
        <f ca="1">IF($D356=1,$H355+1,IF($F356=1,$H355,IF($A356=Config!$A$2,$H355,0)))</f>
        <v>0</v>
      </c>
      <c r="M356" s="109"/>
    </row>
    <row r="357" spans="1:13" x14ac:dyDescent="0.3">
      <c r="A357" s="106">
        <f t="shared" ca="1" si="19"/>
        <v>45935</v>
      </c>
      <c r="B357" s="107">
        <f ca="1">SUMIFS('Daily Writing Log'!$H$5:$H$34,'Daily Writing Log'!$A$5:$A$34,$A357)</f>
        <v>0</v>
      </c>
      <c r="C357" s="107">
        <f ca="1">SUMIFS('Daily Writing Log'!$I$5:$I$34,'Daily Writing Log'!$A$5:$A$34,$A357)</f>
        <v>0</v>
      </c>
      <c r="D357" s="108">
        <f ca="1">IF($C357&gt;=Config!$B$5,1,0)</f>
        <v>0</v>
      </c>
      <c r="E357" s="108">
        <f t="shared" ca="1" si="20"/>
        <v>0</v>
      </c>
      <c r="F357" s="108">
        <f ca="1">IF(AND($D357=0,$H356&gt;0,$E357&lt;Config!$B$8,$A357&lt;Config!$A$2),1,0)</f>
        <v>0</v>
      </c>
      <c r="G357" s="108">
        <f t="shared" ca="1" si="21"/>
        <v>0</v>
      </c>
      <c r="H357" s="108">
        <f ca="1">IF($D357=1,$H356+1,IF($F357=1,$H356,IF($A357=Config!$A$2,$H356,0)))</f>
        <v>0</v>
      </c>
      <c r="M357" s="109"/>
    </row>
    <row r="358" spans="1:13" x14ac:dyDescent="0.3">
      <c r="A358" s="106">
        <f t="shared" ca="1" si="19"/>
        <v>45936</v>
      </c>
      <c r="B358" s="107">
        <f ca="1">SUMIFS('Daily Writing Log'!$H$5:$H$34,'Daily Writing Log'!$A$5:$A$34,$A358)</f>
        <v>0</v>
      </c>
      <c r="C358" s="107">
        <f ca="1">SUMIFS('Daily Writing Log'!$I$5:$I$34,'Daily Writing Log'!$A$5:$A$34,$A358)</f>
        <v>0</v>
      </c>
      <c r="D358" s="108">
        <f ca="1">IF($C358&gt;=Config!$B$5,1,0)</f>
        <v>0</v>
      </c>
      <c r="E358" s="108">
        <f t="shared" ca="1" si="20"/>
        <v>0</v>
      </c>
      <c r="F358" s="108">
        <f ca="1">IF(AND($D358=0,$H357&gt;0,$E358&lt;Config!$B$8,$A358&lt;Config!$A$2),1,0)</f>
        <v>0</v>
      </c>
      <c r="G358" s="108">
        <f t="shared" ca="1" si="21"/>
        <v>0</v>
      </c>
      <c r="H358" s="108">
        <f ca="1">IF($D358=1,$H357+1,IF($F358=1,$H357,IF($A358=Config!$A$2,$H357,0)))</f>
        <v>0</v>
      </c>
      <c r="M358" s="109"/>
    </row>
    <row r="359" spans="1:13" x14ac:dyDescent="0.3">
      <c r="A359" s="106">
        <f t="shared" ca="1" si="19"/>
        <v>45937</v>
      </c>
      <c r="B359" s="107">
        <f ca="1">SUMIFS('Daily Writing Log'!$H$5:$H$34,'Daily Writing Log'!$A$5:$A$34,$A359)</f>
        <v>0</v>
      </c>
      <c r="C359" s="107">
        <f ca="1">SUMIFS('Daily Writing Log'!$I$5:$I$34,'Daily Writing Log'!$A$5:$A$34,$A359)</f>
        <v>0</v>
      </c>
      <c r="D359" s="108">
        <f ca="1">IF($C359&gt;=Config!$B$5,1,0)</f>
        <v>0</v>
      </c>
      <c r="E359" s="108">
        <f t="shared" ca="1" si="20"/>
        <v>0</v>
      </c>
      <c r="F359" s="108">
        <f ca="1">IF(AND($D359=0,$H358&gt;0,$E359&lt;Config!$B$8,$A359&lt;Config!$A$2),1,0)</f>
        <v>0</v>
      </c>
      <c r="G359" s="108">
        <f t="shared" ca="1" si="21"/>
        <v>0</v>
      </c>
      <c r="H359" s="108">
        <f ca="1">IF($D359=1,$H358+1,IF($F359=1,$H358,IF($A359=Config!$A$2,$H358,0)))</f>
        <v>0</v>
      </c>
      <c r="M359" s="109"/>
    </row>
    <row r="360" spans="1:13" x14ac:dyDescent="0.3">
      <c r="A360" s="106">
        <f t="shared" ca="1" si="19"/>
        <v>45938</v>
      </c>
      <c r="B360" s="107">
        <f ca="1">SUMIFS('Daily Writing Log'!$H$5:$H$34,'Daily Writing Log'!$A$5:$A$34,$A360)</f>
        <v>0</v>
      </c>
      <c r="C360" s="107">
        <f ca="1">SUMIFS('Daily Writing Log'!$I$5:$I$34,'Daily Writing Log'!$A$5:$A$34,$A360)</f>
        <v>0</v>
      </c>
      <c r="D360" s="108">
        <f ca="1">IF($C360&gt;=Config!$B$5,1,0)</f>
        <v>0</v>
      </c>
      <c r="E360" s="108">
        <f t="shared" ca="1" si="20"/>
        <v>0</v>
      </c>
      <c r="F360" s="108">
        <f ca="1">IF(AND($D360=0,$H359&gt;0,$E360&lt;Config!$B$8,$A360&lt;Config!$A$2),1,0)</f>
        <v>0</v>
      </c>
      <c r="G360" s="108">
        <f t="shared" ca="1" si="21"/>
        <v>0</v>
      </c>
      <c r="H360" s="108">
        <f ca="1">IF($D360=1,$H359+1,IF($F360=1,$H359,IF($A360=Config!$A$2,$H359,0)))</f>
        <v>0</v>
      </c>
      <c r="M360" s="109"/>
    </row>
    <row r="361" spans="1:13" x14ac:dyDescent="0.3">
      <c r="A361" s="106">
        <f t="shared" ca="1" si="19"/>
        <v>45939</v>
      </c>
      <c r="B361" s="107">
        <f ca="1">SUMIFS('Daily Writing Log'!$H$5:$H$34,'Daily Writing Log'!$A$5:$A$34,$A361)</f>
        <v>0</v>
      </c>
      <c r="C361" s="107">
        <f ca="1">SUMIFS('Daily Writing Log'!$I$5:$I$34,'Daily Writing Log'!$A$5:$A$34,$A361)</f>
        <v>0</v>
      </c>
      <c r="D361" s="108">
        <f ca="1">IF($C361&gt;=Config!$B$5,1,0)</f>
        <v>0</v>
      </c>
      <c r="E361" s="108">
        <f t="shared" ca="1" si="20"/>
        <v>0</v>
      </c>
      <c r="F361" s="108">
        <f ca="1">IF(AND($D361=0,$H360&gt;0,$E361&lt;Config!$B$8,$A361&lt;Config!$A$2),1,0)</f>
        <v>0</v>
      </c>
      <c r="G361" s="108">
        <f t="shared" ca="1" si="21"/>
        <v>0</v>
      </c>
      <c r="H361" s="108">
        <f ca="1">IF($D361=1,$H360+1,IF($F361=1,$H360,IF($A361=Config!$A$2,$H360,0)))</f>
        <v>0</v>
      </c>
      <c r="M361" s="109"/>
    </row>
    <row r="362" spans="1:13" x14ac:dyDescent="0.3">
      <c r="A362" s="106">
        <f t="shared" ca="1" si="19"/>
        <v>45940</v>
      </c>
      <c r="B362" s="107">
        <f ca="1">SUMIFS('Daily Writing Log'!$H$5:$H$34,'Daily Writing Log'!$A$5:$A$34,$A362)</f>
        <v>0</v>
      </c>
      <c r="C362" s="107">
        <f ca="1">SUMIFS('Daily Writing Log'!$I$5:$I$34,'Daily Writing Log'!$A$5:$A$34,$A362)</f>
        <v>0</v>
      </c>
      <c r="D362" s="108">
        <f ca="1">IF($C362&gt;=Config!$B$5,1,0)</f>
        <v>0</v>
      </c>
      <c r="E362" s="108">
        <f t="shared" ca="1" si="20"/>
        <v>0</v>
      </c>
      <c r="F362" s="108">
        <f ca="1">IF(AND($D362=0,$H361&gt;0,$E362&lt;Config!$B$8,$A362&lt;Config!$A$2),1,0)</f>
        <v>0</v>
      </c>
      <c r="G362" s="108">
        <f t="shared" ca="1" si="21"/>
        <v>0</v>
      </c>
      <c r="H362" s="108">
        <f ca="1">IF($D362=1,$H361+1,IF($F362=1,$H361,IF($A362=Config!$A$2,$H361,0)))</f>
        <v>0</v>
      </c>
      <c r="M362" s="109"/>
    </row>
    <row r="363" spans="1:13" x14ac:dyDescent="0.3">
      <c r="A363" s="106">
        <f t="shared" ca="1" si="19"/>
        <v>45941</v>
      </c>
      <c r="B363" s="107">
        <f ca="1">SUMIFS('Daily Writing Log'!$H$5:$H$34,'Daily Writing Log'!$A$5:$A$34,$A363)</f>
        <v>0</v>
      </c>
      <c r="C363" s="107">
        <f ca="1">SUMIFS('Daily Writing Log'!$I$5:$I$34,'Daily Writing Log'!$A$5:$A$34,$A363)</f>
        <v>0</v>
      </c>
      <c r="D363" s="108">
        <f ca="1">IF($C363&gt;=Config!$B$5,1,0)</f>
        <v>0</v>
      </c>
      <c r="E363" s="108">
        <f t="shared" ca="1" si="20"/>
        <v>0</v>
      </c>
      <c r="F363" s="108">
        <f ca="1">IF(AND($D363=0,$H362&gt;0,$E363&lt;Config!$B$8,$A363&lt;Config!$A$2),1,0)</f>
        <v>0</v>
      </c>
      <c r="G363" s="108">
        <f t="shared" ca="1" si="21"/>
        <v>0</v>
      </c>
      <c r="H363" s="108">
        <f ca="1">IF($D363=1,$H362+1,IF($F363=1,$H362,IF($A363=Config!$A$2,$H362,0)))</f>
        <v>0</v>
      </c>
      <c r="M363" s="109"/>
    </row>
    <row r="364" spans="1:13" x14ac:dyDescent="0.3">
      <c r="A364" s="106">
        <f t="shared" ca="1" si="19"/>
        <v>45942</v>
      </c>
      <c r="B364" s="107">
        <f ca="1">SUMIFS('Daily Writing Log'!$H$5:$H$34,'Daily Writing Log'!$A$5:$A$34,$A364)</f>
        <v>0</v>
      </c>
      <c r="C364" s="107">
        <f ca="1">SUMIFS('Daily Writing Log'!$I$5:$I$34,'Daily Writing Log'!$A$5:$A$34,$A364)</f>
        <v>0</v>
      </c>
      <c r="D364" s="108">
        <f ca="1">IF($C364&gt;=Config!$B$5,1,0)</f>
        <v>0</v>
      </c>
      <c r="E364" s="108">
        <f t="shared" ca="1" si="20"/>
        <v>0</v>
      </c>
      <c r="F364" s="108">
        <f ca="1">IF(AND($D364=0,$H363&gt;0,$E364&lt;Config!$B$8,$A364&lt;Config!$A$2),1,0)</f>
        <v>0</v>
      </c>
      <c r="G364" s="108">
        <f t="shared" ca="1" si="21"/>
        <v>0</v>
      </c>
      <c r="H364" s="108">
        <f ca="1">IF($D364=1,$H363+1,IF($F364=1,$H363,IF($A364=Config!$A$2,$H363,0)))</f>
        <v>0</v>
      </c>
      <c r="M364" s="109"/>
    </row>
    <row r="365" spans="1:13" x14ac:dyDescent="0.3">
      <c r="A365" s="106">
        <f t="shared" ca="1" si="19"/>
        <v>45943</v>
      </c>
      <c r="B365" s="107">
        <f ca="1">SUMIFS('Daily Writing Log'!$H$5:$H$34,'Daily Writing Log'!$A$5:$A$34,$A365)</f>
        <v>0</v>
      </c>
      <c r="C365" s="107">
        <f ca="1">SUMIFS('Daily Writing Log'!$I$5:$I$34,'Daily Writing Log'!$A$5:$A$34,$A365)</f>
        <v>0</v>
      </c>
      <c r="D365" s="108">
        <f ca="1">IF($C365&gt;=Config!$B$5,1,0)</f>
        <v>0</v>
      </c>
      <c r="E365" s="108">
        <f t="shared" ca="1" si="20"/>
        <v>0</v>
      </c>
      <c r="F365" s="108">
        <f ca="1">IF(AND($D365=0,$H364&gt;0,$E365&lt;Config!$B$8,$A365&lt;Config!$A$2),1,0)</f>
        <v>0</v>
      </c>
      <c r="G365" s="108">
        <f t="shared" ca="1" si="21"/>
        <v>0</v>
      </c>
      <c r="H365" s="108">
        <f ca="1">IF($D365=1,$H364+1,IF($F365=1,$H364,IF($A365=Config!$A$2,$H364,0)))</f>
        <v>0</v>
      </c>
      <c r="M365" s="109"/>
    </row>
    <row r="366" spans="1:13" x14ac:dyDescent="0.3">
      <c r="A366" s="106">
        <f t="shared" ca="1" si="19"/>
        <v>45944</v>
      </c>
      <c r="B366" s="107">
        <f ca="1">SUMIFS('Daily Writing Log'!$H$5:$H$34,'Daily Writing Log'!$A$5:$A$34,$A366)</f>
        <v>0</v>
      </c>
      <c r="C366" s="107">
        <f ca="1">SUMIFS('Daily Writing Log'!$I$5:$I$34,'Daily Writing Log'!$A$5:$A$34,$A366)</f>
        <v>0</v>
      </c>
      <c r="D366" s="108">
        <f ca="1">IF($C366&gt;=Config!$B$5,1,0)</f>
        <v>0</v>
      </c>
      <c r="E366" s="108">
        <f t="shared" ca="1" si="20"/>
        <v>0</v>
      </c>
      <c r="F366" s="108">
        <f ca="1">IF(AND($D366=0,$H365&gt;0,$E366&lt;Config!$B$8,$A366&lt;Config!$A$2),1,0)</f>
        <v>0</v>
      </c>
      <c r="G366" s="108">
        <f t="shared" ca="1" si="21"/>
        <v>0</v>
      </c>
      <c r="H366" s="108">
        <f ca="1">IF($D366=1,$H365+1,IF($F366=1,$H365,IF($A366=Config!$A$2,$H365,0)))</f>
        <v>0</v>
      </c>
      <c r="M366" s="109"/>
    </row>
    <row r="367" spans="1:13" x14ac:dyDescent="0.3">
      <c r="A367" s="106">
        <f t="shared" ca="1" si="19"/>
        <v>45945</v>
      </c>
      <c r="B367" s="107">
        <f ca="1">SUMIFS('Daily Writing Log'!$H$5:$H$34,'Daily Writing Log'!$A$5:$A$34,$A367)</f>
        <v>0</v>
      </c>
      <c r="C367" s="107">
        <f ca="1">SUMIFS('Daily Writing Log'!$I$5:$I$34,'Daily Writing Log'!$A$5:$A$34,$A367)</f>
        <v>0</v>
      </c>
      <c r="D367" s="108">
        <f ca="1">IF($C367&gt;=Config!$B$5,1,0)</f>
        <v>0</v>
      </c>
      <c r="E367" s="108">
        <f t="shared" ca="1" si="20"/>
        <v>0</v>
      </c>
      <c r="F367" s="108">
        <f ca="1">IF(AND($D367=0,$H366&gt;0,$E367&lt;Config!$B$8,$A367&lt;Config!$A$2),1,0)</f>
        <v>0</v>
      </c>
      <c r="G367" s="108">
        <f t="shared" ca="1" si="21"/>
        <v>0</v>
      </c>
      <c r="H367" s="108">
        <f ca="1">IF($D367=1,$H366+1,IF($F367=1,$H366,IF($A367=Config!$A$2,$H366,0)))</f>
        <v>0</v>
      </c>
      <c r="M367" s="109"/>
    </row>
    <row r="368" spans="1:13" x14ac:dyDescent="0.3">
      <c r="A368" s="106">
        <f t="shared" ca="1" si="19"/>
        <v>45946</v>
      </c>
      <c r="B368" s="107">
        <f ca="1">SUMIFS('Daily Writing Log'!$H$5:$H$34,'Daily Writing Log'!$A$5:$A$34,$A368)</f>
        <v>0</v>
      </c>
      <c r="C368" s="107">
        <f ca="1">SUMIFS('Daily Writing Log'!$I$5:$I$34,'Daily Writing Log'!$A$5:$A$34,$A368)</f>
        <v>0</v>
      </c>
      <c r="D368" s="108">
        <f ca="1">IF($C368&gt;=Config!$B$5,1,0)</f>
        <v>0</v>
      </c>
      <c r="E368" s="108">
        <f t="shared" ca="1" si="20"/>
        <v>0</v>
      </c>
      <c r="F368" s="108">
        <f ca="1">IF(AND($D368=0,$H367&gt;0,$E368&lt;Config!$B$8,$A368&lt;Config!$A$2),1,0)</f>
        <v>0</v>
      </c>
      <c r="G368" s="108">
        <f t="shared" ca="1" si="21"/>
        <v>0</v>
      </c>
      <c r="H368" s="108">
        <f ca="1">IF($D368=1,$H367+1,IF($F368=1,$H367,IF($A368=Config!$A$2,$H367,0)))</f>
        <v>0</v>
      </c>
      <c r="M368" s="109"/>
    </row>
    <row r="369" spans="1:13" x14ac:dyDescent="0.3">
      <c r="A369" s="106">
        <f t="shared" ca="1" si="19"/>
        <v>45947</v>
      </c>
      <c r="B369" s="107">
        <f ca="1">SUMIFS('Daily Writing Log'!$H$5:$H$34,'Daily Writing Log'!$A$5:$A$34,$A369)</f>
        <v>0</v>
      </c>
      <c r="C369" s="107">
        <f ca="1">SUMIFS('Daily Writing Log'!$I$5:$I$34,'Daily Writing Log'!$A$5:$A$34,$A369)</f>
        <v>0</v>
      </c>
      <c r="D369" s="108">
        <f ca="1">IF($C369&gt;=Config!$B$5,1,0)</f>
        <v>0</v>
      </c>
      <c r="E369" s="108">
        <f t="shared" ca="1" si="20"/>
        <v>0</v>
      </c>
      <c r="F369" s="108">
        <f ca="1">IF(AND($D369=0,$H368&gt;0,$E369&lt;Config!$B$8,$A369&lt;Config!$A$2),1,0)</f>
        <v>0</v>
      </c>
      <c r="G369" s="108">
        <f t="shared" ca="1" si="21"/>
        <v>0</v>
      </c>
      <c r="H369" s="108">
        <f ca="1">IF($D369=1,$H368+1,IF($F369=1,$H368,IF($A369=Config!$A$2,$H368,0)))</f>
        <v>0</v>
      </c>
      <c r="M369" s="109"/>
    </row>
    <row r="370" spans="1:13" x14ac:dyDescent="0.3">
      <c r="A370" s="106">
        <f t="shared" ca="1" si="19"/>
        <v>45948</v>
      </c>
      <c r="B370" s="107">
        <f ca="1">SUMIFS('Daily Writing Log'!$H$5:$H$34,'Daily Writing Log'!$A$5:$A$34,$A370)</f>
        <v>0</v>
      </c>
      <c r="C370" s="107">
        <f ca="1">SUMIFS('Daily Writing Log'!$I$5:$I$34,'Daily Writing Log'!$A$5:$A$34,$A370)</f>
        <v>0</v>
      </c>
      <c r="D370" s="108">
        <f ca="1">IF($C370&gt;=Config!$B$5,1,0)</f>
        <v>0</v>
      </c>
      <c r="E370" s="108">
        <f t="shared" ca="1" si="20"/>
        <v>0</v>
      </c>
      <c r="F370" s="108">
        <f ca="1">IF(AND($D370=0,$H369&gt;0,$E370&lt;Config!$B$8,$A370&lt;Config!$A$2),1,0)</f>
        <v>0</v>
      </c>
      <c r="G370" s="108">
        <f t="shared" ca="1" si="21"/>
        <v>0</v>
      </c>
      <c r="H370" s="108">
        <f ca="1">IF($D370=1,$H369+1,IF($F370=1,$H369,IF($A370=Config!$A$2,$H369,0)))</f>
        <v>0</v>
      </c>
      <c r="M370" s="109"/>
    </row>
    <row r="371" spans="1:13" x14ac:dyDescent="0.3">
      <c r="A371" s="106">
        <f t="shared" ca="1" si="19"/>
        <v>45949</v>
      </c>
      <c r="B371" s="107">
        <f ca="1">SUMIFS('Daily Writing Log'!$H$5:$H$34,'Daily Writing Log'!$A$5:$A$34,$A371)</f>
        <v>0</v>
      </c>
      <c r="C371" s="107">
        <f ca="1">SUMIFS('Daily Writing Log'!$I$5:$I$34,'Daily Writing Log'!$A$5:$A$34,$A371)</f>
        <v>0</v>
      </c>
      <c r="D371" s="108">
        <f ca="1">IF($C371&gt;=Config!$B$5,1,0)</f>
        <v>0</v>
      </c>
      <c r="E371" s="108">
        <f t="shared" ca="1" si="20"/>
        <v>0</v>
      </c>
      <c r="F371" s="108">
        <f ca="1">IF(AND($D371=0,$H370&gt;0,$E371&lt;Config!$B$8,$A371&lt;Config!$A$2),1,0)</f>
        <v>0</v>
      </c>
      <c r="G371" s="108">
        <f t="shared" ca="1" si="21"/>
        <v>0</v>
      </c>
      <c r="H371" s="108">
        <f ca="1">IF($D371=1,$H370+1,IF($F371=1,$H370,IF($A371=Config!$A$2,$H370,0)))</f>
        <v>0</v>
      </c>
      <c r="M371" s="109"/>
    </row>
    <row r="372" spans="1:13" x14ac:dyDescent="0.3">
      <c r="A372" s="106">
        <f t="shared" ca="1" si="19"/>
        <v>45950</v>
      </c>
      <c r="B372" s="107">
        <f ca="1">SUMIFS('Daily Writing Log'!$H$5:$H$34,'Daily Writing Log'!$A$5:$A$34,$A372)</f>
        <v>0</v>
      </c>
      <c r="C372" s="107">
        <f ca="1">SUMIFS('Daily Writing Log'!$I$5:$I$34,'Daily Writing Log'!$A$5:$A$34,$A372)</f>
        <v>0</v>
      </c>
      <c r="D372" s="108">
        <f ca="1">IF($C372&gt;=Config!$B$5,1,0)</f>
        <v>0</v>
      </c>
      <c r="E372" s="108">
        <f t="shared" ca="1" si="20"/>
        <v>0</v>
      </c>
      <c r="F372" s="108">
        <f ca="1">IF(AND($D372=0,$H371&gt;0,$E372&lt;Config!$B$8,$A372&lt;Config!$A$2),1,0)</f>
        <v>0</v>
      </c>
      <c r="G372" s="108">
        <f t="shared" ca="1" si="21"/>
        <v>0</v>
      </c>
      <c r="H372" s="108">
        <f ca="1">IF($D372=1,$H371+1,IF($F372=1,$H371,IF($A372=Config!$A$2,$H371,0)))</f>
        <v>0</v>
      </c>
      <c r="M372" s="109"/>
    </row>
    <row r="373" spans="1:13" x14ac:dyDescent="0.3">
      <c r="A373" s="106">
        <f t="shared" ca="1" si="19"/>
        <v>45951</v>
      </c>
      <c r="B373" s="107">
        <f ca="1">SUMIFS('Daily Writing Log'!$H$5:$H$34,'Daily Writing Log'!$A$5:$A$34,$A373)</f>
        <v>0</v>
      </c>
      <c r="C373" s="107">
        <f ca="1">SUMIFS('Daily Writing Log'!$I$5:$I$34,'Daily Writing Log'!$A$5:$A$34,$A373)</f>
        <v>0</v>
      </c>
      <c r="D373" s="108">
        <f ca="1">IF($C373&gt;=Config!$B$5,1,0)</f>
        <v>0</v>
      </c>
      <c r="E373" s="108">
        <f t="shared" ca="1" si="20"/>
        <v>0</v>
      </c>
      <c r="F373" s="108">
        <f ca="1">IF(AND($D373=0,$H372&gt;0,$E373&lt;Config!$B$8,$A373&lt;Config!$A$2),1,0)</f>
        <v>0</v>
      </c>
      <c r="G373" s="108">
        <f t="shared" ca="1" si="21"/>
        <v>0</v>
      </c>
      <c r="H373" s="108">
        <f ca="1">IF($D373=1,$H372+1,IF($F373=1,$H372,IF($A373=Config!$A$2,$H372,0)))</f>
        <v>0</v>
      </c>
      <c r="M373" s="109"/>
    </row>
    <row r="374" spans="1:13" x14ac:dyDescent="0.3">
      <c r="A374" s="106">
        <f t="shared" ca="1" si="19"/>
        <v>45952</v>
      </c>
      <c r="B374" s="107">
        <f ca="1">SUMIFS('Daily Writing Log'!$H$5:$H$34,'Daily Writing Log'!$A$5:$A$34,$A374)</f>
        <v>0</v>
      </c>
      <c r="C374" s="107">
        <f ca="1">SUMIFS('Daily Writing Log'!$I$5:$I$34,'Daily Writing Log'!$A$5:$A$34,$A374)</f>
        <v>0</v>
      </c>
      <c r="D374" s="108">
        <f ca="1">IF($C374&gt;=Config!$B$5,1,0)</f>
        <v>0</v>
      </c>
      <c r="E374" s="108">
        <f t="shared" ca="1" si="20"/>
        <v>0</v>
      </c>
      <c r="F374" s="108">
        <f ca="1">IF(AND($D374=0,$H373&gt;0,$E374&lt;Config!$B$8,$A374&lt;Config!$A$2),1,0)</f>
        <v>0</v>
      </c>
      <c r="G374" s="108">
        <f t="shared" ca="1" si="21"/>
        <v>0</v>
      </c>
      <c r="H374" s="108">
        <f ca="1">IF($D374=1,$H373+1,IF($F374=1,$H373,IF($A374=Config!$A$2,$H373,0)))</f>
        <v>0</v>
      </c>
      <c r="M374" s="109"/>
    </row>
    <row r="375" spans="1:13" x14ac:dyDescent="0.3">
      <c r="A375" s="106">
        <f t="shared" ca="1" si="19"/>
        <v>45953</v>
      </c>
      <c r="B375" s="107">
        <f ca="1">SUMIFS('Daily Writing Log'!$H$5:$H$34,'Daily Writing Log'!$A$5:$A$34,$A375)</f>
        <v>0</v>
      </c>
      <c r="C375" s="107">
        <f ca="1">SUMIFS('Daily Writing Log'!$I$5:$I$34,'Daily Writing Log'!$A$5:$A$34,$A375)</f>
        <v>0</v>
      </c>
      <c r="D375" s="108">
        <f ca="1">IF($C375&gt;=Config!$B$5,1,0)</f>
        <v>0</v>
      </c>
      <c r="E375" s="108">
        <f t="shared" ca="1" si="20"/>
        <v>0</v>
      </c>
      <c r="F375" s="108">
        <f ca="1">IF(AND($D375=0,$H374&gt;0,$E375&lt;Config!$B$8,$A375&lt;Config!$A$2),1,0)</f>
        <v>0</v>
      </c>
      <c r="G375" s="108">
        <f t="shared" ca="1" si="21"/>
        <v>0</v>
      </c>
      <c r="H375" s="108">
        <f ca="1">IF($D375=1,$H374+1,IF($F375=1,$H374,IF($A375=Config!$A$2,$H374,0)))</f>
        <v>0</v>
      </c>
      <c r="M375" s="109"/>
    </row>
    <row r="376" spans="1:13" x14ac:dyDescent="0.3">
      <c r="A376" s="106">
        <f t="shared" ca="1" si="19"/>
        <v>45954</v>
      </c>
      <c r="B376" s="107">
        <f ca="1">SUMIFS('Daily Writing Log'!$H$5:$H$34,'Daily Writing Log'!$A$5:$A$34,$A376)</f>
        <v>0</v>
      </c>
      <c r="C376" s="107">
        <f ca="1">SUMIFS('Daily Writing Log'!$I$5:$I$34,'Daily Writing Log'!$A$5:$A$34,$A376)</f>
        <v>0</v>
      </c>
      <c r="D376" s="108">
        <f ca="1">IF($C376&gt;=Config!$B$5,1,0)</f>
        <v>0</v>
      </c>
      <c r="E376" s="108">
        <f t="shared" ca="1" si="20"/>
        <v>0</v>
      </c>
      <c r="F376" s="108">
        <f ca="1">IF(AND($D376=0,$H375&gt;0,$E376&lt;Config!$B$8,$A376&lt;Config!$A$2),1,0)</f>
        <v>0</v>
      </c>
      <c r="G376" s="108">
        <f t="shared" ca="1" si="21"/>
        <v>0</v>
      </c>
      <c r="H376" s="108">
        <f ca="1">IF($D376=1,$H375+1,IF($F376=1,$H375,IF($A376=Config!$A$2,$H375,0)))</f>
        <v>0</v>
      </c>
      <c r="M376" s="109"/>
    </row>
    <row r="377" spans="1:13" x14ac:dyDescent="0.3">
      <c r="A377" s="106">
        <f t="shared" ca="1" si="19"/>
        <v>45955</v>
      </c>
      <c r="B377" s="107">
        <f ca="1">SUMIFS('Daily Writing Log'!$H$5:$H$34,'Daily Writing Log'!$A$5:$A$34,$A377)</f>
        <v>0</v>
      </c>
      <c r="C377" s="107">
        <f ca="1">SUMIFS('Daily Writing Log'!$I$5:$I$34,'Daily Writing Log'!$A$5:$A$34,$A377)</f>
        <v>0</v>
      </c>
      <c r="D377" s="108">
        <f ca="1">IF($C377&gt;=Config!$B$5,1,0)</f>
        <v>0</v>
      </c>
      <c r="E377" s="108">
        <f t="shared" ca="1" si="20"/>
        <v>0</v>
      </c>
      <c r="F377" s="108">
        <f ca="1">IF(AND($D377=0,$H376&gt;0,$E377&lt;Config!$B$8,$A377&lt;Config!$A$2),1,0)</f>
        <v>0</v>
      </c>
      <c r="G377" s="108">
        <f t="shared" ca="1" si="21"/>
        <v>0</v>
      </c>
      <c r="H377" s="108">
        <f ca="1">IF($D377=1,$H376+1,IF($F377=1,$H376,IF($A377=Config!$A$2,$H376,0)))</f>
        <v>0</v>
      </c>
      <c r="M377" s="109"/>
    </row>
    <row r="378" spans="1:13" x14ac:dyDescent="0.3">
      <c r="A378" s="106">
        <f t="shared" ca="1" si="19"/>
        <v>45956</v>
      </c>
      <c r="B378" s="107">
        <f ca="1">SUMIFS('Daily Writing Log'!$H$5:$H$34,'Daily Writing Log'!$A$5:$A$34,$A378)</f>
        <v>0</v>
      </c>
      <c r="C378" s="107">
        <f ca="1">SUMIFS('Daily Writing Log'!$I$5:$I$34,'Daily Writing Log'!$A$5:$A$34,$A378)</f>
        <v>0</v>
      </c>
      <c r="D378" s="108">
        <f ca="1">IF($C378&gt;=Config!$B$5,1,0)</f>
        <v>0</v>
      </c>
      <c r="E378" s="108">
        <f t="shared" ca="1" si="20"/>
        <v>0</v>
      </c>
      <c r="F378" s="108">
        <f ca="1">IF(AND($D378=0,$H377&gt;0,$E378&lt;Config!$B$8,$A378&lt;Config!$A$2),1,0)</f>
        <v>0</v>
      </c>
      <c r="G378" s="108">
        <f t="shared" ca="1" si="21"/>
        <v>0</v>
      </c>
      <c r="H378" s="108">
        <f ca="1">IF($D378=1,$H377+1,IF($F378=1,$H377,IF($A378=Config!$A$2,$H377,0)))</f>
        <v>0</v>
      </c>
      <c r="M378" s="109"/>
    </row>
    <row r="379" spans="1:13" x14ac:dyDescent="0.3">
      <c r="A379" s="106">
        <f t="shared" ca="1" si="19"/>
        <v>45957</v>
      </c>
      <c r="B379" s="107">
        <f ca="1">SUMIFS('Daily Writing Log'!$H$5:$H$34,'Daily Writing Log'!$A$5:$A$34,$A379)</f>
        <v>0</v>
      </c>
      <c r="C379" s="107">
        <f ca="1">SUMIFS('Daily Writing Log'!$I$5:$I$34,'Daily Writing Log'!$A$5:$A$34,$A379)</f>
        <v>0</v>
      </c>
      <c r="D379" s="108">
        <f ca="1">IF($C379&gt;=Config!$B$5,1,0)</f>
        <v>0</v>
      </c>
      <c r="E379" s="108">
        <f t="shared" ca="1" si="20"/>
        <v>0</v>
      </c>
      <c r="F379" s="108">
        <f ca="1">IF(AND($D379=0,$H378&gt;0,$E379&lt;Config!$B$8,$A379&lt;Config!$A$2),1,0)</f>
        <v>0</v>
      </c>
      <c r="G379" s="108">
        <f t="shared" ca="1" si="21"/>
        <v>0</v>
      </c>
      <c r="H379" s="108">
        <f ca="1">IF($D379=1,$H378+1,IF($F379=1,$H378,IF($A379=Config!$A$2,$H378,0)))</f>
        <v>0</v>
      </c>
      <c r="M379" s="109"/>
    </row>
    <row r="380" spans="1:13" x14ac:dyDescent="0.3">
      <c r="A380" s="106">
        <f t="shared" ca="1" si="19"/>
        <v>45958</v>
      </c>
      <c r="B380" s="107">
        <f ca="1">SUMIFS('Daily Writing Log'!$H$5:$H$34,'Daily Writing Log'!$A$5:$A$34,$A380)</f>
        <v>0</v>
      </c>
      <c r="C380" s="107">
        <f ca="1">SUMIFS('Daily Writing Log'!$I$5:$I$34,'Daily Writing Log'!$A$5:$A$34,$A380)</f>
        <v>0</v>
      </c>
      <c r="D380" s="108">
        <f ca="1">IF($C380&gt;=Config!$B$5,1,0)</f>
        <v>0</v>
      </c>
      <c r="E380" s="108">
        <f t="shared" ca="1" si="20"/>
        <v>0</v>
      </c>
      <c r="F380" s="108">
        <f ca="1">IF(AND($D380=0,$H379&gt;0,$E380&lt;Config!$B$8,$A380&lt;Config!$A$2),1,0)</f>
        <v>0</v>
      </c>
      <c r="G380" s="108">
        <f t="shared" ca="1" si="21"/>
        <v>0</v>
      </c>
      <c r="H380" s="108">
        <f ca="1">IF($D380=1,$H379+1,IF($F380=1,$H379,IF($A380=Config!$A$2,$H379,0)))</f>
        <v>0</v>
      </c>
      <c r="M380" s="109"/>
    </row>
    <row r="381" spans="1:13" x14ac:dyDescent="0.3">
      <c r="A381" s="106">
        <f t="shared" ca="1" si="19"/>
        <v>45959</v>
      </c>
      <c r="B381" s="107">
        <f ca="1">SUMIFS('Daily Writing Log'!$H$5:$H$34,'Daily Writing Log'!$A$5:$A$34,$A381)</f>
        <v>0</v>
      </c>
      <c r="C381" s="107">
        <f ca="1">SUMIFS('Daily Writing Log'!$I$5:$I$34,'Daily Writing Log'!$A$5:$A$34,$A381)</f>
        <v>0</v>
      </c>
      <c r="D381" s="108">
        <f ca="1">IF($C381&gt;=Config!$B$5,1,0)</f>
        <v>0</v>
      </c>
      <c r="E381" s="108">
        <f t="shared" ca="1" si="20"/>
        <v>0</v>
      </c>
      <c r="F381" s="108">
        <f ca="1">IF(AND($D381=0,$H380&gt;0,$E381&lt;Config!$B$8,$A381&lt;Config!$A$2),1,0)</f>
        <v>0</v>
      </c>
      <c r="G381" s="108">
        <f t="shared" ca="1" si="21"/>
        <v>0</v>
      </c>
      <c r="H381" s="108">
        <f ca="1">IF($D381=1,$H380+1,IF($F381=1,$H380,IF($A381=Config!$A$2,$H380,0)))</f>
        <v>0</v>
      </c>
      <c r="M381" s="109"/>
    </row>
    <row r="382" spans="1:13" x14ac:dyDescent="0.3">
      <c r="A382" s="106">
        <f t="shared" ca="1" si="19"/>
        <v>45960</v>
      </c>
      <c r="B382" s="107">
        <f ca="1">SUMIFS('Daily Writing Log'!$H$5:$H$34,'Daily Writing Log'!$A$5:$A$34,$A382)</f>
        <v>0</v>
      </c>
      <c r="C382" s="107">
        <f ca="1">SUMIFS('Daily Writing Log'!$I$5:$I$34,'Daily Writing Log'!$A$5:$A$34,$A382)</f>
        <v>0</v>
      </c>
      <c r="D382" s="108">
        <f ca="1">IF($C382&gt;=Config!$B$5,1,0)</f>
        <v>0</v>
      </c>
      <c r="E382" s="108">
        <f t="shared" ca="1" si="20"/>
        <v>0</v>
      </c>
      <c r="F382" s="108">
        <f ca="1">IF(AND($D382=0,$H381&gt;0,$E382&lt;Config!$B$8,$A382&lt;Config!$A$2),1,0)</f>
        <v>0</v>
      </c>
      <c r="G382" s="108">
        <f t="shared" ca="1" si="21"/>
        <v>0</v>
      </c>
      <c r="H382" s="108">
        <f ca="1">IF($D382=1,$H381+1,IF($F382=1,$H381,IF($A382=Config!$A$2,$H381,0)))</f>
        <v>0</v>
      </c>
      <c r="M382" s="109"/>
    </row>
    <row r="383" spans="1:13" x14ac:dyDescent="0.3">
      <c r="A383" s="106">
        <f t="shared" ca="1" si="19"/>
        <v>45961</v>
      </c>
      <c r="B383" s="107">
        <f ca="1">SUMIFS('Daily Writing Log'!$H$5:$H$34,'Daily Writing Log'!$A$5:$A$34,$A383)</f>
        <v>0</v>
      </c>
      <c r="C383" s="107">
        <f ca="1">SUMIFS('Daily Writing Log'!$I$5:$I$34,'Daily Writing Log'!$A$5:$A$34,$A383)</f>
        <v>0</v>
      </c>
      <c r="D383" s="108">
        <f ca="1">IF($C383&gt;=Config!$B$5,1,0)</f>
        <v>0</v>
      </c>
      <c r="E383" s="108">
        <f t="shared" ca="1" si="20"/>
        <v>0</v>
      </c>
      <c r="F383" s="108">
        <f ca="1">IF(AND($D383=0,$H382&gt;0,$E383&lt;Config!$B$8,$A383&lt;Config!$A$2),1,0)</f>
        <v>0</v>
      </c>
      <c r="G383" s="108">
        <f t="shared" ca="1" si="21"/>
        <v>0</v>
      </c>
      <c r="H383" s="108">
        <f ca="1">IF($D383=1,$H382+1,IF($F383=1,$H382,IF($A383=Config!$A$2,$H382,0)))</f>
        <v>0</v>
      </c>
      <c r="M383" s="109"/>
    </row>
    <row r="384" spans="1:13" x14ac:dyDescent="0.3">
      <c r="A384" s="106">
        <f t="shared" ca="1" si="19"/>
        <v>45962</v>
      </c>
      <c r="B384" s="107">
        <f ca="1">SUMIFS('Daily Writing Log'!$H$5:$H$34,'Daily Writing Log'!$A$5:$A$34,$A384)</f>
        <v>0</v>
      </c>
      <c r="C384" s="107">
        <f ca="1">SUMIFS('Daily Writing Log'!$I$5:$I$34,'Daily Writing Log'!$A$5:$A$34,$A384)</f>
        <v>0</v>
      </c>
      <c r="D384" s="108">
        <f ca="1">IF($C384&gt;=Config!$B$5,1,0)</f>
        <v>0</v>
      </c>
      <c r="E384" s="108">
        <f t="shared" ca="1" si="20"/>
        <v>0</v>
      </c>
      <c r="F384" s="108">
        <f ca="1">IF(AND($D384=0,$H383&gt;0,$E384&lt;Config!$B$8,$A384&lt;Config!$A$2),1,0)</f>
        <v>0</v>
      </c>
      <c r="G384" s="108">
        <f t="shared" ca="1" si="21"/>
        <v>0</v>
      </c>
      <c r="H384" s="108">
        <f ca="1">IF($D384=1,$H383+1,IF($F384=1,$H383,IF($A384=Config!$A$2,$H383,0)))</f>
        <v>0</v>
      </c>
      <c r="M384" s="109"/>
    </row>
    <row r="385" spans="1:13" x14ac:dyDescent="0.3">
      <c r="A385" s="106">
        <f t="shared" ca="1" si="19"/>
        <v>45963</v>
      </c>
      <c r="B385" s="107">
        <f ca="1">SUMIFS('Daily Writing Log'!$H$5:$H$34,'Daily Writing Log'!$A$5:$A$34,$A385)</f>
        <v>0</v>
      </c>
      <c r="C385" s="107">
        <f ca="1">SUMIFS('Daily Writing Log'!$I$5:$I$34,'Daily Writing Log'!$A$5:$A$34,$A385)</f>
        <v>0</v>
      </c>
      <c r="D385" s="108">
        <f ca="1">IF($C385&gt;=Config!$B$5,1,0)</f>
        <v>0</v>
      </c>
      <c r="E385" s="108">
        <f t="shared" ca="1" si="20"/>
        <v>0</v>
      </c>
      <c r="F385" s="108">
        <f ca="1">IF(AND($D385=0,$H384&gt;0,$E385&lt;Config!$B$8,$A385&lt;Config!$A$2),1,0)</f>
        <v>0</v>
      </c>
      <c r="G385" s="108">
        <f t="shared" ca="1" si="21"/>
        <v>0</v>
      </c>
      <c r="H385" s="108">
        <f ca="1">IF($D385=1,$H384+1,IF($F385=1,$H384,IF($A385=Config!$A$2,$H384,0)))</f>
        <v>0</v>
      </c>
      <c r="M385" s="109"/>
    </row>
    <row r="386" spans="1:13" x14ac:dyDescent="0.3">
      <c r="A386" s="106">
        <f t="shared" ca="1" si="19"/>
        <v>45964</v>
      </c>
      <c r="B386" s="107">
        <f ca="1">SUMIFS('Daily Writing Log'!$H$5:$H$34,'Daily Writing Log'!$A$5:$A$34,$A386)</f>
        <v>0</v>
      </c>
      <c r="C386" s="107">
        <f ca="1">SUMIFS('Daily Writing Log'!$I$5:$I$34,'Daily Writing Log'!$A$5:$A$34,$A386)</f>
        <v>0</v>
      </c>
      <c r="D386" s="108">
        <f ca="1">IF($C386&gt;=Config!$B$5,1,0)</f>
        <v>0</v>
      </c>
      <c r="E386" s="108">
        <f t="shared" ca="1" si="20"/>
        <v>0</v>
      </c>
      <c r="F386" s="108">
        <f ca="1">IF(AND($D386=0,$H385&gt;0,$E386&lt;Config!$B$8,$A386&lt;Config!$A$2),1,0)</f>
        <v>0</v>
      </c>
      <c r="G386" s="108">
        <f t="shared" ca="1" si="21"/>
        <v>0</v>
      </c>
      <c r="H386" s="108">
        <f ca="1">IF($D386=1,$H385+1,IF($F386=1,$H385,IF($A386=Config!$A$2,$H385,0)))</f>
        <v>0</v>
      </c>
      <c r="M386" s="109"/>
    </row>
    <row r="387" spans="1:13" x14ac:dyDescent="0.3">
      <c r="A387" s="106">
        <f t="shared" ca="1" si="19"/>
        <v>45965</v>
      </c>
      <c r="B387" s="107">
        <f ca="1">SUMIFS('Daily Writing Log'!$H$5:$H$34,'Daily Writing Log'!$A$5:$A$34,$A387)</f>
        <v>0</v>
      </c>
      <c r="C387" s="107">
        <f ca="1">SUMIFS('Daily Writing Log'!$I$5:$I$34,'Daily Writing Log'!$A$5:$A$34,$A387)</f>
        <v>0</v>
      </c>
      <c r="D387" s="108">
        <f ca="1">IF($C387&gt;=Config!$B$5,1,0)</f>
        <v>0</v>
      </c>
      <c r="E387" s="108">
        <f t="shared" ca="1" si="20"/>
        <v>0</v>
      </c>
      <c r="F387" s="108">
        <f ca="1">IF(AND($D387=0,$H386&gt;0,$E387&lt;Config!$B$8,$A387&lt;Config!$A$2),1,0)</f>
        <v>0</v>
      </c>
      <c r="G387" s="108">
        <f t="shared" ca="1" si="21"/>
        <v>0</v>
      </c>
      <c r="H387" s="108">
        <f ca="1">IF($D387=1,$H386+1,IF($F387=1,$H386,IF($A387=Config!$A$2,$H386,0)))</f>
        <v>0</v>
      </c>
      <c r="M387" s="109"/>
    </row>
    <row r="388" spans="1:13" x14ac:dyDescent="0.3">
      <c r="A388" s="106">
        <f t="shared" ca="1" si="19"/>
        <v>45966</v>
      </c>
      <c r="B388" s="107">
        <f ca="1">SUMIFS('Daily Writing Log'!$H$5:$H$34,'Daily Writing Log'!$A$5:$A$34,$A388)</f>
        <v>0</v>
      </c>
      <c r="C388" s="107">
        <f ca="1">SUMIFS('Daily Writing Log'!$I$5:$I$34,'Daily Writing Log'!$A$5:$A$34,$A388)</f>
        <v>0</v>
      </c>
      <c r="D388" s="108">
        <f ca="1">IF($C388&gt;=Config!$B$5,1,0)</f>
        <v>0</v>
      </c>
      <c r="E388" s="108">
        <f t="shared" ca="1" si="20"/>
        <v>0</v>
      </c>
      <c r="F388" s="108">
        <f ca="1">IF(AND($D388=0,$H387&gt;0,$E388&lt;Config!$B$8,$A388&lt;Config!$A$2),1,0)</f>
        <v>0</v>
      </c>
      <c r="G388" s="108">
        <f t="shared" ca="1" si="21"/>
        <v>0</v>
      </c>
      <c r="H388" s="108">
        <f ca="1">IF($D388=1,$H387+1,IF($F388=1,$H387,IF($A388=Config!$A$2,$H387,0)))</f>
        <v>0</v>
      </c>
      <c r="M388" s="109"/>
    </row>
    <row r="389" spans="1:13" x14ac:dyDescent="0.3">
      <c r="A389" s="106">
        <f t="shared" ca="1" si="19"/>
        <v>45967</v>
      </c>
      <c r="B389" s="107">
        <f ca="1">SUMIFS('Daily Writing Log'!$H$5:$H$34,'Daily Writing Log'!$A$5:$A$34,$A389)</f>
        <v>0</v>
      </c>
      <c r="C389" s="107">
        <f ca="1">SUMIFS('Daily Writing Log'!$I$5:$I$34,'Daily Writing Log'!$A$5:$A$34,$A389)</f>
        <v>0</v>
      </c>
      <c r="D389" s="108">
        <f ca="1">IF($C389&gt;=Config!$B$5,1,0)</f>
        <v>0</v>
      </c>
      <c r="E389" s="108">
        <f t="shared" ca="1" si="20"/>
        <v>0</v>
      </c>
      <c r="F389" s="108">
        <f ca="1">IF(AND($D389=0,$H388&gt;0,$E389&lt;Config!$B$8,$A389&lt;Config!$A$2),1,0)</f>
        <v>0</v>
      </c>
      <c r="G389" s="108">
        <f t="shared" ca="1" si="21"/>
        <v>0</v>
      </c>
      <c r="H389" s="108">
        <f ca="1">IF($D389=1,$H388+1,IF($F389=1,$H388,IF($A389=Config!$A$2,$H388,0)))</f>
        <v>0</v>
      </c>
      <c r="M389" s="109"/>
    </row>
    <row r="390" spans="1:13" x14ac:dyDescent="0.3">
      <c r="A390" s="106">
        <f t="shared" ref="A390:A453" ca="1" si="22">A389+1</f>
        <v>45968</v>
      </c>
      <c r="B390" s="107">
        <f ca="1">SUMIFS('Daily Writing Log'!$H$5:$H$34,'Daily Writing Log'!$A$5:$A$34,$A390)</f>
        <v>0</v>
      </c>
      <c r="C390" s="107">
        <f ca="1">SUMIFS('Daily Writing Log'!$I$5:$I$34,'Daily Writing Log'!$A$5:$A$34,$A390)</f>
        <v>0</v>
      </c>
      <c r="D390" s="108">
        <f ca="1">IF($C390&gt;=Config!$B$5,1,0)</f>
        <v>0</v>
      </c>
      <c r="E390" s="108">
        <f t="shared" ref="E390:E453" ca="1" si="23">IF(MONTH($A390)&lt;&gt;MONTH($A389),0,$G389)</f>
        <v>0</v>
      </c>
      <c r="F390" s="108">
        <f ca="1">IF(AND($D390=0,$H389&gt;0,$E390&lt;Config!$B$8,$A390&lt;Config!$A$2),1,0)</f>
        <v>0</v>
      </c>
      <c r="G390" s="108">
        <f t="shared" ref="G390:G453" ca="1" si="24">$E390+$F390</f>
        <v>0</v>
      </c>
      <c r="H390" s="108">
        <f ca="1">IF($D390=1,$H389+1,IF($F390=1,$H389,IF($A390=Config!$A$2,$H389,0)))</f>
        <v>0</v>
      </c>
      <c r="M390" s="109"/>
    </row>
    <row r="391" spans="1:13" x14ac:dyDescent="0.3">
      <c r="A391" s="106">
        <f t="shared" ca="1" si="22"/>
        <v>45969</v>
      </c>
      <c r="B391" s="107">
        <f ca="1">SUMIFS('Daily Writing Log'!$H$5:$H$34,'Daily Writing Log'!$A$5:$A$34,$A391)</f>
        <v>0</v>
      </c>
      <c r="C391" s="107">
        <f ca="1">SUMIFS('Daily Writing Log'!$I$5:$I$34,'Daily Writing Log'!$A$5:$A$34,$A391)</f>
        <v>0</v>
      </c>
      <c r="D391" s="108">
        <f ca="1">IF($C391&gt;=Config!$B$5,1,0)</f>
        <v>0</v>
      </c>
      <c r="E391" s="108">
        <f t="shared" ca="1" si="23"/>
        <v>0</v>
      </c>
      <c r="F391" s="108">
        <f ca="1">IF(AND($D391=0,$H390&gt;0,$E391&lt;Config!$B$8,$A391&lt;Config!$A$2),1,0)</f>
        <v>0</v>
      </c>
      <c r="G391" s="108">
        <f t="shared" ca="1" si="24"/>
        <v>0</v>
      </c>
      <c r="H391" s="108">
        <f ca="1">IF($D391=1,$H390+1,IF($F391=1,$H390,IF($A391=Config!$A$2,$H390,0)))</f>
        <v>0</v>
      </c>
      <c r="M391" s="109"/>
    </row>
    <row r="392" spans="1:13" x14ac:dyDescent="0.3">
      <c r="A392" s="106">
        <f t="shared" ca="1" si="22"/>
        <v>45970</v>
      </c>
      <c r="B392" s="107">
        <f ca="1">SUMIFS('Daily Writing Log'!$H$5:$H$34,'Daily Writing Log'!$A$5:$A$34,$A392)</f>
        <v>0</v>
      </c>
      <c r="C392" s="107">
        <f ca="1">SUMIFS('Daily Writing Log'!$I$5:$I$34,'Daily Writing Log'!$A$5:$A$34,$A392)</f>
        <v>0</v>
      </c>
      <c r="D392" s="108">
        <f ca="1">IF($C392&gt;=Config!$B$5,1,0)</f>
        <v>0</v>
      </c>
      <c r="E392" s="108">
        <f t="shared" ca="1" si="23"/>
        <v>0</v>
      </c>
      <c r="F392" s="108">
        <f ca="1">IF(AND($D392=0,$H391&gt;0,$E392&lt;Config!$B$8,$A392&lt;Config!$A$2),1,0)</f>
        <v>0</v>
      </c>
      <c r="G392" s="108">
        <f t="shared" ca="1" si="24"/>
        <v>0</v>
      </c>
      <c r="H392" s="108">
        <f ca="1">IF($D392=1,$H391+1,IF($F392=1,$H391,IF($A392=Config!$A$2,$H391,0)))</f>
        <v>0</v>
      </c>
      <c r="M392" s="109"/>
    </row>
    <row r="393" spans="1:13" x14ac:dyDescent="0.3">
      <c r="A393" s="106">
        <f t="shared" ca="1" si="22"/>
        <v>45971</v>
      </c>
      <c r="B393" s="107">
        <f ca="1">SUMIFS('Daily Writing Log'!$H$5:$H$34,'Daily Writing Log'!$A$5:$A$34,$A393)</f>
        <v>0</v>
      </c>
      <c r="C393" s="107">
        <f ca="1">SUMIFS('Daily Writing Log'!$I$5:$I$34,'Daily Writing Log'!$A$5:$A$34,$A393)</f>
        <v>0</v>
      </c>
      <c r="D393" s="108">
        <f ca="1">IF($C393&gt;=Config!$B$5,1,0)</f>
        <v>0</v>
      </c>
      <c r="E393" s="108">
        <f t="shared" ca="1" si="23"/>
        <v>0</v>
      </c>
      <c r="F393" s="108">
        <f ca="1">IF(AND($D393=0,$H392&gt;0,$E393&lt;Config!$B$8,$A393&lt;Config!$A$2),1,0)</f>
        <v>0</v>
      </c>
      <c r="G393" s="108">
        <f t="shared" ca="1" si="24"/>
        <v>0</v>
      </c>
      <c r="H393" s="108">
        <f ca="1">IF($D393=1,$H392+1,IF($F393=1,$H392,IF($A393=Config!$A$2,$H392,0)))</f>
        <v>0</v>
      </c>
      <c r="M393" s="109"/>
    </row>
    <row r="394" spans="1:13" x14ac:dyDescent="0.3">
      <c r="A394" s="106">
        <f t="shared" ca="1" si="22"/>
        <v>45972</v>
      </c>
      <c r="B394" s="107">
        <f ca="1">SUMIFS('Daily Writing Log'!$H$5:$H$34,'Daily Writing Log'!$A$5:$A$34,$A394)</f>
        <v>0</v>
      </c>
      <c r="C394" s="107">
        <f ca="1">SUMIFS('Daily Writing Log'!$I$5:$I$34,'Daily Writing Log'!$A$5:$A$34,$A394)</f>
        <v>0</v>
      </c>
      <c r="D394" s="108">
        <f ca="1">IF($C394&gt;=Config!$B$5,1,0)</f>
        <v>0</v>
      </c>
      <c r="E394" s="108">
        <f t="shared" ca="1" si="23"/>
        <v>0</v>
      </c>
      <c r="F394" s="108">
        <f ca="1">IF(AND($D394=0,$H393&gt;0,$E394&lt;Config!$B$8,$A394&lt;Config!$A$2),1,0)</f>
        <v>0</v>
      </c>
      <c r="G394" s="108">
        <f t="shared" ca="1" si="24"/>
        <v>0</v>
      </c>
      <c r="H394" s="108">
        <f ca="1">IF($D394=1,$H393+1,IF($F394=1,$H393,IF($A394=Config!$A$2,$H393,0)))</f>
        <v>0</v>
      </c>
      <c r="M394" s="109"/>
    </row>
    <row r="395" spans="1:13" x14ac:dyDescent="0.3">
      <c r="A395" s="106">
        <f t="shared" ca="1" si="22"/>
        <v>45973</v>
      </c>
      <c r="B395" s="107">
        <f ca="1">SUMIFS('Daily Writing Log'!$H$5:$H$34,'Daily Writing Log'!$A$5:$A$34,$A395)</f>
        <v>0</v>
      </c>
      <c r="C395" s="107">
        <f ca="1">SUMIFS('Daily Writing Log'!$I$5:$I$34,'Daily Writing Log'!$A$5:$A$34,$A395)</f>
        <v>0</v>
      </c>
      <c r="D395" s="108">
        <f ca="1">IF($C395&gt;=Config!$B$5,1,0)</f>
        <v>0</v>
      </c>
      <c r="E395" s="108">
        <f t="shared" ca="1" si="23"/>
        <v>0</v>
      </c>
      <c r="F395" s="108">
        <f ca="1">IF(AND($D395=0,$H394&gt;0,$E395&lt;Config!$B$8,$A395&lt;Config!$A$2),1,0)</f>
        <v>0</v>
      </c>
      <c r="G395" s="108">
        <f t="shared" ca="1" si="24"/>
        <v>0</v>
      </c>
      <c r="H395" s="108">
        <f ca="1">IF($D395=1,$H394+1,IF($F395=1,$H394,IF($A395=Config!$A$2,$H394,0)))</f>
        <v>0</v>
      </c>
      <c r="M395" s="109"/>
    </row>
    <row r="396" spans="1:13" x14ac:dyDescent="0.3">
      <c r="A396" s="106">
        <f t="shared" ca="1" si="22"/>
        <v>45974</v>
      </c>
      <c r="B396" s="107">
        <f ca="1">SUMIFS('Daily Writing Log'!$H$5:$H$34,'Daily Writing Log'!$A$5:$A$34,$A396)</f>
        <v>0</v>
      </c>
      <c r="C396" s="107">
        <f ca="1">SUMIFS('Daily Writing Log'!$I$5:$I$34,'Daily Writing Log'!$A$5:$A$34,$A396)</f>
        <v>0</v>
      </c>
      <c r="D396" s="108">
        <f ca="1">IF($C396&gt;=Config!$B$5,1,0)</f>
        <v>0</v>
      </c>
      <c r="E396" s="108">
        <f t="shared" ca="1" si="23"/>
        <v>0</v>
      </c>
      <c r="F396" s="108">
        <f ca="1">IF(AND($D396=0,$H395&gt;0,$E396&lt;Config!$B$8,$A396&lt;Config!$A$2),1,0)</f>
        <v>0</v>
      </c>
      <c r="G396" s="108">
        <f t="shared" ca="1" si="24"/>
        <v>0</v>
      </c>
      <c r="H396" s="108">
        <f ca="1">IF($D396=1,$H395+1,IF($F396=1,$H395,IF($A396=Config!$A$2,$H395,0)))</f>
        <v>0</v>
      </c>
      <c r="M396" s="109"/>
    </row>
    <row r="397" spans="1:13" x14ac:dyDescent="0.3">
      <c r="A397" s="106">
        <f t="shared" ca="1" si="22"/>
        <v>45975</v>
      </c>
      <c r="B397" s="107">
        <f ca="1">SUMIFS('Daily Writing Log'!$H$5:$H$34,'Daily Writing Log'!$A$5:$A$34,$A397)</f>
        <v>0</v>
      </c>
      <c r="C397" s="107">
        <f ca="1">SUMIFS('Daily Writing Log'!$I$5:$I$34,'Daily Writing Log'!$A$5:$A$34,$A397)</f>
        <v>0</v>
      </c>
      <c r="D397" s="108">
        <f ca="1">IF($C397&gt;=Config!$B$5,1,0)</f>
        <v>0</v>
      </c>
      <c r="E397" s="108">
        <f t="shared" ca="1" si="23"/>
        <v>0</v>
      </c>
      <c r="F397" s="108">
        <f ca="1">IF(AND($D397=0,$H396&gt;0,$E397&lt;Config!$B$8,$A397&lt;Config!$A$2),1,0)</f>
        <v>0</v>
      </c>
      <c r="G397" s="108">
        <f t="shared" ca="1" si="24"/>
        <v>0</v>
      </c>
      <c r="H397" s="108">
        <f ca="1">IF($D397=1,$H396+1,IF($F397=1,$H396,IF($A397=Config!$A$2,$H396,0)))</f>
        <v>0</v>
      </c>
      <c r="M397" s="109"/>
    </row>
    <row r="398" spans="1:13" x14ac:dyDescent="0.3">
      <c r="A398" s="106">
        <f t="shared" ca="1" si="22"/>
        <v>45976</v>
      </c>
      <c r="B398" s="107">
        <f ca="1">SUMIFS('Daily Writing Log'!$H$5:$H$34,'Daily Writing Log'!$A$5:$A$34,$A398)</f>
        <v>0</v>
      </c>
      <c r="C398" s="107">
        <f ca="1">SUMIFS('Daily Writing Log'!$I$5:$I$34,'Daily Writing Log'!$A$5:$A$34,$A398)</f>
        <v>0</v>
      </c>
      <c r="D398" s="108">
        <f ca="1">IF($C398&gt;=Config!$B$5,1,0)</f>
        <v>0</v>
      </c>
      <c r="E398" s="108">
        <f t="shared" ca="1" si="23"/>
        <v>0</v>
      </c>
      <c r="F398" s="108">
        <f ca="1">IF(AND($D398=0,$H397&gt;0,$E398&lt;Config!$B$8,$A398&lt;Config!$A$2),1,0)</f>
        <v>0</v>
      </c>
      <c r="G398" s="108">
        <f t="shared" ca="1" si="24"/>
        <v>0</v>
      </c>
      <c r="H398" s="108">
        <f ca="1">IF($D398=1,$H397+1,IF($F398=1,$H397,IF($A398=Config!$A$2,$H397,0)))</f>
        <v>0</v>
      </c>
      <c r="M398" s="109"/>
    </row>
    <row r="399" spans="1:13" x14ac:dyDescent="0.3">
      <c r="A399" s="106">
        <f t="shared" ca="1" si="22"/>
        <v>45977</v>
      </c>
      <c r="B399" s="107">
        <f ca="1">SUMIFS('Daily Writing Log'!$H$5:$H$34,'Daily Writing Log'!$A$5:$A$34,$A399)</f>
        <v>0</v>
      </c>
      <c r="C399" s="107">
        <f ca="1">SUMIFS('Daily Writing Log'!$I$5:$I$34,'Daily Writing Log'!$A$5:$A$34,$A399)</f>
        <v>0</v>
      </c>
      <c r="D399" s="108">
        <f ca="1">IF($C399&gt;=Config!$B$5,1,0)</f>
        <v>0</v>
      </c>
      <c r="E399" s="108">
        <f t="shared" ca="1" si="23"/>
        <v>0</v>
      </c>
      <c r="F399" s="108">
        <f ca="1">IF(AND($D399=0,$H398&gt;0,$E399&lt;Config!$B$8,$A399&lt;Config!$A$2),1,0)</f>
        <v>0</v>
      </c>
      <c r="G399" s="108">
        <f t="shared" ca="1" si="24"/>
        <v>0</v>
      </c>
      <c r="H399" s="108">
        <f ca="1">IF($D399=1,$H398+1,IF($F399=1,$H398,IF($A399=Config!$A$2,$H398,0)))</f>
        <v>0</v>
      </c>
      <c r="M399" s="109"/>
    </row>
    <row r="400" spans="1:13" x14ac:dyDescent="0.3">
      <c r="A400" s="106">
        <f t="shared" ca="1" si="22"/>
        <v>45978</v>
      </c>
      <c r="B400" s="107">
        <f ca="1">SUMIFS('Daily Writing Log'!$H$5:$H$34,'Daily Writing Log'!$A$5:$A$34,$A400)</f>
        <v>0</v>
      </c>
      <c r="C400" s="107">
        <f ca="1">SUMIFS('Daily Writing Log'!$I$5:$I$34,'Daily Writing Log'!$A$5:$A$34,$A400)</f>
        <v>0</v>
      </c>
      <c r="D400" s="108">
        <f ca="1">IF($C400&gt;=Config!$B$5,1,0)</f>
        <v>0</v>
      </c>
      <c r="E400" s="108">
        <f t="shared" ca="1" si="23"/>
        <v>0</v>
      </c>
      <c r="F400" s="108">
        <f ca="1">IF(AND($D400=0,$H399&gt;0,$E400&lt;Config!$B$8,$A400&lt;Config!$A$2),1,0)</f>
        <v>0</v>
      </c>
      <c r="G400" s="108">
        <f t="shared" ca="1" si="24"/>
        <v>0</v>
      </c>
      <c r="H400" s="108">
        <f ca="1">IF($D400=1,$H399+1,IF($F400=1,$H399,IF($A400=Config!$A$2,$H399,0)))</f>
        <v>0</v>
      </c>
      <c r="M400" s="109"/>
    </row>
    <row r="401" spans="1:13" x14ac:dyDescent="0.3">
      <c r="A401" s="106">
        <f t="shared" ca="1" si="22"/>
        <v>45979</v>
      </c>
      <c r="B401" s="107">
        <f ca="1">SUMIFS('Daily Writing Log'!$H$5:$H$34,'Daily Writing Log'!$A$5:$A$34,$A401)</f>
        <v>0</v>
      </c>
      <c r="C401" s="107">
        <f ca="1">SUMIFS('Daily Writing Log'!$I$5:$I$34,'Daily Writing Log'!$A$5:$A$34,$A401)</f>
        <v>0</v>
      </c>
      <c r="D401" s="108">
        <f ca="1">IF($C401&gt;=Config!$B$5,1,0)</f>
        <v>0</v>
      </c>
      <c r="E401" s="108">
        <f t="shared" ca="1" si="23"/>
        <v>0</v>
      </c>
      <c r="F401" s="108">
        <f ca="1">IF(AND($D401=0,$H400&gt;0,$E401&lt;Config!$B$8,$A401&lt;Config!$A$2),1,0)</f>
        <v>0</v>
      </c>
      <c r="G401" s="108">
        <f t="shared" ca="1" si="24"/>
        <v>0</v>
      </c>
      <c r="H401" s="108">
        <f ca="1">IF($D401=1,$H400+1,IF($F401=1,$H400,IF($A401=Config!$A$2,$H400,0)))</f>
        <v>0</v>
      </c>
      <c r="M401" s="109"/>
    </row>
    <row r="402" spans="1:13" x14ac:dyDescent="0.3">
      <c r="A402" s="106">
        <f t="shared" ca="1" si="22"/>
        <v>45980</v>
      </c>
      <c r="B402" s="107">
        <f ca="1">SUMIFS('Daily Writing Log'!$H$5:$H$34,'Daily Writing Log'!$A$5:$A$34,$A402)</f>
        <v>0</v>
      </c>
      <c r="C402" s="107">
        <f ca="1">SUMIFS('Daily Writing Log'!$I$5:$I$34,'Daily Writing Log'!$A$5:$A$34,$A402)</f>
        <v>0</v>
      </c>
      <c r="D402" s="108">
        <f ca="1">IF($C402&gt;=Config!$B$5,1,0)</f>
        <v>0</v>
      </c>
      <c r="E402" s="108">
        <f t="shared" ca="1" si="23"/>
        <v>0</v>
      </c>
      <c r="F402" s="108">
        <f ca="1">IF(AND($D402=0,$H401&gt;0,$E402&lt;Config!$B$8,$A402&lt;Config!$A$2),1,0)</f>
        <v>0</v>
      </c>
      <c r="G402" s="108">
        <f t="shared" ca="1" si="24"/>
        <v>0</v>
      </c>
      <c r="H402" s="108">
        <f ca="1">IF($D402=1,$H401+1,IF($F402=1,$H401,IF($A402=Config!$A$2,$H401,0)))</f>
        <v>0</v>
      </c>
      <c r="M402" s="109"/>
    </row>
    <row r="403" spans="1:13" x14ac:dyDescent="0.3">
      <c r="A403" s="106">
        <f t="shared" ca="1" si="22"/>
        <v>45981</v>
      </c>
      <c r="B403" s="107">
        <f ca="1">SUMIFS('Daily Writing Log'!$H$5:$H$34,'Daily Writing Log'!$A$5:$A$34,$A403)</f>
        <v>0</v>
      </c>
      <c r="C403" s="107">
        <f ca="1">SUMIFS('Daily Writing Log'!$I$5:$I$34,'Daily Writing Log'!$A$5:$A$34,$A403)</f>
        <v>0</v>
      </c>
      <c r="D403" s="108">
        <f ca="1">IF($C403&gt;=Config!$B$5,1,0)</f>
        <v>0</v>
      </c>
      <c r="E403" s="108">
        <f t="shared" ca="1" si="23"/>
        <v>0</v>
      </c>
      <c r="F403" s="108">
        <f ca="1">IF(AND($D403=0,$H402&gt;0,$E403&lt;Config!$B$8,$A403&lt;Config!$A$2),1,0)</f>
        <v>0</v>
      </c>
      <c r="G403" s="108">
        <f t="shared" ca="1" si="24"/>
        <v>0</v>
      </c>
      <c r="H403" s="108">
        <f ca="1">IF($D403=1,$H402+1,IF($F403=1,$H402,IF($A403=Config!$A$2,$H402,0)))</f>
        <v>0</v>
      </c>
      <c r="M403" s="109"/>
    </row>
    <row r="404" spans="1:13" x14ac:dyDescent="0.3">
      <c r="A404" s="106">
        <f t="shared" ca="1" si="22"/>
        <v>45982</v>
      </c>
      <c r="B404" s="107">
        <f ca="1">SUMIFS('Daily Writing Log'!$H$5:$H$34,'Daily Writing Log'!$A$5:$A$34,$A404)</f>
        <v>0</v>
      </c>
      <c r="C404" s="107">
        <f ca="1">SUMIFS('Daily Writing Log'!$I$5:$I$34,'Daily Writing Log'!$A$5:$A$34,$A404)</f>
        <v>0</v>
      </c>
      <c r="D404" s="108">
        <f ca="1">IF($C404&gt;=Config!$B$5,1,0)</f>
        <v>0</v>
      </c>
      <c r="E404" s="108">
        <f t="shared" ca="1" si="23"/>
        <v>0</v>
      </c>
      <c r="F404" s="108">
        <f ca="1">IF(AND($D404=0,$H403&gt;0,$E404&lt;Config!$B$8,$A404&lt;Config!$A$2),1,0)</f>
        <v>0</v>
      </c>
      <c r="G404" s="108">
        <f t="shared" ca="1" si="24"/>
        <v>0</v>
      </c>
      <c r="H404" s="108">
        <f ca="1">IF($D404=1,$H403+1,IF($F404=1,$H403,IF($A404=Config!$A$2,$H403,0)))</f>
        <v>0</v>
      </c>
      <c r="M404" s="109"/>
    </row>
    <row r="405" spans="1:13" x14ac:dyDescent="0.3">
      <c r="A405" s="106">
        <f t="shared" ca="1" si="22"/>
        <v>45983</v>
      </c>
      <c r="B405" s="107">
        <f ca="1">SUMIFS('Daily Writing Log'!$H$5:$H$34,'Daily Writing Log'!$A$5:$A$34,$A405)</f>
        <v>0</v>
      </c>
      <c r="C405" s="107">
        <f ca="1">SUMIFS('Daily Writing Log'!$I$5:$I$34,'Daily Writing Log'!$A$5:$A$34,$A405)</f>
        <v>0</v>
      </c>
      <c r="D405" s="108">
        <f ca="1">IF($C405&gt;=Config!$B$5,1,0)</f>
        <v>0</v>
      </c>
      <c r="E405" s="108">
        <f t="shared" ca="1" si="23"/>
        <v>0</v>
      </c>
      <c r="F405" s="108">
        <f ca="1">IF(AND($D405=0,$H404&gt;0,$E405&lt;Config!$B$8,$A405&lt;Config!$A$2),1,0)</f>
        <v>0</v>
      </c>
      <c r="G405" s="108">
        <f t="shared" ca="1" si="24"/>
        <v>0</v>
      </c>
      <c r="H405" s="108">
        <f ca="1">IF($D405=1,$H404+1,IF($F405=1,$H404,IF($A405=Config!$A$2,$H404,0)))</f>
        <v>0</v>
      </c>
      <c r="M405" s="109"/>
    </row>
    <row r="406" spans="1:13" x14ac:dyDescent="0.3">
      <c r="A406" s="106">
        <f t="shared" ca="1" si="22"/>
        <v>45984</v>
      </c>
      <c r="B406" s="107">
        <f ca="1">SUMIFS('Daily Writing Log'!$H$5:$H$34,'Daily Writing Log'!$A$5:$A$34,$A406)</f>
        <v>0</v>
      </c>
      <c r="C406" s="107">
        <f ca="1">SUMIFS('Daily Writing Log'!$I$5:$I$34,'Daily Writing Log'!$A$5:$A$34,$A406)</f>
        <v>0</v>
      </c>
      <c r="D406" s="108">
        <f ca="1">IF($C406&gt;=Config!$B$5,1,0)</f>
        <v>0</v>
      </c>
      <c r="E406" s="108">
        <f t="shared" ca="1" si="23"/>
        <v>0</v>
      </c>
      <c r="F406" s="108">
        <f ca="1">IF(AND($D406=0,$H405&gt;0,$E406&lt;Config!$B$8,$A406&lt;Config!$A$2),1,0)</f>
        <v>0</v>
      </c>
      <c r="G406" s="108">
        <f t="shared" ca="1" si="24"/>
        <v>0</v>
      </c>
      <c r="H406" s="108">
        <f ca="1">IF($D406=1,$H405+1,IF($F406=1,$H405,IF($A406=Config!$A$2,$H405,0)))</f>
        <v>0</v>
      </c>
      <c r="M406" s="109"/>
    </row>
    <row r="407" spans="1:13" x14ac:dyDescent="0.3">
      <c r="A407" s="106">
        <f t="shared" ca="1" si="22"/>
        <v>45985</v>
      </c>
      <c r="B407" s="107">
        <f ca="1">SUMIFS('Daily Writing Log'!$H$5:$H$34,'Daily Writing Log'!$A$5:$A$34,$A407)</f>
        <v>0</v>
      </c>
      <c r="C407" s="107">
        <f ca="1">SUMIFS('Daily Writing Log'!$I$5:$I$34,'Daily Writing Log'!$A$5:$A$34,$A407)</f>
        <v>0</v>
      </c>
      <c r="D407" s="108">
        <f ca="1">IF($C407&gt;=Config!$B$5,1,0)</f>
        <v>0</v>
      </c>
      <c r="E407" s="108">
        <f t="shared" ca="1" si="23"/>
        <v>0</v>
      </c>
      <c r="F407" s="108">
        <f ca="1">IF(AND($D407=0,$H406&gt;0,$E407&lt;Config!$B$8,$A407&lt;Config!$A$2),1,0)</f>
        <v>0</v>
      </c>
      <c r="G407" s="108">
        <f t="shared" ca="1" si="24"/>
        <v>0</v>
      </c>
      <c r="H407" s="108">
        <f ca="1">IF($D407=1,$H406+1,IF($F407=1,$H406,IF($A407=Config!$A$2,$H406,0)))</f>
        <v>0</v>
      </c>
      <c r="M407" s="109"/>
    </row>
    <row r="408" spans="1:13" x14ac:dyDescent="0.3">
      <c r="A408" s="106">
        <f t="shared" ca="1" si="22"/>
        <v>45986</v>
      </c>
      <c r="B408" s="107">
        <f ca="1">SUMIFS('Daily Writing Log'!$H$5:$H$34,'Daily Writing Log'!$A$5:$A$34,$A408)</f>
        <v>0</v>
      </c>
      <c r="C408" s="107">
        <f ca="1">SUMIFS('Daily Writing Log'!$I$5:$I$34,'Daily Writing Log'!$A$5:$A$34,$A408)</f>
        <v>0</v>
      </c>
      <c r="D408" s="108">
        <f ca="1">IF($C408&gt;=Config!$B$5,1,0)</f>
        <v>0</v>
      </c>
      <c r="E408" s="108">
        <f t="shared" ca="1" si="23"/>
        <v>0</v>
      </c>
      <c r="F408" s="108">
        <f ca="1">IF(AND($D408=0,$H407&gt;0,$E408&lt;Config!$B$8,$A408&lt;Config!$A$2),1,0)</f>
        <v>0</v>
      </c>
      <c r="G408" s="108">
        <f t="shared" ca="1" si="24"/>
        <v>0</v>
      </c>
      <c r="H408" s="108">
        <f ca="1">IF($D408=1,$H407+1,IF($F408=1,$H407,IF($A408=Config!$A$2,$H407,0)))</f>
        <v>0</v>
      </c>
      <c r="M408" s="109"/>
    </row>
    <row r="409" spans="1:13" x14ac:dyDescent="0.3">
      <c r="A409" s="106">
        <f t="shared" ca="1" si="22"/>
        <v>45987</v>
      </c>
      <c r="B409" s="107">
        <f ca="1">SUMIFS('Daily Writing Log'!$H$5:$H$34,'Daily Writing Log'!$A$5:$A$34,$A409)</f>
        <v>0</v>
      </c>
      <c r="C409" s="107">
        <f ca="1">SUMIFS('Daily Writing Log'!$I$5:$I$34,'Daily Writing Log'!$A$5:$A$34,$A409)</f>
        <v>0</v>
      </c>
      <c r="D409" s="108">
        <f ca="1">IF($C409&gt;=Config!$B$5,1,0)</f>
        <v>0</v>
      </c>
      <c r="E409" s="108">
        <f t="shared" ca="1" si="23"/>
        <v>0</v>
      </c>
      <c r="F409" s="108">
        <f ca="1">IF(AND($D409=0,$H408&gt;0,$E409&lt;Config!$B$8,$A409&lt;Config!$A$2),1,0)</f>
        <v>0</v>
      </c>
      <c r="G409" s="108">
        <f t="shared" ca="1" si="24"/>
        <v>0</v>
      </c>
      <c r="H409" s="108">
        <f ca="1">IF($D409=1,$H408+1,IF($F409=1,$H408,IF($A409=Config!$A$2,$H408,0)))</f>
        <v>0</v>
      </c>
      <c r="M409" s="109"/>
    </row>
    <row r="410" spans="1:13" x14ac:dyDescent="0.3">
      <c r="A410" s="106">
        <f t="shared" ca="1" si="22"/>
        <v>45988</v>
      </c>
      <c r="B410" s="107">
        <f ca="1">SUMIFS('Daily Writing Log'!$H$5:$H$34,'Daily Writing Log'!$A$5:$A$34,$A410)</f>
        <v>0</v>
      </c>
      <c r="C410" s="107">
        <f ca="1">SUMIFS('Daily Writing Log'!$I$5:$I$34,'Daily Writing Log'!$A$5:$A$34,$A410)</f>
        <v>0</v>
      </c>
      <c r="D410" s="108">
        <f ca="1">IF($C410&gt;=Config!$B$5,1,0)</f>
        <v>0</v>
      </c>
      <c r="E410" s="108">
        <f t="shared" ca="1" si="23"/>
        <v>0</v>
      </c>
      <c r="F410" s="108">
        <f ca="1">IF(AND($D410=0,$H409&gt;0,$E410&lt;Config!$B$8,$A410&lt;Config!$A$2),1,0)</f>
        <v>0</v>
      </c>
      <c r="G410" s="108">
        <f t="shared" ca="1" si="24"/>
        <v>0</v>
      </c>
      <c r="H410" s="108">
        <f ca="1">IF($D410=1,$H409+1,IF($F410=1,$H409,IF($A410=Config!$A$2,$H409,0)))</f>
        <v>0</v>
      </c>
      <c r="M410" s="109"/>
    </row>
    <row r="411" spans="1:13" x14ac:dyDescent="0.3">
      <c r="A411" s="106">
        <f t="shared" ca="1" si="22"/>
        <v>45989</v>
      </c>
      <c r="B411" s="107">
        <f ca="1">SUMIFS('Daily Writing Log'!$H$5:$H$34,'Daily Writing Log'!$A$5:$A$34,$A411)</f>
        <v>0</v>
      </c>
      <c r="C411" s="107">
        <f ca="1">SUMIFS('Daily Writing Log'!$I$5:$I$34,'Daily Writing Log'!$A$5:$A$34,$A411)</f>
        <v>0</v>
      </c>
      <c r="D411" s="108">
        <f ca="1">IF($C411&gt;=Config!$B$5,1,0)</f>
        <v>0</v>
      </c>
      <c r="E411" s="108">
        <f t="shared" ca="1" si="23"/>
        <v>0</v>
      </c>
      <c r="F411" s="108">
        <f ca="1">IF(AND($D411=0,$H410&gt;0,$E411&lt;Config!$B$8,$A411&lt;Config!$A$2),1,0)</f>
        <v>0</v>
      </c>
      <c r="G411" s="108">
        <f t="shared" ca="1" si="24"/>
        <v>0</v>
      </c>
      <c r="H411" s="108">
        <f ca="1">IF($D411=1,$H410+1,IF($F411=1,$H410,IF($A411=Config!$A$2,$H410,0)))</f>
        <v>0</v>
      </c>
      <c r="M411" s="109"/>
    </row>
    <row r="412" spans="1:13" x14ac:dyDescent="0.3">
      <c r="A412" s="106">
        <f t="shared" ca="1" si="22"/>
        <v>45990</v>
      </c>
      <c r="B412" s="107">
        <f ca="1">SUMIFS('Daily Writing Log'!$H$5:$H$34,'Daily Writing Log'!$A$5:$A$34,$A412)</f>
        <v>0</v>
      </c>
      <c r="C412" s="107">
        <f ca="1">SUMIFS('Daily Writing Log'!$I$5:$I$34,'Daily Writing Log'!$A$5:$A$34,$A412)</f>
        <v>0</v>
      </c>
      <c r="D412" s="108">
        <f ca="1">IF($C412&gt;=Config!$B$5,1,0)</f>
        <v>0</v>
      </c>
      <c r="E412" s="108">
        <f t="shared" ca="1" si="23"/>
        <v>0</v>
      </c>
      <c r="F412" s="108">
        <f ca="1">IF(AND($D412=0,$H411&gt;0,$E412&lt;Config!$B$8,$A412&lt;Config!$A$2),1,0)</f>
        <v>0</v>
      </c>
      <c r="G412" s="108">
        <f t="shared" ca="1" si="24"/>
        <v>0</v>
      </c>
      <c r="H412" s="108">
        <f ca="1">IF($D412=1,$H411+1,IF($F412=1,$H411,IF($A412=Config!$A$2,$H411,0)))</f>
        <v>0</v>
      </c>
      <c r="M412" s="109"/>
    </row>
    <row r="413" spans="1:13" x14ac:dyDescent="0.3">
      <c r="A413" s="106">
        <f t="shared" ca="1" si="22"/>
        <v>45991</v>
      </c>
      <c r="B413" s="107">
        <f ca="1">SUMIFS('Daily Writing Log'!$H$5:$H$34,'Daily Writing Log'!$A$5:$A$34,$A413)</f>
        <v>0</v>
      </c>
      <c r="C413" s="107">
        <f ca="1">SUMIFS('Daily Writing Log'!$I$5:$I$34,'Daily Writing Log'!$A$5:$A$34,$A413)</f>
        <v>0</v>
      </c>
      <c r="D413" s="108">
        <f ca="1">IF($C413&gt;=Config!$B$5,1,0)</f>
        <v>0</v>
      </c>
      <c r="E413" s="108">
        <f t="shared" ca="1" si="23"/>
        <v>0</v>
      </c>
      <c r="F413" s="108">
        <f ca="1">IF(AND($D413=0,$H412&gt;0,$E413&lt;Config!$B$8,$A413&lt;Config!$A$2),1,0)</f>
        <v>0</v>
      </c>
      <c r="G413" s="108">
        <f t="shared" ca="1" si="24"/>
        <v>0</v>
      </c>
      <c r="H413" s="108">
        <f ca="1">IF($D413=1,$H412+1,IF($F413=1,$H412,IF($A413=Config!$A$2,$H412,0)))</f>
        <v>0</v>
      </c>
      <c r="M413" s="109"/>
    </row>
    <row r="414" spans="1:13" x14ac:dyDescent="0.3">
      <c r="A414" s="106">
        <f t="shared" ca="1" si="22"/>
        <v>45992</v>
      </c>
      <c r="B414" s="107">
        <f ca="1">SUMIFS('Daily Writing Log'!$H$5:$H$34,'Daily Writing Log'!$A$5:$A$34,$A414)</f>
        <v>0</v>
      </c>
      <c r="C414" s="107">
        <f ca="1">SUMIFS('Daily Writing Log'!$I$5:$I$34,'Daily Writing Log'!$A$5:$A$34,$A414)</f>
        <v>0</v>
      </c>
      <c r="D414" s="108">
        <f ca="1">IF($C414&gt;=Config!$B$5,1,0)</f>
        <v>0</v>
      </c>
      <c r="E414" s="108">
        <f t="shared" ca="1" si="23"/>
        <v>0</v>
      </c>
      <c r="F414" s="108">
        <f ca="1">IF(AND($D414=0,$H413&gt;0,$E414&lt;Config!$B$8,$A414&lt;Config!$A$2),1,0)</f>
        <v>0</v>
      </c>
      <c r="G414" s="108">
        <f t="shared" ca="1" si="24"/>
        <v>0</v>
      </c>
      <c r="H414" s="108">
        <f ca="1">IF($D414=1,$H413+1,IF($F414=1,$H413,IF($A414=Config!$A$2,$H413,0)))</f>
        <v>0</v>
      </c>
      <c r="M414" s="109"/>
    </row>
    <row r="415" spans="1:13" x14ac:dyDescent="0.3">
      <c r="A415" s="106">
        <f t="shared" ca="1" si="22"/>
        <v>45993</v>
      </c>
      <c r="B415" s="107">
        <f ca="1">SUMIFS('Daily Writing Log'!$H$5:$H$34,'Daily Writing Log'!$A$5:$A$34,$A415)</f>
        <v>0</v>
      </c>
      <c r="C415" s="107">
        <f ca="1">SUMIFS('Daily Writing Log'!$I$5:$I$34,'Daily Writing Log'!$A$5:$A$34,$A415)</f>
        <v>0</v>
      </c>
      <c r="D415" s="108">
        <f ca="1">IF($C415&gt;=Config!$B$5,1,0)</f>
        <v>0</v>
      </c>
      <c r="E415" s="108">
        <f t="shared" ca="1" si="23"/>
        <v>0</v>
      </c>
      <c r="F415" s="108">
        <f ca="1">IF(AND($D415=0,$H414&gt;0,$E415&lt;Config!$B$8,$A415&lt;Config!$A$2),1,0)</f>
        <v>0</v>
      </c>
      <c r="G415" s="108">
        <f t="shared" ca="1" si="24"/>
        <v>0</v>
      </c>
      <c r="H415" s="108">
        <f ca="1">IF($D415=1,$H414+1,IF($F415=1,$H414,IF($A415=Config!$A$2,$H414,0)))</f>
        <v>0</v>
      </c>
      <c r="M415" s="109"/>
    </row>
    <row r="416" spans="1:13" x14ac:dyDescent="0.3">
      <c r="A416" s="106">
        <f t="shared" ca="1" si="22"/>
        <v>45994</v>
      </c>
      <c r="B416" s="107">
        <f ca="1">SUMIFS('Daily Writing Log'!$H$5:$H$34,'Daily Writing Log'!$A$5:$A$34,$A416)</f>
        <v>0</v>
      </c>
      <c r="C416" s="107">
        <f ca="1">SUMIFS('Daily Writing Log'!$I$5:$I$34,'Daily Writing Log'!$A$5:$A$34,$A416)</f>
        <v>0</v>
      </c>
      <c r="D416" s="108">
        <f ca="1">IF($C416&gt;=Config!$B$5,1,0)</f>
        <v>0</v>
      </c>
      <c r="E416" s="108">
        <f t="shared" ca="1" si="23"/>
        <v>0</v>
      </c>
      <c r="F416" s="108">
        <f ca="1">IF(AND($D416=0,$H415&gt;0,$E416&lt;Config!$B$8,$A416&lt;Config!$A$2),1,0)</f>
        <v>0</v>
      </c>
      <c r="G416" s="108">
        <f t="shared" ca="1" si="24"/>
        <v>0</v>
      </c>
      <c r="H416" s="108">
        <f ca="1">IF($D416=1,$H415+1,IF($F416=1,$H415,IF($A416=Config!$A$2,$H415,0)))</f>
        <v>0</v>
      </c>
      <c r="M416" s="109"/>
    </row>
    <row r="417" spans="1:13" x14ac:dyDescent="0.3">
      <c r="A417" s="106">
        <f t="shared" ca="1" si="22"/>
        <v>45995</v>
      </c>
      <c r="B417" s="107">
        <f ca="1">SUMIFS('Daily Writing Log'!$H$5:$H$34,'Daily Writing Log'!$A$5:$A$34,$A417)</f>
        <v>0</v>
      </c>
      <c r="C417" s="107">
        <f ca="1">SUMIFS('Daily Writing Log'!$I$5:$I$34,'Daily Writing Log'!$A$5:$A$34,$A417)</f>
        <v>0</v>
      </c>
      <c r="D417" s="108">
        <f ca="1">IF($C417&gt;=Config!$B$5,1,0)</f>
        <v>0</v>
      </c>
      <c r="E417" s="108">
        <f t="shared" ca="1" si="23"/>
        <v>0</v>
      </c>
      <c r="F417" s="108">
        <f ca="1">IF(AND($D417=0,$H416&gt;0,$E417&lt;Config!$B$8,$A417&lt;Config!$A$2),1,0)</f>
        <v>0</v>
      </c>
      <c r="G417" s="108">
        <f t="shared" ca="1" si="24"/>
        <v>0</v>
      </c>
      <c r="H417" s="108">
        <f ca="1">IF($D417=1,$H416+1,IF($F417=1,$H416,IF($A417=Config!$A$2,$H416,0)))</f>
        <v>0</v>
      </c>
      <c r="M417" s="109"/>
    </row>
    <row r="418" spans="1:13" x14ac:dyDescent="0.3">
      <c r="A418" s="106">
        <f t="shared" ca="1" si="22"/>
        <v>45996</v>
      </c>
      <c r="B418" s="107">
        <f ca="1">SUMIFS('Daily Writing Log'!$H$5:$H$34,'Daily Writing Log'!$A$5:$A$34,$A418)</f>
        <v>0</v>
      </c>
      <c r="C418" s="107">
        <f ca="1">SUMIFS('Daily Writing Log'!$I$5:$I$34,'Daily Writing Log'!$A$5:$A$34,$A418)</f>
        <v>0</v>
      </c>
      <c r="D418" s="108">
        <f ca="1">IF($C418&gt;=Config!$B$5,1,0)</f>
        <v>0</v>
      </c>
      <c r="E418" s="108">
        <f t="shared" ca="1" si="23"/>
        <v>0</v>
      </c>
      <c r="F418" s="108">
        <f ca="1">IF(AND($D418=0,$H417&gt;0,$E418&lt;Config!$B$8,$A418&lt;Config!$A$2),1,0)</f>
        <v>0</v>
      </c>
      <c r="G418" s="108">
        <f t="shared" ca="1" si="24"/>
        <v>0</v>
      </c>
      <c r="H418" s="108">
        <f ca="1">IF($D418=1,$H417+1,IF($F418=1,$H417,IF($A418=Config!$A$2,$H417,0)))</f>
        <v>0</v>
      </c>
      <c r="M418" s="109"/>
    </row>
    <row r="419" spans="1:13" x14ac:dyDescent="0.3">
      <c r="A419" s="106">
        <f t="shared" ca="1" si="22"/>
        <v>45997</v>
      </c>
      <c r="B419" s="107">
        <f ca="1">SUMIFS('Daily Writing Log'!$H$5:$H$34,'Daily Writing Log'!$A$5:$A$34,$A419)</f>
        <v>0</v>
      </c>
      <c r="C419" s="107">
        <f ca="1">SUMIFS('Daily Writing Log'!$I$5:$I$34,'Daily Writing Log'!$A$5:$A$34,$A419)</f>
        <v>0</v>
      </c>
      <c r="D419" s="108">
        <f ca="1">IF($C419&gt;=Config!$B$5,1,0)</f>
        <v>0</v>
      </c>
      <c r="E419" s="108">
        <f t="shared" ca="1" si="23"/>
        <v>0</v>
      </c>
      <c r="F419" s="108">
        <f ca="1">IF(AND($D419=0,$H418&gt;0,$E419&lt;Config!$B$8,$A419&lt;Config!$A$2),1,0)</f>
        <v>0</v>
      </c>
      <c r="G419" s="108">
        <f t="shared" ca="1" si="24"/>
        <v>0</v>
      </c>
      <c r="H419" s="108">
        <f ca="1">IF($D419=1,$H418+1,IF($F419=1,$H418,IF($A419=Config!$A$2,$H418,0)))</f>
        <v>0</v>
      </c>
      <c r="M419" s="109"/>
    </row>
    <row r="420" spans="1:13" x14ac:dyDescent="0.3">
      <c r="A420" s="106">
        <f t="shared" ca="1" si="22"/>
        <v>45998</v>
      </c>
      <c r="B420" s="107">
        <f ca="1">SUMIFS('Daily Writing Log'!$H$5:$H$34,'Daily Writing Log'!$A$5:$A$34,$A420)</f>
        <v>0</v>
      </c>
      <c r="C420" s="107">
        <f ca="1">SUMIFS('Daily Writing Log'!$I$5:$I$34,'Daily Writing Log'!$A$5:$A$34,$A420)</f>
        <v>0</v>
      </c>
      <c r="D420" s="108">
        <f ca="1">IF($C420&gt;=Config!$B$5,1,0)</f>
        <v>0</v>
      </c>
      <c r="E420" s="108">
        <f t="shared" ca="1" si="23"/>
        <v>0</v>
      </c>
      <c r="F420" s="108">
        <f ca="1">IF(AND($D420=0,$H419&gt;0,$E420&lt;Config!$B$8,$A420&lt;Config!$A$2),1,0)</f>
        <v>0</v>
      </c>
      <c r="G420" s="108">
        <f t="shared" ca="1" si="24"/>
        <v>0</v>
      </c>
      <c r="H420" s="108">
        <f ca="1">IF($D420=1,$H419+1,IF($F420=1,$H419,IF($A420=Config!$A$2,$H419,0)))</f>
        <v>0</v>
      </c>
      <c r="M420" s="109"/>
    </row>
    <row r="421" spans="1:13" x14ac:dyDescent="0.3">
      <c r="A421" s="106">
        <f t="shared" ca="1" si="22"/>
        <v>45999</v>
      </c>
      <c r="B421" s="107">
        <f ca="1">SUMIFS('Daily Writing Log'!$H$5:$H$34,'Daily Writing Log'!$A$5:$A$34,$A421)</f>
        <v>0</v>
      </c>
      <c r="C421" s="107">
        <f ca="1">SUMIFS('Daily Writing Log'!$I$5:$I$34,'Daily Writing Log'!$A$5:$A$34,$A421)</f>
        <v>0</v>
      </c>
      <c r="D421" s="108">
        <f ca="1">IF($C421&gt;=Config!$B$5,1,0)</f>
        <v>0</v>
      </c>
      <c r="E421" s="108">
        <f t="shared" ca="1" si="23"/>
        <v>0</v>
      </c>
      <c r="F421" s="108">
        <f ca="1">IF(AND($D421=0,$H420&gt;0,$E421&lt;Config!$B$8,$A421&lt;Config!$A$2),1,0)</f>
        <v>0</v>
      </c>
      <c r="G421" s="108">
        <f t="shared" ca="1" si="24"/>
        <v>0</v>
      </c>
      <c r="H421" s="108">
        <f ca="1">IF($D421=1,$H420+1,IF($F421=1,$H420,IF($A421=Config!$A$2,$H420,0)))</f>
        <v>0</v>
      </c>
      <c r="M421" s="109"/>
    </row>
    <row r="422" spans="1:13" x14ac:dyDescent="0.3">
      <c r="A422" s="106">
        <f t="shared" ca="1" si="22"/>
        <v>46000</v>
      </c>
      <c r="B422" s="107">
        <f ca="1">SUMIFS('Daily Writing Log'!$H$5:$H$34,'Daily Writing Log'!$A$5:$A$34,$A422)</f>
        <v>0</v>
      </c>
      <c r="C422" s="107">
        <f ca="1">SUMIFS('Daily Writing Log'!$I$5:$I$34,'Daily Writing Log'!$A$5:$A$34,$A422)</f>
        <v>0</v>
      </c>
      <c r="D422" s="108">
        <f ca="1">IF($C422&gt;=Config!$B$5,1,0)</f>
        <v>0</v>
      </c>
      <c r="E422" s="108">
        <f t="shared" ca="1" si="23"/>
        <v>0</v>
      </c>
      <c r="F422" s="108">
        <f ca="1">IF(AND($D422=0,$H421&gt;0,$E422&lt;Config!$B$8,$A422&lt;Config!$A$2),1,0)</f>
        <v>0</v>
      </c>
      <c r="G422" s="108">
        <f t="shared" ca="1" si="24"/>
        <v>0</v>
      </c>
      <c r="H422" s="108">
        <f ca="1">IF($D422=1,$H421+1,IF($F422=1,$H421,IF($A422=Config!$A$2,$H421,0)))</f>
        <v>0</v>
      </c>
      <c r="M422" s="109"/>
    </row>
    <row r="423" spans="1:13" x14ac:dyDescent="0.3">
      <c r="A423" s="106">
        <f t="shared" ca="1" si="22"/>
        <v>46001</v>
      </c>
      <c r="B423" s="107">
        <f ca="1">SUMIFS('Daily Writing Log'!$H$5:$H$34,'Daily Writing Log'!$A$5:$A$34,$A423)</f>
        <v>0</v>
      </c>
      <c r="C423" s="107">
        <f ca="1">SUMIFS('Daily Writing Log'!$I$5:$I$34,'Daily Writing Log'!$A$5:$A$34,$A423)</f>
        <v>0</v>
      </c>
      <c r="D423" s="108">
        <f ca="1">IF($C423&gt;=Config!$B$5,1,0)</f>
        <v>0</v>
      </c>
      <c r="E423" s="108">
        <f t="shared" ca="1" si="23"/>
        <v>0</v>
      </c>
      <c r="F423" s="108">
        <f ca="1">IF(AND($D423=0,$H422&gt;0,$E423&lt;Config!$B$8,$A423&lt;Config!$A$2),1,0)</f>
        <v>0</v>
      </c>
      <c r="G423" s="108">
        <f t="shared" ca="1" si="24"/>
        <v>0</v>
      </c>
      <c r="H423" s="108">
        <f ca="1">IF($D423=1,$H422+1,IF($F423=1,$H422,IF($A423=Config!$A$2,$H422,0)))</f>
        <v>0</v>
      </c>
      <c r="M423" s="109"/>
    </row>
    <row r="424" spans="1:13" x14ac:dyDescent="0.3">
      <c r="A424" s="106">
        <f t="shared" ca="1" si="22"/>
        <v>46002</v>
      </c>
      <c r="B424" s="107">
        <f ca="1">SUMIFS('Daily Writing Log'!$H$5:$H$34,'Daily Writing Log'!$A$5:$A$34,$A424)</f>
        <v>0</v>
      </c>
      <c r="C424" s="107">
        <f ca="1">SUMIFS('Daily Writing Log'!$I$5:$I$34,'Daily Writing Log'!$A$5:$A$34,$A424)</f>
        <v>0</v>
      </c>
      <c r="D424" s="108">
        <f ca="1">IF($C424&gt;=Config!$B$5,1,0)</f>
        <v>0</v>
      </c>
      <c r="E424" s="108">
        <f t="shared" ca="1" si="23"/>
        <v>0</v>
      </c>
      <c r="F424" s="108">
        <f ca="1">IF(AND($D424=0,$H423&gt;0,$E424&lt;Config!$B$8,$A424&lt;Config!$A$2),1,0)</f>
        <v>0</v>
      </c>
      <c r="G424" s="108">
        <f t="shared" ca="1" si="24"/>
        <v>0</v>
      </c>
      <c r="H424" s="108">
        <f ca="1">IF($D424=1,$H423+1,IF($F424=1,$H423,IF($A424=Config!$A$2,$H423,0)))</f>
        <v>0</v>
      </c>
      <c r="M424" s="109"/>
    </row>
    <row r="425" spans="1:13" x14ac:dyDescent="0.3">
      <c r="A425" s="106">
        <f t="shared" ca="1" si="22"/>
        <v>46003</v>
      </c>
      <c r="B425" s="107">
        <f ca="1">SUMIFS('Daily Writing Log'!$H$5:$H$34,'Daily Writing Log'!$A$5:$A$34,$A425)</f>
        <v>0</v>
      </c>
      <c r="C425" s="107">
        <f ca="1">SUMIFS('Daily Writing Log'!$I$5:$I$34,'Daily Writing Log'!$A$5:$A$34,$A425)</f>
        <v>0</v>
      </c>
      <c r="D425" s="108">
        <f ca="1">IF($C425&gt;=Config!$B$5,1,0)</f>
        <v>0</v>
      </c>
      <c r="E425" s="108">
        <f t="shared" ca="1" si="23"/>
        <v>0</v>
      </c>
      <c r="F425" s="108">
        <f ca="1">IF(AND($D425=0,$H424&gt;0,$E425&lt;Config!$B$8,$A425&lt;Config!$A$2),1,0)</f>
        <v>0</v>
      </c>
      <c r="G425" s="108">
        <f t="shared" ca="1" si="24"/>
        <v>0</v>
      </c>
      <c r="H425" s="108">
        <f ca="1">IF($D425=1,$H424+1,IF($F425=1,$H424,IF($A425=Config!$A$2,$H424,0)))</f>
        <v>0</v>
      </c>
      <c r="M425" s="109"/>
    </row>
    <row r="426" spans="1:13" x14ac:dyDescent="0.3">
      <c r="A426" s="106">
        <f t="shared" ca="1" si="22"/>
        <v>46004</v>
      </c>
      <c r="B426" s="107">
        <f ca="1">SUMIFS('Daily Writing Log'!$H$5:$H$34,'Daily Writing Log'!$A$5:$A$34,$A426)</f>
        <v>0</v>
      </c>
      <c r="C426" s="107">
        <f ca="1">SUMIFS('Daily Writing Log'!$I$5:$I$34,'Daily Writing Log'!$A$5:$A$34,$A426)</f>
        <v>0</v>
      </c>
      <c r="D426" s="108">
        <f ca="1">IF($C426&gt;=Config!$B$5,1,0)</f>
        <v>0</v>
      </c>
      <c r="E426" s="108">
        <f t="shared" ca="1" si="23"/>
        <v>0</v>
      </c>
      <c r="F426" s="108">
        <f ca="1">IF(AND($D426=0,$H425&gt;0,$E426&lt;Config!$B$8,$A426&lt;Config!$A$2),1,0)</f>
        <v>0</v>
      </c>
      <c r="G426" s="108">
        <f t="shared" ca="1" si="24"/>
        <v>0</v>
      </c>
      <c r="H426" s="108">
        <f ca="1">IF($D426=1,$H425+1,IF($F426=1,$H425,IF($A426=Config!$A$2,$H425,0)))</f>
        <v>0</v>
      </c>
      <c r="M426" s="109"/>
    </row>
    <row r="427" spans="1:13" x14ac:dyDescent="0.3">
      <c r="A427" s="106">
        <f t="shared" ca="1" si="22"/>
        <v>46005</v>
      </c>
      <c r="B427" s="107">
        <f ca="1">SUMIFS('Daily Writing Log'!$H$5:$H$34,'Daily Writing Log'!$A$5:$A$34,$A427)</f>
        <v>0</v>
      </c>
      <c r="C427" s="107">
        <f ca="1">SUMIFS('Daily Writing Log'!$I$5:$I$34,'Daily Writing Log'!$A$5:$A$34,$A427)</f>
        <v>0</v>
      </c>
      <c r="D427" s="108">
        <f ca="1">IF($C427&gt;=Config!$B$5,1,0)</f>
        <v>0</v>
      </c>
      <c r="E427" s="108">
        <f t="shared" ca="1" si="23"/>
        <v>0</v>
      </c>
      <c r="F427" s="108">
        <f ca="1">IF(AND($D427=0,$H426&gt;0,$E427&lt;Config!$B$8,$A427&lt;Config!$A$2),1,0)</f>
        <v>0</v>
      </c>
      <c r="G427" s="108">
        <f t="shared" ca="1" si="24"/>
        <v>0</v>
      </c>
      <c r="H427" s="108">
        <f ca="1">IF($D427=1,$H426+1,IF($F427=1,$H426,IF($A427=Config!$A$2,$H426,0)))</f>
        <v>0</v>
      </c>
      <c r="M427" s="109"/>
    </row>
    <row r="428" spans="1:13" x14ac:dyDescent="0.3">
      <c r="A428" s="106">
        <f t="shared" ca="1" si="22"/>
        <v>46006</v>
      </c>
      <c r="B428" s="107">
        <f ca="1">SUMIFS('Daily Writing Log'!$H$5:$H$34,'Daily Writing Log'!$A$5:$A$34,$A428)</f>
        <v>0</v>
      </c>
      <c r="C428" s="107">
        <f ca="1">SUMIFS('Daily Writing Log'!$I$5:$I$34,'Daily Writing Log'!$A$5:$A$34,$A428)</f>
        <v>0</v>
      </c>
      <c r="D428" s="108">
        <f ca="1">IF($C428&gt;=Config!$B$5,1,0)</f>
        <v>0</v>
      </c>
      <c r="E428" s="108">
        <f t="shared" ca="1" si="23"/>
        <v>0</v>
      </c>
      <c r="F428" s="108">
        <f ca="1">IF(AND($D428=0,$H427&gt;0,$E428&lt;Config!$B$8,$A428&lt;Config!$A$2),1,0)</f>
        <v>0</v>
      </c>
      <c r="G428" s="108">
        <f t="shared" ca="1" si="24"/>
        <v>0</v>
      </c>
      <c r="H428" s="108">
        <f ca="1">IF($D428=1,$H427+1,IF($F428=1,$H427,IF($A428=Config!$A$2,$H427,0)))</f>
        <v>0</v>
      </c>
      <c r="M428" s="109"/>
    </row>
    <row r="429" spans="1:13" x14ac:dyDescent="0.3">
      <c r="A429" s="106">
        <f t="shared" ca="1" si="22"/>
        <v>46007</v>
      </c>
      <c r="B429" s="107">
        <f ca="1">SUMIFS('Daily Writing Log'!$H$5:$H$34,'Daily Writing Log'!$A$5:$A$34,$A429)</f>
        <v>0</v>
      </c>
      <c r="C429" s="107">
        <f ca="1">SUMIFS('Daily Writing Log'!$I$5:$I$34,'Daily Writing Log'!$A$5:$A$34,$A429)</f>
        <v>0</v>
      </c>
      <c r="D429" s="108">
        <f ca="1">IF($C429&gt;=Config!$B$5,1,0)</f>
        <v>0</v>
      </c>
      <c r="E429" s="108">
        <f t="shared" ca="1" si="23"/>
        <v>0</v>
      </c>
      <c r="F429" s="108">
        <f ca="1">IF(AND($D429=0,$H428&gt;0,$E429&lt;Config!$B$8,$A429&lt;Config!$A$2),1,0)</f>
        <v>0</v>
      </c>
      <c r="G429" s="108">
        <f t="shared" ca="1" si="24"/>
        <v>0</v>
      </c>
      <c r="H429" s="108">
        <f ca="1">IF($D429=1,$H428+1,IF($F429=1,$H428,IF($A429=Config!$A$2,$H428,0)))</f>
        <v>0</v>
      </c>
      <c r="M429" s="109"/>
    </row>
    <row r="430" spans="1:13" x14ac:dyDescent="0.3">
      <c r="A430" s="106">
        <f t="shared" ca="1" si="22"/>
        <v>46008</v>
      </c>
      <c r="B430" s="107">
        <f ca="1">SUMIFS('Daily Writing Log'!$H$5:$H$34,'Daily Writing Log'!$A$5:$A$34,$A430)</f>
        <v>0</v>
      </c>
      <c r="C430" s="107">
        <f ca="1">SUMIFS('Daily Writing Log'!$I$5:$I$34,'Daily Writing Log'!$A$5:$A$34,$A430)</f>
        <v>0</v>
      </c>
      <c r="D430" s="108">
        <f ca="1">IF($C430&gt;=Config!$B$5,1,0)</f>
        <v>0</v>
      </c>
      <c r="E430" s="108">
        <f t="shared" ca="1" si="23"/>
        <v>0</v>
      </c>
      <c r="F430" s="108">
        <f ca="1">IF(AND($D430=0,$H429&gt;0,$E430&lt;Config!$B$8,$A430&lt;Config!$A$2),1,0)</f>
        <v>0</v>
      </c>
      <c r="G430" s="108">
        <f t="shared" ca="1" si="24"/>
        <v>0</v>
      </c>
      <c r="H430" s="108">
        <f ca="1">IF($D430=1,$H429+1,IF($F430=1,$H429,IF($A430=Config!$A$2,$H429,0)))</f>
        <v>0</v>
      </c>
      <c r="M430" s="109"/>
    </row>
    <row r="431" spans="1:13" x14ac:dyDescent="0.3">
      <c r="A431" s="106">
        <f t="shared" ca="1" si="22"/>
        <v>46009</v>
      </c>
      <c r="B431" s="107">
        <f ca="1">SUMIFS('Daily Writing Log'!$H$5:$H$34,'Daily Writing Log'!$A$5:$A$34,$A431)</f>
        <v>0</v>
      </c>
      <c r="C431" s="107">
        <f ca="1">SUMIFS('Daily Writing Log'!$I$5:$I$34,'Daily Writing Log'!$A$5:$A$34,$A431)</f>
        <v>0</v>
      </c>
      <c r="D431" s="108">
        <f ca="1">IF($C431&gt;=Config!$B$5,1,0)</f>
        <v>0</v>
      </c>
      <c r="E431" s="108">
        <f t="shared" ca="1" si="23"/>
        <v>0</v>
      </c>
      <c r="F431" s="108">
        <f ca="1">IF(AND($D431=0,$H430&gt;0,$E431&lt;Config!$B$8,$A431&lt;Config!$A$2),1,0)</f>
        <v>0</v>
      </c>
      <c r="G431" s="108">
        <f t="shared" ca="1" si="24"/>
        <v>0</v>
      </c>
      <c r="H431" s="108">
        <f ca="1">IF($D431=1,$H430+1,IF($F431=1,$H430,IF($A431=Config!$A$2,$H430,0)))</f>
        <v>0</v>
      </c>
      <c r="M431" s="109"/>
    </row>
    <row r="432" spans="1:13" x14ac:dyDescent="0.3">
      <c r="A432" s="106">
        <f t="shared" ca="1" si="22"/>
        <v>46010</v>
      </c>
      <c r="B432" s="107">
        <f ca="1">SUMIFS('Daily Writing Log'!$H$5:$H$34,'Daily Writing Log'!$A$5:$A$34,$A432)</f>
        <v>0</v>
      </c>
      <c r="C432" s="107">
        <f ca="1">SUMIFS('Daily Writing Log'!$I$5:$I$34,'Daily Writing Log'!$A$5:$A$34,$A432)</f>
        <v>0</v>
      </c>
      <c r="D432" s="108">
        <f ca="1">IF($C432&gt;=Config!$B$5,1,0)</f>
        <v>0</v>
      </c>
      <c r="E432" s="108">
        <f t="shared" ca="1" si="23"/>
        <v>0</v>
      </c>
      <c r="F432" s="108">
        <f ca="1">IF(AND($D432=0,$H431&gt;0,$E432&lt;Config!$B$8,$A432&lt;Config!$A$2),1,0)</f>
        <v>0</v>
      </c>
      <c r="G432" s="108">
        <f t="shared" ca="1" si="24"/>
        <v>0</v>
      </c>
      <c r="H432" s="108">
        <f ca="1">IF($D432=1,$H431+1,IF($F432=1,$H431,IF($A432=Config!$A$2,$H431,0)))</f>
        <v>0</v>
      </c>
      <c r="M432" s="109"/>
    </row>
    <row r="433" spans="1:13" x14ac:dyDescent="0.3">
      <c r="A433" s="106">
        <f t="shared" ca="1" si="22"/>
        <v>46011</v>
      </c>
      <c r="B433" s="107">
        <f ca="1">SUMIFS('Daily Writing Log'!$H$5:$H$34,'Daily Writing Log'!$A$5:$A$34,$A433)</f>
        <v>0</v>
      </c>
      <c r="C433" s="107">
        <f ca="1">SUMIFS('Daily Writing Log'!$I$5:$I$34,'Daily Writing Log'!$A$5:$A$34,$A433)</f>
        <v>0</v>
      </c>
      <c r="D433" s="108">
        <f ca="1">IF($C433&gt;=Config!$B$5,1,0)</f>
        <v>0</v>
      </c>
      <c r="E433" s="108">
        <f t="shared" ca="1" si="23"/>
        <v>0</v>
      </c>
      <c r="F433" s="108">
        <f ca="1">IF(AND($D433=0,$H432&gt;0,$E433&lt;Config!$B$8,$A433&lt;Config!$A$2),1,0)</f>
        <v>0</v>
      </c>
      <c r="G433" s="108">
        <f t="shared" ca="1" si="24"/>
        <v>0</v>
      </c>
      <c r="H433" s="108">
        <f ca="1">IF($D433=1,$H432+1,IF($F433=1,$H432,IF($A433=Config!$A$2,$H432,0)))</f>
        <v>0</v>
      </c>
      <c r="M433" s="109"/>
    </row>
    <row r="434" spans="1:13" x14ac:dyDescent="0.3">
      <c r="A434" s="106">
        <f t="shared" ca="1" si="22"/>
        <v>46012</v>
      </c>
      <c r="B434" s="107">
        <f ca="1">SUMIFS('Daily Writing Log'!$H$5:$H$34,'Daily Writing Log'!$A$5:$A$34,$A434)</f>
        <v>0</v>
      </c>
      <c r="C434" s="107">
        <f ca="1">SUMIFS('Daily Writing Log'!$I$5:$I$34,'Daily Writing Log'!$A$5:$A$34,$A434)</f>
        <v>0</v>
      </c>
      <c r="D434" s="108">
        <f ca="1">IF($C434&gt;=Config!$B$5,1,0)</f>
        <v>0</v>
      </c>
      <c r="E434" s="108">
        <f t="shared" ca="1" si="23"/>
        <v>0</v>
      </c>
      <c r="F434" s="108">
        <f ca="1">IF(AND($D434=0,$H433&gt;0,$E434&lt;Config!$B$8,$A434&lt;Config!$A$2),1,0)</f>
        <v>0</v>
      </c>
      <c r="G434" s="108">
        <f t="shared" ca="1" si="24"/>
        <v>0</v>
      </c>
      <c r="H434" s="108">
        <f ca="1">IF($D434=1,$H433+1,IF($F434=1,$H433,IF($A434=Config!$A$2,$H433,0)))</f>
        <v>0</v>
      </c>
      <c r="M434" s="109"/>
    </row>
    <row r="435" spans="1:13" x14ac:dyDescent="0.3">
      <c r="A435" s="106">
        <f t="shared" ca="1" si="22"/>
        <v>46013</v>
      </c>
      <c r="B435" s="107">
        <f ca="1">SUMIFS('Daily Writing Log'!$H$5:$H$34,'Daily Writing Log'!$A$5:$A$34,$A435)</f>
        <v>0</v>
      </c>
      <c r="C435" s="107">
        <f ca="1">SUMIFS('Daily Writing Log'!$I$5:$I$34,'Daily Writing Log'!$A$5:$A$34,$A435)</f>
        <v>0</v>
      </c>
      <c r="D435" s="108">
        <f ca="1">IF($C435&gt;=Config!$B$5,1,0)</f>
        <v>0</v>
      </c>
      <c r="E435" s="108">
        <f t="shared" ca="1" si="23"/>
        <v>0</v>
      </c>
      <c r="F435" s="108">
        <f ca="1">IF(AND($D435=0,$H434&gt;0,$E435&lt;Config!$B$8,$A435&lt;Config!$A$2),1,0)</f>
        <v>0</v>
      </c>
      <c r="G435" s="108">
        <f t="shared" ca="1" si="24"/>
        <v>0</v>
      </c>
      <c r="H435" s="108">
        <f ca="1">IF($D435=1,$H434+1,IF($F435=1,$H434,IF($A435=Config!$A$2,$H434,0)))</f>
        <v>0</v>
      </c>
      <c r="M435" s="109"/>
    </row>
    <row r="436" spans="1:13" x14ac:dyDescent="0.3">
      <c r="A436" s="106">
        <f t="shared" ca="1" si="22"/>
        <v>46014</v>
      </c>
      <c r="B436" s="107">
        <f ca="1">SUMIFS('Daily Writing Log'!$H$5:$H$34,'Daily Writing Log'!$A$5:$A$34,$A436)</f>
        <v>0</v>
      </c>
      <c r="C436" s="107">
        <f ca="1">SUMIFS('Daily Writing Log'!$I$5:$I$34,'Daily Writing Log'!$A$5:$A$34,$A436)</f>
        <v>0</v>
      </c>
      <c r="D436" s="108">
        <f ca="1">IF($C436&gt;=Config!$B$5,1,0)</f>
        <v>0</v>
      </c>
      <c r="E436" s="108">
        <f t="shared" ca="1" si="23"/>
        <v>0</v>
      </c>
      <c r="F436" s="108">
        <f ca="1">IF(AND($D436=0,$H435&gt;0,$E436&lt;Config!$B$8,$A436&lt;Config!$A$2),1,0)</f>
        <v>0</v>
      </c>
      <c r="G436" s="108">
        <f t="shared" ca="1" si="24"/>
        <v>0</v>
      </c>
      <c r="H436" s="108">
        <f ca="1">IF($D436=1,$H435+1,IF($F436=1,$H435,IF($A436=Config!$A$2,$H435,0)))</f>
        <v>0</v>
      </c>
      <c r="M436" s="109"/>
    </row>
    <row r="437" spans="1:13" x14ac:dyDescent="0.3">
      <c r="A437" s="106">
        <f t="shared" ca="1" si="22"/>
        <v>46015</v>
      </c>
      <c r="B437" s="107">
        <f ca="1">SUMIFS('Daily Writing Log'!$H$5:$H$34,'Daily Writing Log'!$A$5:$A$34,$A437)</f>
        <v>0</v>
      </c>
      <c r="C437" s="107">
        <f ca="1">SUMIFS('Daily Writing Log'!$I$5:$I$34,'Daily Writing Log'!$A$5:$A$34,$A437)</f>
        <v>0</v>
      </c>
      <c r="D437" s="108">
        <f ca="1">IF($C437&gt;=Config!$B$5,1,0)</f>
        <v>0</v>
      </c>
      <c r="E437" s="108">
        <f t="shared" ca="1" si="23"/>
        <v>0</v>
      </c>
      <c r="F437" s="108">
        <f ca="1">IF(AND($D437=0,$H436&gt;0,$E437&lt;Config!$B$8,$A437&lt;Config!$A$2),1,0)</f>
        <v>0</v>
      </c>
      <c r="G437" s="108">
        <f t="shared" ca="1" si="24"/>
        <v>0</v>
      </c>
      <c r="H437" s="108">
        <f ca="1">IF($D437=1,$H436+1,IF($F437=1,$H436,IF($A437=Config!$A$2,$H436,0)))</f>
        <v>0</v>
      </c>
      <c r="M437" s="109"/>
    </row>
    <row r="438" spans="1:13" x14ac:dyDescent="0.3">
      <c r="A438" s="106">
        <f t="shared" ca="1" si="22"/>
        <v>46016</v>
      </c>
      <c r="B438" s="107">
        <f ca="1">SUMIFS('Daily Writing Log'!$H$5:$H$34,'Daily Writing Log'!$A$5:$A$34,$A438)</f>
        <v>0</v>
      </c>
      <c r="C438" s="107">
        <f ca="1">SUMIFS('Daily Writing Log'!$I$5:$I$34,'Daily Writing Log'!$A$5:$A$34,$A438)</f>
        <v>0</v>
      </c>
      <c r="D438" s="108">
        <f ca="1">IF($C438&gt;=Config!$B$5,1,0)</f>
        <v>0</v>
      </c>
      <c r="E438" s="108">
        <f t="shared" ca="1" si="23"/>
        <v>0</v>
      </c>
      <c r="F438" s="108">
        <f ca="1">IF(AND($D438=0,$H437&gt;0,$E438&lt;Config!$B$8,$A438&lt;Config!$A$2),1,0)</f>
        <v>0</v>
      </c>
      <c r="G438" s="108">
        <f t="shared" ca="1" si="24"/>
        <v>0</v>
      </c>
      <c r="H438" s="108">
        <f ca="1">IF($D438=1,$H437+1,IF($F438=1,$H437,IF($A438=Config!$A$2,$H437,0)))</f>
        <v>0</v>
      </c>
      <c r="M438" s="109"/>
    </row>
    <row r="439" spans="1:13" x14ac:dyDescent="0.3">
      <c r="A439" s="106">
        <f t="shared" ca="1" si="22"/>
        <v>46017</v>
      </c>
      <c r="B439" s="107">
        <f ca="1">SUMIFS('Daily Writing Log'!$H$5:$H$34,'Daily Writing Log'!$A$5:$A$34,$A439)</f>
        <v>0</v>
      </c>
      <c r="C439" s="107">
        <f ca="1">SUMIFS('Daily Writing Log'!$I$5:$I$34,'Daily Writing Log'!$A$5:$A$34,$A439)</f>
        <v>0</v>
      </c>
      <c r="D439" s="108">
        <f ca="1">IF($C439&gt;=Config!$B$5,1,0)</f>
        <v>0</v>
      </c>
      <c r="E439" s="108">
        <f t="shared" ca="1" si="23"/>
        <v>0</v>
      </c>
      <c r="F439" s="108">
        <f ca="1">IF(AND($D439=0,$H438&gt;0,$E439&lt;Config!$B$8,$A439&lt;Config!$A$2),1,0)</f>
        <v>0</v>
      </c>
      <c r="G439" s="108">
        <f t="shared" ca="1" si="24"/>
        <v>0</v>
      </c>
      <c r="H439" s="108">
        <f ca="1">IF($D439=1,$H438+1,IF($F439=1,$H438,IF($A439=Config!$A$2,$H438,0)))</f>
        <v>0</v>
      </c>
      <c r="M439" s="109"/>
    </row>
    <row r="440" spans="1:13" x14ac:dyDescent="0.3">
      <c r="A440" s="106">
        <f t="shared" ca="1" si="22"/>
        <v>46018</v>
      </c>
      <c r="B440" s="107">
        <f ca="1">SUMIFS('Daily Writing Log'!$H$5:$H$34,'Daily Writing Log'!$A$5:$A$34,$A440)</f>
        <v>0</v>
      </c>
      <c r="C440" s="107">
        <f ca="1">SUMIFS('Daily Writing Log'!$I$5:$I$34,'Daily Writing Log'!$A$5:$A$34,$A440)</f>
        <v>0</v>
      </c>
      <c r="D440" s="108">
        <f ca="1">IF($C440&gt;=Config!$B$5,1,0)</f>
        <v>0</v>
      </c>
      <c r="E440" s="108">
        <f t="shared" ca="1" si="23"/>
        <v>0</v>
      </c>
      <c r="F440" s="108">
        <f ca="1">IF(AND($D440=0,$H439&gt;0,$E440&lt;Config!$B$8,$A440&lt;Config!$A$2),1,0)</f>
        <v>0</v>
      </c>
      <c r="G440" s="108">
        <f t="shared" ca="1" si="24"/>
        <v>0</v>
      </c>
      <c r="H440" s="108">
        <f ca="1">IF($D440=1,$H439+1,IF($F440=1,$H439,IF($A440=Config!$A$2,$H439,0)))</f>
        <v>0</v>
      </c>
      <c r="M440" s="109"/>
    </row>
    <row r="441" spans="1:13" x14ac:dyDescent="0.3">
      <c r="A441" s="106">
        <f t="shared" ca="1" si="22"/>
        <v>46019</v>
      </c>
      <c r="B441" s="107">
        <f ca="1">SUMIFS('Daily Writing Log'!$H$5:$H$34,'Daily Writing Log'!$A$5:$A$34,$A441)</f>
        <v>0</v>
      </c>
      <c r="C441" s="107">
        <f ca="1">SUMIFS('Daily Writing Log'!$I$5:$I$34,'Daily Writing Log'!$A$5:$A$34,$A441)</f>
        <v>0</v>
      </c>
      <c r="D441" s="108">
        <f ca="1">IF($C441&gt;=Config!$B$5,1,0)</f>
        <v>0</v>
      </c>
      <c r="E441" s="108">
        <f t="shared" ca="1" si="23"/>
        <v>0</v>
      </c>
      <c r="F441" s="108">
        <f ca="1">IF(AND($D441=0,$H440&gt;0,$E441&lt;Config!$B$8,$A441&lt;Config!$A$2),1,0)</f>
        <v>0</v>
      </c>
      <c r="G441" s="108">
        <f t="shared" ca="1" si="24"/>
        <v>0</v>
      </c>
      <c r="H441" s="108">
        <f ca="1">IF($D441=1,$H440+1,IF($F441=1,$H440,IF($A441=Config!$A$2,$H440,0)))</f>
        <v>0</v>
      </c>
      <c r="M441" s="109"/>
    </row>
    <row r="442" spans="1:13" x14ac:dyDescent="0.3">
      <c r="A442" s="106">
        <f t="shared" ca="1" si="22"/>
        <v>46020</v>
      </c>
      <c r="B442" s="107">
        <f ca="1">SUMIFS('Daily Writing Log'!$H$5:$H$34,'Daily Writing Log'!$A$5:$A$34,$A442)</f>
        <v>0</v>
      </c>
      <c r="C442" s="107">
        <f ca="1">SUMIFS('Daily Writing Log'!$I$5:$I$34,'Daily Writing Log'!$A$5:$A$34,$A442)</f>
        <v>0</v>
      </c>
      <c r="D442" s="108">
        <f ca="1">IF($C442&gt;=Config!$B$5,1,0)</f>
        <v>0</v>
      </c>
      <c r="E442" s="108">
        <f t="shared" ca="1" si="23"/>
        <v>0</v>
      </c>
      <c r="F442" s="108">
        <f ca="1">IF(AND($D442=0,$H441&gt;0,$E442&lt;Config!$B$8,$A442&lt;Config!$A$2),1,0)</f>
        <v>0</v>
      </c>
      <c r="G442" s="108">
        <f t="shared" ca="1" si="24"/>
        <v>0</v>
      </c>
      <c r="H442" s="108">
        <f ca="1">IF($D442=1,$H441+1,IF($F442=1,$H441,IF($A442=Config!$A$2,$H441,0)))</f>
        <v>0</v>
      </c>
      <c r="M442" s="109"/>
    </row>
    <row r="443" spans="1:13" x14ac:dyDescent="0.3">
      <c r="A443" s="106">
        <f t="shared" ca="1" si="22"/>
        <v>46021</v>
      </c>
      <c r="B443" s="107">
        <f ca="1">SUMIFS('Daily Writing Log'!$H$5:$H$34,'Daily Writing Log'!$A$5:$A$34,$A443)</f>
        <v>0</v>
      </c>
      <c r="C443" s="107">
        <f ca="1">SUMIFS('Daily Writing Log'!$I$5:$I$34,'Daily Writing Log'!$A$5:$A$34,$A443)</f>
        <v>0</v>
      </c>
      <c r="D443" s="108">
        <f ca="1">IF($C443&gt;=Config!$B$5,1,0)</f>
        <v>0</v>
      </c>
      <c r="E443" s="108">
        <f t="shared" ca="1" si="23"/>
        <v>0</v>
      </c>
      <c r="F443" s="108">
        <f ca="1">IF(AND($D443=0,$H442&gt;0,$E443&lt;Config!$B$8,$A443&lt;Config!$A$2),1,0)</f>
        <v>0</v>
      </c>
      <c r="G443" s="108">
        <f t="shared" ca="1" si="24"/>
        <v>0</v>
      </c>
      <c r="H443" s="108">
        <f ca="1">IF($D443=1,$H442+1,IF($F443=1,$H442,IF($A443=Config!$A$2,$H442,0)))</f>
        <v>0</v>
      </c>
      <c r="M443" s="109"/>
    </row>
    <row r="444" spans="1:13" x14ac:dyDescent="0.3">
      <c r="A444" s="106">
        <f t="shared" ca="1" si="22"/>
        <v>46022</v>
      </c>
      <c r="B444" s="107">
        <f ca="1">SUMIFS('Daily Writing Log'!$H$5:$H$34,'Daily Writing Log'!$A$5:$A$34,$A444)</f>
        <v>0</v>
      </c>
      <c r="C444" s="107">
        <f ca="1">SUMIFS('Daily Writing Log'!$I$5:$I$34,'Daily Writing Log'!$A$5:$A$34,$A444)</f>
        <v>0</v>
      </c>
      <c r="D444" s="108">
        <f ca="1">IF($C444&gt;=Config!$B$5,1,0)</f>
        <v>0</v>
      </c>
      <c r="E444" s="108">
        <f t="shared" ca="1" si="23"/>
        <v>0</v>
      </c>
      <c r="F444" s="108">
        <f ca="1">IF(AND($D444=0,$H443&gt;0,$E444&lt;Config!$B$8,$A444&lt;Config!$A$2),1,0)</f>
        <v>0</v>
      </c>
      <c r="G444" s="108">
        <f t="shared" ca="1" si="24"/>
        <v>0</v>
      </c>
      <c r="H444" s="108">
        <f ca="1">IF($D444=1,$H443+1,IF($F444=1,$H443,IF($A444=Config!$A$2,$H443,0)))</f>
        <v>0</v>
      </c>
      <c r="M444" s="109"/>
    </row>
    <row r="445" spans="1:13" x14ac:dyDescent="0.3">
      <c r="A445" s="106">
        <f t="shared" ca="1" si="22"/>
        <v>46023</v>
      </c>
      <c r="B445" s="107">
        <f ca="1">SUMIFS('Daily Writing Log'!$H$5:$H$34,'Daily Writing Log'!$A$5:$A$34,$A445)</f>
        <v>0</v>
      </c>
      <c r="C445" s="107">
        <f ca="1">SUMIFS('Daily Writing Log'!$I$5:$I$34,'Daily Writing Log'!$A$5:$A$34,$A445)</f>
        <v>0</v>
      </c>
      <c r="D445" s="108">
        <f ca="1">IF($C445&gt;=Config!$B$5,1,0)</f>
        <v>0</v>
      </c>
      <c r="E445" s="108">
        <f t="shared" ca="1" si="23"/>
        <v>0</v>
      </c>
      <c r="F445" s="108">
        <f ca="1">IF(AND($D445=0,$H444&gt;0,$E445&lt;Config!$B$8,$A445&lt;Config!$A$2),1,0)</f>
        <v>0</v>
      </c>
      <c r="G445" s="108">
        <f t="shared" ca="1" si="24"/>
        <v>0</v>
      </c>
      <c r="H445" s="108">
        <f ca="1">IF($D445=1,$H444+1,IF($F445=1,$H444,IF($A445=Config!$A$2,$H444,0)))</f>
        <v>0</v>
      </c>
      <c r="M445" s="109"/>
    </row>
    <row r="446" spans="1:13" x14ac:dyDescent="0.3">
      <c r="A446" s="106">
        <f t="shared" ca="1" si="22"/>
        <v>46024</v>
      </c>
      <c r="B446" s="107">
        <f ca="1">SUMIFS('Daily Writing Log'!$H$5:$H$34,'Daily Writing Log'!$A$5:$A$34,$A446)</f>
        <v>0</v>
      </c>
      <c r="C446" s="107">
        <f ca="1">SUMIFS('Daily Writing Log'!$I$5:$I$34,'Daily Writing Log'!$A$5:$A$34,$A446)</f>
        <v>0</v>
      </c>
      <c r="D446" s="108">
        <f ca="1">IF($C446&gt;=Config!$B$5,1,0)</f>
        <v>0</v>
      </c>
      <c r="E446" s="108">
        <f t="shared" ca="1" si="23"/>
        <v>0</v>
      </c>
      <c r="F446" s="108">
        <f ca="1">IF(AND($D446=0,$H445&gt;0,$E446&lt;Config!$B$8,$A446&lt;Config!$A$2),1,0)</f>
        <v>0</v>
      </c>
      <c r="G446" s="108">
        <f t="shared" ca="1" si="24"/>
        <v>0</v>
      </c>
      <c r="H446" s="108">
        <f ca="1">IF($D446=1,$H445+1,IF($F446=1,$H445,IF($A446=Config!$A$2,$H445,0)))</f>
        <v>0</v>
      </c>
      <c r="M446" s="109"/>
    </row>
    <row r="447" spans="1:13" x14ac:dyDescent="0.3">
      <c r="A447" s="106">
        <f t="shared" ca="1" si="22"/>
        <v>46025</v>
      </c>
      <c r="B447" s="107">
        <f ca="1">SUMIFS('Daily Writing Log'!$H$5:$H$34,'Daily Writing Log'!$A$5:$A$34,$A447)</f>
        <v>0</v>
      </c>
      <c r="C447" s="107">
        <f ca="1">SUMIFS('Daily Writing Log'!$I$5:$I$34,'Daily Writing Log'!$A$5:$A$34,$A447)</f>
        <v>0</v>
      </c>
      <c r="D447" s="108">
        <f ca="1">IF($C447&gt;=Config!$B$5,1,0)</f>
        <v>0</v>
      </c>
      <c r="E447" s="108">
        <f t="shared" ca="1" si="23"/>
        <v>0</v>
      </c>
      <c r="F447" s="108">
        <f ca="1">IF(AND($D447=0,$H446&gt;0,$E447&lt;Config!$B$8,$A447&lt;Config!$A$2),1,0)</f>
        <v>0</v>
      </c>
      <c r="G447" s="108">
        <f t="shared" ca="1" si="24"/>
        <v>0</v>
      </c>
      <c r="H447" s="108">
        <f ca="1">IF($D447=1,$H446+1,IF($F447=1,$H446,IF($A447=Config!$A$2,$H446,0)))</f>
        <v>0</v>
      </c>
      <c r="M447" s="109"/>
    </row>
    <row r="448" spans="1:13" x14ac:dyDescent="0.3">
      <c r="A448" s="106">
        <f t="shared" ca="1" si="22"/>
        <v>46026</v>
      </c>
      <c r="B448" s="107">
        <f ca="1">SUMIFS('Daily Writing Log'!$H$5:$H$34,'Daily Writing Log'!$A$5:$A$34,$A448)</f>
        <v>0</v>
      </c>
      <c r="C448" s="107">
        <f ca="1">SUMIFS('Daily Writing Log'!$I$5:$I$34,'Daily Writing Log'!$A$5:$A$34,$A448)</f>
        <v>0</v>
      </c>
      <c r="D448" s="108">
        <f ca="1">IF($C448&gt;=Config!$B$5,1,0)</f>
        <v>0</v>
      </c>
      <c r="E448" s="108">
        <f t="shared" ca="1" si="23"/>
        <v>0</v>
      </c>
      <c r="F448" s="108">
        <f ca="1">IF(AND($D448=0,$H447&gt;0,$E448&lt;Config!$B$8,$A448&lt;Config!$A$2),1,0)</f>
        <v>0</v>
      </c>
      <c r="G448" s="108">
        <f t="shared" ca="1" si="24"/>
        <v>0</v>
      </c>
      <c r="H448" s="108">
        <f ca="1">IF($D448=1,$H447+1,IF($F448=1,$H447,IF($A448=Config!$A$2,$H447,0)))</f>
        <v>0</v>
      </c>
      <c r="M448" s="109"/>
    </row>
    <row r="449" spans="1:13" x14ac:dyDescent="0.3">
      <c r="A449" s="106">
        <f t="shared" ca="1" si="22"/>
        <v>46027</v>
      </c>
      <c r="B449" s="107">
        <f ca="1">SUMIFS('Daily Writing Log'!$H$5:$H$34,'Daily Writing Log'!$A$5:$A$34,$A449)</f>
        <v>0</v>
      </c>
      <c r="C449" s="107">
        <f ca="1">SUMIFS('Daily Writing Log'!$I$5:$I$34,'Daily Writing Log'!$A$5:$A$34,$A449)</f>
        <v>0</v>
      </c>
      <c r="D449" s="108">
        <f ca="1">IF($C449&gt;=Config!$B$5,1,0)</f>
        <v>0</v>
      </c>
      <c r="E449" s="108">
        <f t="shared" ca="1" si="23"/>
        <v>0</v>
      </c>
      <c r="F449" s="108">
        <f ca="1">IF(AND($D449=0,$H448&gt;0,$E449&lt;Config!$B$8,$A449&lt;Config!$A$2),1,0)</f>
        <v>0</v>
      </c>
      <c r="G449" s="108">
        <f t="shared" ca="1" si="24"/>
        <v>0</v>
      </c>
      <c r="H449" s="108">
        <f ca="1">IF($D449=1,$H448+1,IF($F449=1,$H448,IF($A449=Config!$A$2,$H448,0)))</f>
        <v>0</v>
      </c>
      <c r="M449" s="109"/>
    </row>
    <row r="450" spans="1:13" x14ac:dyDescent="0.3">
      <c r="A450" s="106">
        <f t="shared" ca="1" si="22"/>
        <v>46028</v>
      </c>
      <c r="B450" s="107">
        <f ca="1">SUMIFS('Daily Writing Log'!$H$5:$H$34,'Daily Writing Log'!$A$5:$A$34,$A450)</f>
        <v>0</v>
      </c>
      <c r="C450" s="107">
        <f ca="1">SUMIFS('Daily Writing Log'!$I$5:$I$34,'Daily Writing Log'!$A$5:$A$34,$A450)</f>
        <v>0</v>
      </c>
      <c r="D450" s="108">
        <f ca="1">IF($C450&gt;=Config!$B$5,1,0)</f>
        <v>0</v>
      </c>
      <c r="E450" s="108">
        <f t="shared" ca="1" si="23"/>
        <v>0</v>
      </c>
      <c r="F450" s="108">
        <f ca="1">IF(AND($D450=0,$H449&gt;0,$E450&lt;Config!$B$8,$A450&lt;Config!$A$2),1,0)</f>
        <v>0</v>
      </c>
      <c r="G450" s="108">
        <f t="shared" ca="1" si="24"/>
        <v>0</v>
      </c>
      <c r="H450" s="108">
        <f ca="1">IF($D450=1,$H449+1,IF($F450=1,$H449,IF($A450=Config!$A$2,$H449,0)))</f>
        <v>0</v>
      </c>
      <c r="M450" s="109"/>
    </row>
    <row r="451" spans="1:13" x14ac:dyDescent="0.3">
      <c r="A451" s="106">
        <f t="shared" ca="1" si="22"/>
        <v>46029</v>
      </c>
      <c r="B451" s="107">
        <f ca="1">SUMIFS('Daily Writing Log'!$H$5:$H$34,'Daily Writing Log'!$A$5:$A$34,$A451)</f>
        <v>0</v>
      </c>
      <c r="C451" s="107">
        <f ca="1">SUMIFS('Daily Writing Log'!$I$5:$I$34,'Daily Writing Log'!$A$5:$A$34,$A451)</f>
        <v>0</v>
      </c>
      <c r="D451" s="108">
        <f ca="1">IF($C451&gt;=Config!$B$5,1,0)</f>
        <v>0</v>
      </c>
      <c r="E451" s="108">
        <f t="shared" ca="1" si="23"/>
        <v>0</v>
      </c>
      <c r="F451" s="108">
        <f ca="1">IF(AND($D451=0,$H450&gt;0,$E451&lt;Config!$B$8,$A451&lt;Config!$A$2),1,0)</f>
        <v>0</v>
      </c>
      <c r="G451" s="108">
        <f t="shared" ca="1" si="24"/>
        <v>0</v>
      </c>
      <c r="H451" s="108">
        <f ca="1">IF($D451=1,$H450+1,IF($F451=1,$H450,IF($A451=Config!$A$2,$H450,0)))</f>
        <v>0</v>
      </c>
      <c r="M451" s="109"/>
    </row>
    <row r="452" spans="1:13" x14ac:dyDescent="0.3">
      <c r="A452" s="106">
        <f t="shared" ca="1" si="22"/>
        <v>46030</v>
      </c>
      <c r="B452" s="107">
        <f ca="1">SUMIFS('Daily Writing Log'!$H$5:$H$34,'Daily Writing Log'!$A$5:$A$34,$A452)</f>
        <v>0</v>
      </c>
      <c r="C452" s="107">
        <f ca="1">SUMIFS('Daily Writing Log'!$I$5:$I$34,'Daily Writing Log'!$A$5:$A$34,$A452)</f>
        <v>0</v>
      </c>
      <c r="D452" s="108">
        <f ca="1">IF($C452&gt;=Config!$B$5,1,0)</f>
        <v>0</v>
      </c>
      <c r="E452" s="108">
        <f t="shared" ca="1" si="23"/>
        <v>0</v>
      </c>
      <c r="F452" s="108">
        <f ca="1">IF(AND($D452=0,$H451&gt;0,$E452&lt;Config!$B$8,$A452&lt;Config!$A$2),1,0)</f>
        <v>0</v>
      </c>
      <c r="G452" s="108">
        <f t="shared" ca="1" si="24"/>
        <v>0</v>
      </c>
      <c r="H452" s="108">
        <f ca="1">IF($D452=1,$H451+1,IF($F452=1,$H451,IF($A452=Config!$A$2,$H451,0)))</f>
        <v>0</v>
      </c>
      <c r="M452" s="109"/>
    </row>
    <row r="453" spans="1:13" x14ac:dyDescent="0.3">
      <c r="A453" s="106">
        <f t="shared" ca="1" si="22"/>
        <v>46031</v>
      </c>
      <c r="B453" s="107">
        <f ca="1">SUMIFS('Daily Writing Log'!$H$5:$H$34,'Daily Writing Log'!$A$5:$A$34,$A453)</f>
        <v>0</v>
      </c>
      <c r="C453" s="107">
        <f ca="1">SUMIFS('Daily Writing Log'!$I$5:$I$34,'Daily Writing Log'!$A$5:$A$34,$A453)</f>
        <v>0</v>
      </c>
      <c r="D453" s="108">
        <f ca="1">IF($C453&gt;=Config!$B$5,1,0)</f>
        <v>0</v>
      </c>
      <c r="E453" s="108">
        <f t="shared" ca="1" si="23"/>
        <v>0</v>
      </c>
      <c r="F453" s="108">
        <f ca="1">IF(AND($D453=0,$H452&gt;0,$E453&lt;Config!$B$8,$A453&lt;Config!$A$2),1,0)</f>
        <v>0</v>
      </c>
      <c r="G453" s="108">
        <f t="shared" ca="1" si="24"/>
        <v>0</v>
      </c>
      <c r="H453" s="108">
        <f ca="1">IF($D453=1,$H452+1,IF($F453=1,$H452,IF($A453=Config!$A$2,$H452,0)))</f>
        <v>0</v>
      </c>
      <c r="M453" s="109"/>
    </row>
    <row r="454" spans="1:13" x14ac:dyDescent="0.3">
      <c r="A454" s="106">
        <f t="shared" ref="A454:A517" ca="1" si="25">A453+1</f>
        <v>46032</v>
      </c>
      <c r="B454" s="107">
        <f ca="1">SUMIFS('Daily Writing Log'!$H$5:$H$34,'Daily Writing Log'!$A$5:$A$34,$A454)</f>
        <v>0</v>
      </c>
      <c r="C454" s="107">
        <f ca="1">SUMIFS('Daily Writing Log'!$I$5:$I$34,'Daily Writing Log'!$A$5:$A$34,$A454)</f>
        <v>0</v>
      </c>
      <c r="D454" s="108">
        <f ca="1">IF($C454&gt;=Config!$B$5,1,0)</f>
        <v>0</v>
      </c>
      <c r="E454" s="108">
        <f t="shared" ref="E454:E517" ca="1" si="26">IF(MONTH($A454)&lt;&gt;MONTH($A453),0,$G453)</f>
        <v>0</v>
      </c>
      <c r="F454" s="108">
        <f ca="1">IF(AND($D454=0,$H453&gt;0,$E454&lt;Config!$B$8,$A454&lt;Config!$A$2),1,0)</f>
        <v>0</v>
      </c>
      <c r="G454" s="108">
        <f t="shared" ref="G454:G517" ca="1" si="27">$E454+$F454</f>
        <v>0</v>
      </c>
      <c r="H454" s="108">
        <f ca="1">IF($D454=1,$H453+1,IF($F454=1,$H453,IF($A454=Config!$A$2,$H453,0)))</f>
        <v>0</v>
      </c>
      <c r="M454" s="109"/>
    </row>
    <row r="455" spans="1:13" x14ac:dyDescent="0.3">
      <c r="A455" s="106">
        <f t="shared" ca="1" si="25"/>
        <v>46033</v>
      </c>
      <c r="B455" s="107">
        <f ca="1">SUMIFS('Daily Writing Log'!$H$5:$H$34,'Daily Writing Log'!$A$5:$A$34,$A455)</f>
        <v>0</v>
      </c>
      <c r="C455" s="107">
        <f ca="1">SUMIFS('Daily Writing Log'!$I$5:$I$34,'Daily Writing Log'!$A$5:$A$34,$A455)</f>
        <v>0</v>
      </c>
      <c r="D455" s="108">
        <f ca="1">IF($C455&gt;=Config!$B$5,1,0)</f>
        <v>0</v>
      </c>
      <c r="E455" s="108">
        <f t="shared" ca="1" si="26"/>
        <v>0</v>
      </c>
      <c r="F455" s="108">
        <f ca="1">IF(AND($D455=0,$H454&gt;0,$E455&lt;Config!$B$8,$A455&lt;Config!$A$2),1,0)</f>
        <v>0</v>
      </c>
      <c r="G455" s="108">
        <f t="shared" ca="1" si="27"/>
        <v>0</v>
      </c>
      <c r="H455" s="108">
        <f ca="1">IF($D455=1,$H454+1,IF($F455=1,$H454,IF($A455=Config!$A$2,$H454,0)))</f>
        <v>0</v>
      </c>
      <c r="M455" s="109"/>
    </row>
    <row r="456" spans="1:13" x14ac:dyDescent="0.3">
      <c r="A456" s="106">
        <f t="shared" ca="1" si="25"/>
        <v>46034</v>
      </c>
      <c r="B456" s="107">
        <f ca="1">SUMIFS('Daily Writing Log'!$H$5:$H$34,'Daily Writing Log'!$A$5:$A$34,$A456)</f>
        <v>0</v>
      </c>
      <c r="C456" s="107">
        <f ca="1">SUMIFS('Daily Writing Log'!$I$5:$I$34,'Daily Writing Log'!$A$5:$A$34,$A456)</f>
        <v>0</v>
      </c>
      <c r="D456" s="108">
        <f ca="1">IF($C456&gt;=Config!$B$5,1,0)</f>
        <v>0</v>
      </c>
      <c r="E456" s="108">
        <f t="shared" ca="1" si="26"/>
        <v>0</v>
      </c>
      <c r="F456" s="108">
        <f ca="1">IF(AND($D456=0,$H455&gt;0,$E456&lt;Config!$B$8,$A456&lt;Config!$A$2),1,0)</f>
        <v>0</v>
      </c>
      <c r="G456" s="108">
        <f t="shared" ca="1" si="27"/>
        <v>0</v>
      </c>
      <c r="H456" s="108">
        <f ca="1">IF($D456=1,$H455+1,IF($F456=1,$H455,IF($A456=Config!$A$2,$H455,0)))</f>
        <v>0</v>
      </c>
      <c r="M456" s="109"/>
    </row>
    <row r="457" spans="1:13" x14ac:dyDescent="0.3">
      <c r="A457" s="106">
        <f t="shared" ca="1" si="25"/>
        <v>46035</v>
      </c>
      <c r="B457" s="107">
        <f ca="1">SUMIFS('Daily Writing Log'!$H$5:$H$34,'Daily Writing Log'!$A$5:$A$34,$A457)</f>
        <v>0</v>
      </c>
      <c r="C457" s="107">
        <f ca="1">SUMIFS('Daily Writing Log'!$I$5:$I$34,'Daily Writing Log'!$A$5:$A$34,$A457)</f>
        <v>0</v>
      </c>
      <c r="D457" s="108">
        <f ca="1">IF($C457&gt;=Config!$B$5,1,0)</f>
        <v>0</v>
      </c>
      <c r="E457" s="108">
        <f t="shared" ca="1" si="26"/>
        <v>0</v>
      </c>
      <c r="F457" s="108">
        <f ca="1">IF(AND($D457=0,$H456&gt;0,$E457&lt;Config!$B$8,$A457&lt;Config!$A$2),1,0)</f>
        <v>0</v>
      </c>
      <c r="G457" s="108">
        <f t="shared" ca="1" si="27"/>
        <v>0</v>
      </c>
      <c r="H457" s="108">
        <f ca="1">IF($D457=1,$H456+1,IF($F457=1,$H456,IF($A457=Config!$A$2,$H456,0)))</f>
        <v>0</v>
      </c>
      <c r="M457" s="109"/>
    </row>
    <row r="458" spans="1:13" x14ac:dyDescent="0.3">
      <c r="A458" s="106">
        <f t="shared" ca="1" si="25"/>
        <v>46036</v>
      </c>
      <c r="B458" s="107">
        <f ca="1">SUMIFS('Daily Writing Log'!$H$5:$H$34,'Daily Writing Log'!$A$5:$A$34,$A458)</f>
        <v>0</v>
      </c>
      <c r="C458" s="107">
        <f ca="1">SUMIFS('Daily Writing Log'!$I$5:$I$34,'Daily Writing Log'!$A$5:$A$34,$A458)</f>
        <v>0</v>
      </c>
      <c r="D458" s="108">
        <f ca="1">IF($C458&gt;=Config!$B$5,1,0)</f>
        <v>0</v>
      </c>
      <c r="E458" s="108">
        <f t="shared" ca="1" si="26"/>
        <v>0</v>
      </c>
      <c r="F458" s="108">
        <f ca="1">IF(AND($D458=0,$H457&gt;0,$E458&lt;Config!$B$8,$A458&lt;Config!$A$2),1,0)</f>
        <v>0</v>
      </c>
      <c r="G458" s="108">
        <f t="shared" ca="1" si="27"/>
        <v>0</v>
      </c>
      <c r="H458" s="108">
        <f ca="1">IF($D458=1,$H457+1,IF($F458=1,$H457,IF($A458=Config!$A$2,$H457,0)))</f>
        <v>0</v>
      </c>
      <c r="M458" s="109"/>
    </row>
    <row r="459" spans="1:13" x14ac:dyDescent="0.3">
      <c r="A459" s="106">
        <f t="shared" ca="1" si="25"/>
        <v>46037</v>
      </c>
      <c r="B459" s="107">
        <f ca="1">SUMIFS('Daily Writing Log'!$H$5:$H$34,'Daily Writing Log'!$A$5:$A$34,$A459)</f>
        <v>0</v>
      </c>
      <c r="C459" s="107">
        <f ca="1">SUMIFS('Daily Writing Log'!$I$5:$I$34,'Daily Writing Log'!$A$5:$A$34,$A459)</f>
        <v>0</v>
      </c>
      <c r="D459" s="108">
        <f ca="1">IF($C459&gt;=Config!$B$5,1,0)</f>
        <v>0</v>
      </c>
      <c r="E459" s="108">
        <f t="shared" ca="1" si="26"/>
        <v>0</v>
      </c>
      <c r="F459" s="108">
        <f ca="1">IF(AND($D459=0,$H458&gt;0,$E459&lt;Config!$B$8,$A459&lt;Config!$A$2),1,0)</f>
        <v>0</v>
      </c>
      <c r="G459" s="108">
        <f t="shared" ca="1" si="27"/>
        <v>0</v>
      </c>
      <c r="H459" s="108">
        <f ca="1">IF($D459=1,$H458+1,IF($F459=1,$H458,IF($A459=Config!$A$2,$H458,0)))</f>
        <v>0</v>
      </c>
      <c r="M459" s="109"/>
    </row>
    <row r="460" spans="1:13" x14ac:dyDescent="0.3">
      <c r="A460" s="106">
        <f t="shared" ca="1" si="25"/>
        <v>46038</v>
      </c>
      <c r="B460" s="107">
        <f ca="1">SUMIFS('Daily Writing Log'!$H$5:$H$34,'Daily Writing Log'!$A$5:$A$34,$A460)</f>
        <v>0</v>
      </c>
      <c r="C460" s="107">
        <f ca="1">SUMIFS('Daily Writing Log'!$I$5:$I$34,'Daily Writing Log'!$A$5:$A$34,$A460)</f>
        <v>0</v>
      </c>
      <c r="D460" s="108">
        <f ca="1">IF($C460&gt;=Config!$B$5,1,0)</f>
        <v>0</v>
      </c>
      <c r="E460" s="108">
        <f t="shared" ca="1" si="26"/>
        <v>0</v>
      </c>
      <c r="F460" s="108">
        <f ca="1">IF(AND($D460=0,$H459&gt;0,$E460&lt;Config!$B$8,$A460&lt;Config!$A$2),1,0)</f>
        <v>0</v>
      </c>
      <c r="G460" s="108">
        <f t="shared" ca="1" si="27"/>
        <v>0</v>
      </c>
      <c r="H460" s="108">
        <f ca="1">IF($D460=1,$H459+1,IF($F460=1,$H459,IF($A460=Config!$A$2,$H459,0)))</f>
        <v>0</v>
      </c>
      <c r="M460" s="109"/>
    </row>
    <row r="461" spans="1:13" x14ac:dyDescent="0.3">
      <c r="A461" s="106">
        <f t="shared" ca="1" si="25"/>
        <v>46039</v>
      </c>
      <c r="B461" s="107">
        <f ca="1">SUMIFS('Daily Writing Log'!$H$5:$H$34,'Daily Writing Log'!$A$5:$A$34,$A461)</f>
        <v>0</v>
      </c>
      <c r="C461" s="107">
        <f ca="1">SUMIFS('Daily Writing Log'!$I$5:$I$34,'Daily Writing Log'!$A$5:$A$34,$A461)</f>
        <v>0</v>
      </c>
      <c r="D461" s="108">
        <f ca="1">IF($C461&gt;=Config!$B$5,1,0)</f>
        <v>0</v>
      </c>
      <c r="E461" s="108">
        <f t="shared" ca="1" si="26"/>
        <v>0</v>
      </c>
      <c r="F461" s="108">
        <f ca="1">IF(AND($D461=0,$H460&gt;0,$E461&lt;Config!$B$8,$A461&lt;Config!$A$2),1,0)</f>
        <v>0</v>
      </c>
      <c r="G461" s="108">
        <f t="shared" ca="1" si="27"/>
        <v>0</v>
      </c>
      <c r="H461" s="108">
        <f ca="1">IF($D461=1,$H460+1,IF($F461=1,$H460,IF($A461=Config!$A$2,$H460,0)))</f>
        <v>0</v>
      </c>
      <c r="M461" s="109"/>
    </row>
    <row r="462" spans="1:13" x14ac:dyDescent="0.3">
      <c r="A462" s="106">
        <f t="shared" ca="1" si="25"/>
        <v>46040</v>
      </c>
      <c r="B462" s="107">
        <f ca="1">SUMIFS('Daily Writing Log'!$H$5:$H$34,'Daily Writing Log'!$A$5:$A$34,$A462)</f>
        <v>0</v>
      </c>
      <c r="C462" s="107">
        <f ca="1">SUMIFS('Daily Writing Log'!$I$5:$I$34,'Daily Writing Log'!$A$5:$A$34,$A462)</f>
        <v>0</v>
      </c>
      <c r="D462" s="108">
        <f ca="1">IF($C462&gt;=Config!$B$5,1,0)</f>
        <v>0</v>
      </c>
      <c r="E462" s="108">
        <f t="shared" ca="1" si="26"/>
        <v>0</v>
      </c>
      <c r="F462" s="108">
        <f ca="1">IF(AND($D462=0,$H461&gt;0,$E462&lt;Config!$B$8,$A462&lt;Config!$A$2),1,0)</f>
        <v>0</v>
      </c>
      <c r="G462" s="108">
        <f t="shared" ca="1" si="27"/>
        <v>0</v>
      </c>
      <c r="H462" s="108">
        <f ca="1">IF($D462=1,$H461+1,IF($F462=1,$H461,IF($A462=Config!$A$2,$H461,0)))</f>
        <v>0</v>
      </c>
      <c r="M462" s="109"/>
    </row>
    <row r="463" spans="1:13" x14ac:dyDescent="0.3">
      <c r="A463" s="106">
        <f t="shared" ca="1" si="25"/>
        <v>46041</v>
      </c>
      <c r="B463" s="107">
        <f ca="1">SUMIFS('Daily Writing Log'!$H$5:$H$34,'Daily Writing Log'!$A$5:$A$34,$A463)</f>
        <v>0</v>
      </c>
      <c r="C463" s="107">
        <f ca="1">SUMIFS('Daily Writing Log'!$I$5:$I$34,'Daily Writing Log'!$A$5:$A$34,$A463)</f>
        <v>0</v>
      </c>
      <c r="D463" s="108">
        <f ca="1">IF($C463&gt;=Config!$B$5,1,0)</f>
        <v>0</v>
      </c>
      <c r="E463" s="108">
        <f t="shared" ca="1" si="26"/>
        <v>0</v>
      </c>
      <c r="F463" s="108">
        <f ca="1">IF(AND($D463=0,$H462&gt;0,$E463&lt;Config!$B$8,$A463&lt;Config!$A$2),1,0)</f>
        <v>0</v>
      </c>
      <c r="G463" s="108">
        <f t="shared" ca="1" si="27"/>
        <v>0</v>
      </c>
      <c r="H463" s="108">
        <f ca="1">IF($D463=1,$H462+1,IF($F463=1,$H462,IF($A463=Config!$A$2,$H462,0)))</f>
        <v>0</v>
      </c>
      <c r="M463" s="109"/>
    </row>
    <row r="464" spans="1:13" x14ac:dyDescent="0.3">
      <c r="A464" s="106">
        <f t="shared" ca="1" si="25"/>
        <v>46042</v>
      </c>
      <c r="B464" s="107">
        <f ca="1">SUMIFS('Daily Writing Log'!$H$5:$H$34,'Daily Writing Log'!$A$5:$A$34,$A464)</f>
        <v>0</v>
      </c>
      <c r="C464" s="107">
        <f ca="1">SUMIFS('Daily Writing Log'!$I$5:$I$34,'Daily Writing Log'!$A$5:$A$34,$A464)</f>
        <v>0</v>
      </c>
      <c r="D464" s="108">
        <f ca="1">IF($C464&gt;=Config!$B$5,1,0)</f>
        <v>0</v>
      </c>
      <c r="E464" s="108">
        <f t="shared" ca="1" si="26"/>
        <v>0</v>
      </c>
      <c r="F464" s="108">
        <f ca="1">IF(AND($D464=0,$H463&gt;0,$E464&lt;Config!$B$8,$A464&lt;Config!$A$2),1,0)</f>
        <v>0</v>
      </c>
      <c r="G464" s="108">
        <f t="shared" ca="1" si="27"/>
        <v>0</v>
      </c>
      <c r="H464" s="108">
        <f ca="1">IF($D464=1,$H463+1,IF($F464=1,$H463,IF($A464=Config!$A$2,$H463,0)))</f>
        <v>0</v>
      </c>
      <c r="M464" s="109"/>
    </row>
    <row r="465" spans="1:13" x14ac:dyDescent="0.3">
      <c r="A465" s="106">
        <f t="shared" ca="1" si="25"/>
        <v>46043</v>
      </c>
      <c r="B465" s="107">
        <f ca="1">SUMIFS('Daily Writing Log'!$H$5:$H$34,'Daily Writing Log'!$A$5:$A$34,$A465)</f>
        <v>0</v>
      </c>
      <c r="C465" s="107">
        <f ca="1">SUMIFS('Daily Writing Log'!$I$5:$I$34,'Daily Writing Log'!$A$5:$A$34,$A465)</f>
        <v>0</v>
      </c>
      <c r="D465" s="108">
        <f ca="1">IF($C465&gt;=Config!$B$5,1,0)</f>
        <v>0</v>
      </c>
      <c r="E465" s="108">
        <f t="shared" ca="1" si="26"/>
        <v>0</v>
      </c>
      <c r="F465" s="108">
        <f ca="1">IF(AND($D465=0,$H464&gt;0,$E465&lt;Config!$B$8,$A465&lt;Config!$A$2),1,0)</f>
        <v>0</v>
      </c>
      <c r="G465" s="108">
        <f t="shared" ca="1" si="27"/>
        <v>0</v>
      </c>
      <c r="H465" s="108">
        <f ca="1">IF($D465=1,$H464+1,IF($F465=1,$H464,IF($A465=Config!$A$2,$H464,0)))</f>
        <v>0</v>
      </c>
      <c r="M465" s="109"/>
    </row>
    <row r="466" spans="1:13" x14ac:dyDescent="0.3">
      <c r="A466" s="106">
        <f t="shared" ca="1" si="25"/>
        <v>46044</v>
      </c>
      <c r="B466" s="107">
        <f ca="1">SUMIFS('Daily Writing Log'!$H$5:$H$34,'Daily Writing Log'!$A$5:$A$34,$A466)</f>
        <v>0</v>
      </c>
      <c r="C466" s="107">
        <f ca="1">SUMIFS('Daily Writing Log'!$I$5:$I$34,'Daily Writing Log'!$A$5:$A$34,$A466)</f>
        <v>0</v>
      </c>
      <c r="D466" s="108">
        <f ca="1">IF($C466&gt;=Config!$B$5,1,0)</f>
        <v>0</v>
      </c>
      <c r="E466" s="108">
        <f t="shared" ca="1" si="26"/>
        <v>0</v>
      </c>
      <c r="F466" s="108">
        <f ca="1">IF(AND($D466=0,$H465&gt;0,$E466&lt;Config!$B$8,$A466&lt;Config!$A$2),1,0)</f>
        <v>0</v>
      </c>
      <c r="G466" s="108">
        <f t="shared" ca="1" si="27"/>
        <v>0</v>
      </c>
      <c r="H466" s="108">
        <f ca="1">IF($D466=1,$H465+1,IF($F466=1,$H465,IF($A466=Config!$A$2,$H465,0)))</f>
        <v>0</v>
      </c>
      <c r="M466" s="109"/>
    </row>
    <row r="467" spans="1:13" x14ac:dyDescent="0.3">
      <c r="A467" s="106">
        <f t="shared" ca="1" si="25"/>
        <v>46045</v>
      </c>
      <c r="B467" s="107">
        <f ca="1">SUMIFS('Daily Writing Log'!$H$5:$H$34,'Daily Writing Log'!$A$5:$A$34,$A467)</f>
        <v>0</v>
      </c>
      <c r="C467" s="107">
        <f ca="1">SUMIFS('Daily Writing Log'!$I$5:$I$34,'Daily Writing Log'!$A$5:$A$34,$A467)</f>
        <v>0</v>
      </c>
      <c r="D467" s="108">
        <f ca="1">IF($C467&gt;=Config!$B$5,1,0)</f>
        <v>0</v>
      </c>
      <c r="E467" s="108">
        <f t="shared" ca="1" si="26"/>
        <v>0</v>
      </c>
      <c r="F467" s="108">
        <f ca="1">IF(AND($D467=0,$H466&gt;0,$E467&lt;Config!$B$8,$A467&lt;Config!$A$2),1,0)</f>
        <v>0</v>
      </c>
      <c r="G467" s="108">
        <f t="shared" ca="1" si="27"/>
        <v>0</v>
      </c>
      <c r="H467" s="108">
        <f ca="1">IF($D467=1,$H466+1,IF($F467=1,$H466,IF($A467=Config!$A$2,$H466,0)))</f>
        <v>0</v>
      </c>
      <c r="M467" s="109"/>
    </row>
    <row r="468" spans="1:13" x14ac:dyDescent="0.3">
      <c r="A468" s="106">
        <f t="shared" ca="1" si="25"/>
        <v>46046</v>
      </c>
      <c r="B468" s="107">
        <f ca="1">SUMIFS('Daily Writing Log'!$H$5:$H$34,'Daily Writing Log'!$A$5:$A$34,$A468)</f>
        <v>0</v>
      </c>
      <c r="C468" s="107">
        <f ca="1">SUMIFS('Daily Writing Log'!$I$5:$I$34,'Daily Writing Log'!$A$5:$A$34,$A468)</f>
        <v>0</v>
      </c>
      <c r="D468" s="108">
        <f ca="1">IF($C468&gt;=Config!$B$5,1,0)</f>
        <v>0</v>
      </c>
      <c r="E468" s="108">
        <f t="shared" ca="1" si="26"/>
        <v>0</v>
      </c>
      <c r="F468" s="108">
        <f ca="1">IF(AND($D468=0,$H467&gt;0,$E468&lt;Config!$B$8,$A468&lt;Config!$A$2),1,0)</f>
        <v>0</v>
      </c>
      <c r="G468" s="108">
        <f t="shared" ca="1" si="27"/>
        <v>0</v>
      </c>
      <c r="H468" s="108">
        <f ca="1">IF($D468=1,$H467+1,IF($F468=1,$H467,IF($A468=Config!$A$2,$H467,0)))</f>
        <v>0</v>
      </c>
      <c r="M468" s="109"/>
    </row>
    <row r="469" spans="1:13" x14ac:dyDescent="0.3">
      <c r="A469" s="106">
        <f t="shared" ca="1" si="25"/>
        <v>46047</v>
      </c>
      <c r="B469" s="107">
        <f ca="1">SUMIFS('Daily Writing Log'!$H$5:$H$34,'Daily Writing Log'!$A$5:$A$34,$A469)</f>
        <v>0</v>
      </c>
      <c r="C469" s="107">
        <f ca="1">SUMIFS('Daily Writing Log'!$I$5:$I$34,'Daily Writing Log'!$A$5:$A$34,$A469)</f>
        <v>0</v>
      </c>
      <c r="D469" s="108">
        <f ca="1">IF($C469&gt;=Config!$B$5,1,0)</f>
        <v>0</v>
      </c>
      <c r="E469" s="108">
        <f t="shared" ca="1" si="26"/>
        <v>0</v>
      </c>
      <c r="F469" s="108">
        <f ca="1">IF(AND($D469=0,$H468&gt;0,$E469&lt;Config!$B$8,$A469&lt;Config!$A$2),1,0)</f>
        <v>0</v>
      </c>
      <c r="G469" s="108">
        <f t="shared" ca="1" si="27"/>
        <v>0</v>
      </c>
      <c r="H469" s="108">
        <f ca="1">IF($D469=1,$H468+1,IF($F469=1,$H468,IF($A469=Config!$A$2,$H468,0)))</f>
        <v>0</v>
      </c>
      <c r="M469" s="109"/>
    </row>
    <row r="470" spans="1:13" x14ac:dyDescent="0.3">
      <c r="A470" s="106">
        <f t="shared" ca="1" si="25"/>
        <v>46048</v>
      </c>
      <c r="B470" s="107">
        <f ca="1">SUMIFS('Daily Writing Log'!$H$5:$H$34,'Daily Writing Log'!$A$5:$A$34,$A470)</f>
        <v>0</v>
      </c>
      <c r="C470" s="107">
        <f ca="1">SUMIFS('Daily Writing Log'!$I$5:$I$34,'Daily Writing Log'!$A$5:$A$34,$A470)</f>
        <v>0</v>
      </c>
      <c r="D470" s="108">
        <f ca="1">IF($C470&gt;=Config!$B$5,1,0)</f>
        <v>0</v>
      </c>
      <c r="E470" s="108">
        <f t="shared" ca="1" si="26"/>
        <v>0</v>
      </c>
      <c r="F470" s="108">
        <f ca="1">IF(AND($D470=0,$H469&gt;0,$E470&lt;Config!$B$8,$A470&lt;Config!$A$2),1,0)</f>
        <v>0</v>
      </c>
      <c r="G470" s="108">
        <f t="shared" ca="1" si="27"/>
        <v>0</v>
      </c>
      <c r="H470" s="108">
        <f ca="1">IF($D470=1,$H469+1,IF($F470=1,$H469,IF($A470=Config!$A$2,$H469,0)))</f>
        <v>0</v>
      </c>
      <c r="M470" s="109"/>
    </row>
    <row r="471" spans="1:13" x14ac:dyDescent="0.3">
      <c r="A471" s="106">
        <f t="shared" ca="1" si="25"/>
        <v>46049</v>
      </c>
      <c r="B471" s="107">
        <f ca="1">SUMIFS('Daily Writing Log'!$H$5:$H$34,'Daily Writing Log'!$A$5:$A$34,$A471)</f>
        <v>0</v>
      </c>
      <c r="C471" s="107">
        <f ca="1">SUMIFS('Daily Writing Log'!$I$5:$I$34,'Daily Writing Log'!$A$5:$A$34,$A471)</f>
        <v>0</v>
      </c>
      <c r="D471" s="108">
        <f ca="1">IF($C471&gt;=Config!$B$5,1,0)</f>
        <v>0</v>
      </c>
      <c r="E471" s="108">
        <f t="shared" ca="1" si="26"/>
        <v>0</v>
      </c>
      <c r="F471" s="108">
        <f ca="1">IF(AND($D471=0,$H470&gt;0,$E471&lt;Config!$B$8,$A471&lt;Config!$A$2),1,0)</f>
        <v>0</v>
      </c>
      <c r="G471" s="108">
        <f t="shared" ca="1" si="27"/>
        <v>0</v>
      </c>
      <c r="H471" s="108">
        <f ca="1">IF($D471=1,$H470+1,IF($F471=1,$H470,IF($A471=Config!$A$2,$H470,0)))</f>
        <v>0</v>
      </c>
      <c r="M471" s="109"/>
    </row>
    <row r="472" spans="1:13" x14ac:dyDescent="0.3">
      <c r="A472" s="106">
        <f t="shared" ca="1" si="25"/>
        <v>46050</v>
      </c>
      <c r="B472" s="107">
        <f ca="1">SUMIFS('Daily Writing Log'!$H$5:$H$34,'Daily Writing Log'!$A$5:$A$34,$A472)</f>
        <v>0</v>
      </c>
      <c r="C472" s="107">
        <f ca="1">SUMIFS('Daily Writing Log'!$I$5:$I$34,'Daily Writing Log'!$A$5:$A$34,$A472)</f>
        <v>0</v>
      </c>
      <c r="D472" s="108">
        <f ca="1">IF($C472&gt;=Config!$B$5,1,0)</f>
        <v>0</v>
      </c>
      <c r="E472" s="108">
        <f t="shared" ca="1" si="26"/>
        <v>0</v>
      </c>
      <c r="F472" s="108">
        <f ca="1">IF(AND($D472=0,$H471&gt;0,$E472&lt;Config!$B$8,$A472&lt;Config!$A$2),1,0)</f>
        <v>0</v>
      </c>
      <c r="G472" s="108">
        <f t="shared" ca="1" si="27"/>
        <v>0</v>
      </c>
      <c r="H472" s="108">
        <f ca="1">IF($D472=1,$H471+1,IF($F472=1,$H471,IF($A472=Config!$A$2,$H471,0)))</f>
        <v>0</v>
      </c>
      <c r="M472" s="109"/>
    </row>
    <row r="473" spans="1:13" x14ac:dyDescent="0.3">
      <c r="A473" s="106">
        <f t="shared" ca="1" si="25"/>
        <v>46051</v>
      </c>
      <c r="B473" s="107">
        <f ca="1">SUMIFS('Daily Writing Log'!$H$5:$H$34,'Daily Writing Log'!$A$5:$A$34,$A473)</f>
        <v>0</v>
      </c>
      <c r="C473" s="107">
        <f ca="1">SUMIFS('Daily Writing Log'!$I$5:$I$34,'Daily Writing Log'!$A$5:$A$34,$A473)</f>
        <v>0</v>
      </c>
      <c r="D473" s="108">
        <f ca="1">IF($C473&gt;=Config!$B$5,1,0)</f>
        <v>0</v>
      </c>
      <c r="E473" s="108">
        <f t="shared" ca="1" si="26"/>
        <v>0</v>
      </c>
      <c r="F473" s="108">
        <f ca="1">IF(AND($D473=0,$H472&gt;0,$E473&lt;Config!$B$8,$A473&lt;Config!$A$2),1,0)</f>
        <v>0</v>
      </c>
      <c r="G473" s="108">
        <f t="shared" ca="1" si="27"/>
        <v>0</v>
      </c>
      <c r="H473" s="108">
        <f ca="1">IF($D473=1,$H472+1,IF($F473=1,$H472,IF($A473=Config!$A$2,$H472,0)))</f>
        <v>0</v>
      </c>
      <c r="M473" s="109"/>
    </row>
    <row r="474" spans="1:13" x14ac:dyDescent="0.3">
      <c r="A474" s="106">
        <f t="shared" ca="1" si="25"/>
        <v>46052</v>
      </c>
      <c r="B474" s="107">
        <f ca="1">SUMIFS('Daily Writing Log'!$H$5:$H$34,'Daily Writing Log'!$A$5:$A$34,$A474)</f>
        <v>0</v>
      </c>
      <c r="C474" s="107">
        <f ca="1">SUMIFS('Daily Writing Log'!$I$5:$I$34,'Daily Writing Log'!$A$5:$A$34,$A474)</f>
        <v>0</v>
      </c>
      <c r="D474" s="108">
        <f ca="1">IF($C474&gt;=Config!$B$5,1,0)</f>
        <v>0</v>
      </c>
      <c r="E474" s="108">
        <f t="shared" ca="1" si="26"/>
        <v>0</v>
      </c>
      <c r="F474" s="108">
        <f ca="1">IF(AND($D474=0,$H473&gt;0,$E474&lt;Config!$B$8,$A474&lt;Config!$A$2),1,0)</f>
        <v>0</v>
      </c>
      <c r="G474" s="108">
        <f t="shared" ca="1" si="27"/>
        <v>0</v>
      </c>
      <c r="H474" s="108">
        <f ca="1">IF($D474=1,$H473+1,IF($F474=1,$H473,IF($A474=Config!$A$2,$H473,0)))</f>
        <v>0</v>
      </c>
      <c r="M474" s="109"/>
    </row>
    <row r="475" spans="1:13" x14ac:dyDescent="0.3">
      <c r="A475" s="106">
        <f t="shared" ca="1" si="25"/>
        <v>46053</v>
      </c>
      <c r="B475" s="107">
        <f ca="1">SUMIFS('Daily Writing Log'!$H$5:$H$34,'Daily Writing Log'!$A$5:$A$34,$A475)</f>
        <v>0</v>
      </c>
      <c r="C475" s="107">
        <f ca="1">SUMIFS('Daily Writing Log'!$I$5:$I$34,'Daily Writing Log'!$A$5:$A$34,$A475)</f>
        <v>0</v>
      </c>
      <c r="D475" s="108">
        <f ca="1">IF($C475&gt;=Config!$B$5,1,0)</f>
        <v>0</v>
      </c>
      <c r="E475" s="108">
        <f t="shared" ca="1" si="26"/>
        <v>0</v>
      </c>
      <c r="F475" s="108">
        <f ca="1">IF(AND($D475=0,$H474&gt;0,$E475&lt;Config!$B$8,$A475&lt;Config!$A$2),1,0)</f>
        <v>0</v>
      </c>
      <c r="G475" s="108">
        <f t="shared" ca="1" si="27"/>
        <v>0</v>
      </c>
      <c r="H475" s="108">
        <f ca="1">IF($D475=1,$H474+1,IF($F475=1,$H474,IF($A475=Config!$A$2,$H474,0)))</f>
        <v>0</v>
      </c>
      <c r="M475" s="109"/>
    </row>
    <row r="476" spans="1:13" x14ac:dyDescent="0.3">
      <c r="A476" s="106">
        <f t="shared" ca="1" si="25"/>
        <v>46054</v>
      </c>
      <c r="B476" s="107">
        <f ca="1">SUMIFS('Daily Writing Log'!$H$5:$H$34,'Daily Writing Log'!$A$5:$A$34,$A476)</f>
        <v>0</v>
      </c>
      <c r="C476" s="107">
        <f ca="1">SUMIFS('Daily Writing Log'!$I$5:$I$34,'Daily Writing Log'!$A$5:$A$34,$A476)</f>
        <v>0</v>
      </c>
      <c r="D476" s="108">
        <f ca="1">IF($C476&gt;=Config!$B$5,1,0)</f>
        <v>0</v>
      </c>
      <c r="E476" s="108">
        <f t="shared" ca="1" si="26"/>
        <v>0</v>
      </c>
      <c r="F476" s="108">
        <f ca="1">IF(AND($D476=0,$H475&gt;0,$E476&lt;Config!$B$8,$A476&lt;Config!$A$2),1,0)</f>
        <v>0</v>
      </c>
      <c r="G476" s="108">
        <f t="shared" ca="1" si="27"/>
        <v>0</v>
      </c>
      <c r="H476" s="108">
        <f ca="1">IF($D476=1,$H475+1,IF($F476=1,$H475,IF($A476=Config!$A$2,$H475,0)))</f>
        <v>0</v>
      </c>
      <c r="M476" s="109"/>
    </row>
    <row r="477" spans="1:13" x14ac:dyDescent="0.3">
      <c r="A477" s="106">
        <f t="shared" ca="1" si="25"/>
        <v>46055</v>
      </c>
      <c r="B477" s="107">
        <f ca="1">SUMIFS('Daily Writing Log'!$H$5:$H$34,'Daily Writing Log'!$A$5:$A$34,$A477)</f>
        <v>0</v>
      </c>
      <c r="C477" s="107">
        <f ca="1">SUMIFS('Daily Writing Log'!$I$5:$I$34,'Daily Writing Log'!$A$5:$A$34,$A477)</f>
        <v>0</v>
      </c>
      <c r="D477" s="108">
        <f ca="1">IF($C477&gt;=Config!$B$5,1,0)</f>
        <v>0</v>
      </c>
      <c r="E477" s="108">
        <f t="shared" ca="1" si="26"/>
        <v>0</v>
      </c>
      <c r="F477" s="108">
        <f ca="1">IF(AND($D477=0,$H476&gt;0,$E477&lt;Config!$B$8,$A477&lt;Config!$A$2),1,0)</f>
        <v>0</v>
      </c>
      <c r="G477" s="108">
        <f t="shared" ca="1" si="27"/>
        <v>0</v>
      </c>
      <c r="H477" s="108">
        <f ca="1">IF($D477=1,$H476+1,IF($F477=1,$H476,IF($A477=Config!$A$2,$H476,0)))</f>
        <v>0</v>
      </c>
      <c r="M477" s="109"/>
    </row>
    <row r="478" spans="1:13" x14ac:dyDescent="0.3">
      <c r="A478" s="106">
        <f t="shared" ca="1" si="25"/>
        <v>46056</v>
      </c>
      <c r="B478" s="107">
        <f ca="1">SUMIFS('Daily Writing Log'!$H$5:$H$34,'Daily Writing Log'!$A$5:$A$34,$A478)</f>
        <v>0</v>
      </c>
      <c r="C478" s="107">
        <f ca="1">SUMIFS('Daily Writing Log'!$I$5:$I$34,'Daily Writing Log'!$A$5:$A$34,$A478)</f>
        <v>0</v>
      </c>
      <c r="D478" s="108">
        <f ca="1">IF($C478&gt;=Config!$B$5,1,0)</f>
        <v>0</v>
      </c>
      <c r="E478" s="108">
        <f t="shared" ca="1" si="26"/>
        <v>0</v>
      </c>
      <c r="F478" s="108">
        <f ca="1">IF(AND($D478=0,$H477&gt;0,$E478&lt;Config!$B$8,$A478&lt;Config!$A$2),1,0)</f>
        <v>0</v>
      </c>
      <c r="G478" s="108">
        <f t="shared" ca="1" si="27"/>
        <v>0</v>
      </c>
      <c r="H478" s="108">
        <f ca="1">IF($D478=1,$H477+1,IF($F478=1,$H477,IF($A478=Config!$A$2,$H477,0)))</f>
        <v>0</v>
      </c>
      <c r="M478" s="109"/>
    </row>
    <row r="479" spans="1:13" x14ac:dyDescent="0.3">
      <c r="A479" s="106">
        <f t="shared" ca="1" si="25"/>
        <v>46057</v>
      </c>
      <c r="B479" s="107">
        <f ca="1">SUMIFS('Daily Writing Log'!$H$5:$H$34,'Daily Writing Log'!$A$5:$A$34,$A479)</f>
        <v>0</v>
      </c>
      <c r="C479" s="107">
        <f ca="1">SUMIFS('Daily Writing Log'!$I$5:$I$34,'Daily Writing Log'!$A$5:$A$34,$A479)</f>
        <v>0</v>
      </c>
      <c r="D479" s="108">
        <f ca="1">IF($C479&gt;=Config!$B$5,1,0)</f>
        <v>0</v>
      </c>
      <c r="E479" s="108">
        <f t="shared" ca="1" si="26"/>
        <v>0</v>
      </c>
      <c r="F479" s="108">
        <f ca="1">IF(AND($D479=0,$H478&gt;0,$E479&lt;Config!$B$8,$A479&lt;Config!$A$2),1,0)</f>
        <v>0</v>
      </c>
      <c r="G479" s="108">
        <f t="shared" ca="1" si="27"/>
        <v>0</v>
      </c>
      <c r="H479" s="108">
        <f ca="1">IF($D479=1,$H478+1,IF($F479=1,$H478,IF($A479=Config!$A$2,$H478,0)))</f>
        <v>0</v>
      </c>
      <c r="M479" s="109"/>
    </row>
    <row r="480" spans="1:13" x14ac:dyDescent="0.3">
      <c r="A480" s="106">
        <f t="shared" ca="1" si="25"/>
        <v>46058</v>
      </c>
      <c r="B480" s="107">
        <f ca="1">SUMIFS('Daily Writing Log'!$H$5:$H$34,'Daily Writing Log'!$A$5:$A$34,$A480)</f>
        <v>0</v>
      </c>
      <c r="C480" s="107">
        <f ca="1">SUMIFS('Daily Writing Log'!$I$5:$I$34,'Daily Writing Log'!$A$5:$A$34,$A480)</f>
        <v>0</v>
      </c>
      <c r="D480" s="108">
        <f ca="1">IF($C480&gt;=Config!$B$5,1,0)</f>
        <v>0</v>
      </c>
      <c r="E480" s="108">
        <f t="shared" ca="1" si="26"/>
        <v>0</v>
      </c>
      <c r="F480" s="108">
        <f ca="1">IF(AND($D480=0,$H479&gt;0,$E480&lt;Config!$B$8,$A480&lt;Config!$A$2),1,0)</f>
        <v>0</v>
      </c>
      <c r="G480" s="108">
        <f t="shared" ca="1" si="27"/>
        <v>0</v>
      </c>
      <c r="H480" s="108">
        <f ca="1">IF($D480=1,$H479+1,IF($F480=1,$H479,IF($A480=Config!$A$2,$H479,0)))</f>
        <v>0</v>
      </c>
      <c r="M480" s="109"/>
    </row>
    <row r="481" spans="1:13" x14ac:dyDescent="0.3">
      <c r="A481" s="106">
        <f t="shared" ca="1" si="25"/>
        <v>46059</v>
      </c>
      <c r="B481" s="107">
        <f ca="1">SUMIFS('Daily Writing Log'!$H$5:$H$34,'Daily Writing Log'!$A$5:$A$34,$A481)</f>
        <v>0</v>
      </c>
      <c r="C481" s="107">
        <f ca="1">SUMIFS('Daily Writing Log'!$I$5:$I$34,'Daily Writing Log'!$A$5:$A$34,$A481)</f>
        <v>0</v>
      </c>
      <c r="D481" s="108">
        <f ca="1">IF($C481&gt;=Config!$B$5,1,0)</f>
        <v>0</v>
      </c>
      <c r="E481" s="108">
        <f t="shared" ca="1" si="26"/>
        <v>0</v>
      </c>
      <c r="F481" s="108">
        <f ca="1">IF(AND($D481=0,$H480&gt;0,$E481&lt;Config!$B$8,$A481&lt;Config!$A$2),1,0)</f>
        <v>0</v>
      </c>
      <c r="G481" s="108">
        <f t="shared" ca="1" si="27"/>
        <v>0</v>
      </c>
      <c r="H481" s="108">
        <f ca="1">IF($D481=1,$H480+1,IF($F481=1,$H480,IF($A481=Config!$A$2,$H480,0)))</f>
        <v>0</v>
      </c>
      <c r="M481" s="109"/>
    </row>
    <row r="482" spans="1:13" x14ac:dyDescent="0.3">
      <c r="A482" s="106">
        <f t="shared" ca="1" si="25"/>
        <v>46060</v>
      </c>
      <c r="B482" s="107">
        <f ca="1">SUMIFS('Daily Writing Log'!$H$5:$H$34,'Daily Writing Log'!$A$5:$A$34,$A482)</f>
        <v>0</v>
      </c>
      <c r="C482" s="107">
        <f ca="1">SUMIFS('Daily Writing Log'!$I$5:$I$34,'Daily Writing Log'!$A$5:$A$34,$A482)</f>
        <v>0</v>
      </c>
      <c r="D482" s="108">
        <f ca="1">IF($C482&gt;=Config!$B$5,1,0)</f>
        <v>0</v>
      </c>
      <c r="E482" s="108">
        <f t="shared" ca="1" si="26"/>
        <v>0</v>
      </c>
      <c r="F482" s="108">
        <f ca="1">IF(AND($D482=0,$H481&gt;0,$E482&lt;Config!$B$8,$A482&lt;Config!$A$2),1,0)</f>
        <v>0</v>
      </c>
      <c r="G482" s="108">
        <f t="shared" ca="1" si="27"/>
        <v>0</v>
      </c>
      <c r="H482" s="108">
        <f ca="1">IF($D482=1,$H481+1,IF($F482=1,$H481,IF($A482=Config!$A$2,$H481,0)))</f>
        <v>0</v>
      </c>
      <c r="M482" s="109"/>
    </row>
    <row r="483" spans="1:13" x14ac:dyDescent="0.3">
      <c r="A483" s="106">
        <f t="shared" ca="1" si="25"/>
        <v>46061</v>
      </c>
      <c r="B483" s="107">
        <f ca="1">SUMIFS('Daily Writing Log'!$H$5:$H$34,'Daily Writing Log'!$A$5:$A$34,$A483)</f>
        <v>0</v>
      </c>
      <c r="C483" s="107">
        <f ca="1">SUMIFS('Daily Writing Log'!$I$5:$I$34,'Daily Writing Log'!$A$5:$A$34,$A483)</f>
        <v>0</v>
      </c>
      <c r="D483" s="108">
        <f ca="1">IF($C483&gt;=Config!$B$5,1,0)</f>
        <v>0</v>
      </c>
      <c r="E483" s="108">
        <f t="shared" ca="1" si="26"/>
        <v>0</v>
      </c>
      <c r="F483" s="108">
        <f ca="1">IF(AND($D483=0,$H482&gt;0,$E483&lt;Config!$B$8,$A483&lt;Config!$A$2),1,0)</f>
        <v>0</v>
      </c>
      <c r="G483" s="108">
        <f t="shared" ca="1" si="27"/>
        <v>0</v>
      </c>
      <c r="H483" s="108">
        <f ca="1">IF($D483=1,$H482+1,IF($F483=1,$H482,IF($A483=Config!$A$2,$H482,0)))</f>
        <v>0</v>
      </c>
      <c r="M483" s="109"/>
    </row>
    <row r="484" spans="1:13" x14ac:dyDescent="0.3">
      <c r="A484" s="106">
        <f t="shared" ca="1" si="25"/>
        <v>46062</v>
      </c>
      <c r="B484" s="107">
        <f ca="1">SUMIFS('Daily Writing Log'!$H$5:$H$34,'Daily Writing Log'!$A$5:$A$34,$A484)</f>
        <v>0</v>
      </c>
      <c r="C484" s="107">
        <f ca="1">SUMIFS('Daily Writing Log'!$I$5:$I$34,'Daily Writing Log'!$A$5:$A$34,$A484)</f>
        <v>0</v>
      </c>
      <c r="D484" s="108">
        <f ca="1">IF($C484&gt;=Config!$B$5,1,0)</f>
        <v>0</v>
      </c>
      <c r="E484" s="108">
        <f t="shared" ca="1" si="26"/>
        <v>0</v>
      </c>
      <c r="F484" s="108">
        <f ca="1">IF(AND($D484=0,$H483&gt;0,$E484&lt;Config!$B$8,$A484&lt;Config!$A$2),1,0)</f>
        <v>0</v>
      </c>
      <c r="G484" s="108">
        <f t="shared" ca="1" si="27"/>
        <v>0</v>
      </c>
      <c r="H484" s="108">
        <f ca="1">IF($D484=1,$H483+1,IF($F484=1,$H483,IF($A484=Config!$A$2,$H483,0)))</f>
        <v>0</v>
      </c>
      <c r="M484" s="109"/>
    </row>
    <row r="485" spans="1:13" x14ac:dyDescent="0.3">
      <c r="A485" s="106">
        <f t="shared" ca="1" si="25"/>
        <v>46063</v>
      </c>
      <c r="B485" s="107">
        <f ca="1">SUMIFS('Daily Writing Log'!$H$5:$H$34,'Daily Writing Log'!$A$5:$A$34,$A485)</f>
        <v>0</v>
      </c>
      <c r="C485" s="107">
        <f ca="1">SUMIFS('Daily Writing Log'!$I$5:$I$34,'Daily Writing Log'!$A$5:$A$34,$A485)</f>
        <v>0</v>
      </c>
      <c r="D485" s="108">
        <f ca="1">IF($C485&gt;=Config!$B$5,1,0)</f>
        <v>0</v>
      </c>
      <c r="E485" s="108">
        <f t="shared" ca="1" si="26"/>
        <v>0</v>
      </c>
      <c r="F485" s="108">
        <f ca="1">IF(AND($D485=0,$H484&gt;0,$E485&lt;Config!$B$8,$A485&lt;Config!$A$2),1,0)</f>
        <v>0</v>
      </c>
      <c r="G485" s="108">
        <f t="shared" ca="1" si="27"/>
        <v>0</v>
      </c>
      <c r="H485" s="108">
        <f ca="1">IF($D485=1,$H484+1,IF($F485=1,$H484,IF($A485=Config!$A$2,$H484,0)))</f>
        <v>0</v>
      </c>
      <c r="M485" s="109"/>
    </row>
    <row r="486" spans="1:13" x14ac:dyDescent="0.3">
      <c r="A486" s="106">
        <f t="shared" ca="1" si="25"/>
        <v>46064</v>
      </c>
      <c r="B486" s="107">
        <f ca="1">SUMIFS('Daily Writing Log'!$H$5:$H$34,'Daily Writing Log'!$A$5:$A$34,$A486)</f>
        <v>0</v>
      </c>
      <c r="C486" s="107">
        <f ca="1">SUMIFS('Daily Writing Log'!$I$5:$I$34,'Daily Writing Log'!$A$5:$A$34,$A486)</f>
        <v>0</v>
      </c>
      <c r="D486" s="108">
        <f ca="1">IF($C486&gt;=Config!$B$5,1,0)</f>
        <v>0</v>
      </c>
      <c r="E486" s="108">
        <f t="shared" ca="1" si="26"/>
        <v>0</v>
      </c>
      <c r="F486" s="108">
        <f ca="1">IF(AND($D486=0,$H485&gt;0,$E486&lt;Config!$B$8,$A486&lt;Config!$A$2),1,0)</f>
        <v>0</v>
      </c>
      <c r="G486" s="108">
        <f t="shared" ca="1" si="27"/>
        <v>0</v>
      </c>
      <c r="H486" s="108">
        <f ca="1">IF($D486=1,$H485+1,IF($F486=1,$H485,IF($A486=Config!$A$2,$H485,0)))</f>
        <v>0</v>
      </c>
      <c r="M486" s="109"/>
    </row>
    <row r="487" spans="1:13" x14ac:dyDescent="0.3">
      <c r="A487" s="106">
        <f t="shared" ca="1" si="25"/>
        <v>46065</v>
      </c>
      <c r="B487" s="107">
        <f ca="1">SUMIFS('Daily Writing Log'!$H$5:$H$34,'Daily Writing Log'!$A$5:$A$34,$A487)</f>
        <v>0</v>
      </c>
      <c r="C487" s="107">
        <f ca="1">SUMIFS('Daily Writing Log'!$I$5:$I$34,'Daily Writing Log'!$A$5:$A$34,$A487)</f>
        <v>0</v>
      </c>
      <c r="D487" s="108">
        <f ca="1">IF($C487&gt;=Config!$B$5,1,0)</f>
        <v>0</v>
      </c>
      <c r="E487" s="108">
        <f t="shared" ca="1" si="26"/>
        <v>0</v>
      </c>
      <c r="F487" s="108">
        <f ca="1">IF(AND($D487=0,$H486&gt;0,$E487&lt;Config!$B$8,$A487&lt;Config!$A$2),1,0)</f>
        <v>0</v>
      </c>
      <c r="G487" s="108">
        <f t="shared" ca="1" si="27"/>
        <v>0</v>
      </c>
      <c r="H487" s="108">
        <f ca="1">IF($D487=1,$H486+1,IF($F487=1,$H486,IF($A487=Config!$A$2,$H486,0)))</f>
        <v>0</v>
      </c>
      <c r="M487" s="109"/>
    </row>
    <row r="488" spans="1:13" x14ac:dyDescent="0.3">
      <c r="A488" s="106">
        <f t="shared" ca="1" si="25"/>
        <v>46066</v>
      </c>
      <c r="B488" s="107">
        <f ca="1">SUMIFS('Daily Writing Log'!$H$5:$H$34,'Daily Writing Log'!$A$5:$A$34,$A488)</f>
        <v>0</v>
      </c>
      <c r="C488" s="107">
        <f ca="1">SUMIFS('Daily Writing Log'!$I$5:$I$34,'Daily Writing Log'!$A$5:$A$34,$A488)</f>
        <v>0</v>
      </c>
      <c r="D488" s="108">
        <f ca="1">IF($C488&gt;=Config!$B$5,1,0)</f>
        <v>0</v>
      </c>
      <c r="E488" s="108">
        <f t="shared" ca="1" si="26"/>
        <v>0</v>
      </c>
      <c r="F488" s="108">
        <f ca="1">IF(AND($D488=0,$H487&gt;0,$E488&lt;Config!$B$8,$A488&lt;Config!$A$2),1,0)</f>
        <v>0</v>
      </c>
      <c r="G488" s="108">
        <f t="shared" ca="1" si="27"/>
        <v>0</v>
      </c>
      <c r="H488" s="108">
        <f ca="1">IF($D488=1,$H487+1,IF($F488=1,$H487,IF($A488=Config!$A$2,$H487,0)))</f>
        <v>0</v>
      </c>
      <c r="M488" s="109"/>
    </row>
    <row r="489" spans="1:13" x14ac:dyDescent="0.3">
      <c r="A489" s="106">
        <f t="shared" ca="1" si="25"/>
        <v>46067</v>
      </c>
      <c r="B489" s="107">
        <f ca="1">SUMIFS('Daily Writing Log'!$H$5:$H$34,'Daily Writing Log'!$A$5:$A$34,$A489)</f>
        <v>0</v>
      </c>
      <c r="C489" s="107">
        <f ca="1">SUMIFS('Daily Writing Log'!$I$5:$I$34,'Daily Writing Log'!$A$5:$A$34,$A489)</f>
        <v>0</v>
      </c>
      <c r="D489" s="108">
        <f ca="1">IF($C489&gt;=Config!$B$5,1,0)</f>
        <v>0</v>
      </c>
      <c r="E489" s="108">
        <f t="shared" ca="1" si="26"/>
        <v>0</v>
      </c>
      <c r="F489" s="108">
        <f ca="1">IF(AND($D489=0,$H488&gt;0,$E489&lt;Config!$B$8,$A489&lt;Config!$A$2),1,0)</f>
        <v>0</v>
      </c>
      <c r="G489" s="108">
        <f t="shared" ca="1" si="27"/>
        <v>0</v>
      </c>
      <c r="H489" s="108">
        <f ca="1">IF($D489=1,$H488+1,IF($F489=1,$H488,IF($A489=Config!$A$2,$H488,0)))</f>
        <v>0</v>
      </c>
      <c r="M489" s="109"/>
    </row>
    <row r="490" spans="1:13" x14ac:dyDescent="0.3">
      <c r="A490" s="106">
        <f t="shared" ca="1" si="25"/>
        <v>46068</v>
      </c>
      <c r="B490" s="107">
        <f ca="1">SUMIFS('Daily Writing Log'!$H$5:$H$34,'Daily Writing Log'!$A$5:$A$34,$A490)</f>
        <v>0</v>
      </c>
      <c r="C490" s="107">
        <f ca="1">SUMIFS('Daily Writing Log'!$I$5:$I$34,'Daily Writing Log'!$A$5:$A$34,$A490)</f>
        <v>0</v>
      </c>
      <c r="D490" s="108">
        <f ca="1">IF($C490&gt;=Config!$B$5,1,0)</f>
        <v>0</v>
      </c>
      <c r="E490" s="108">
        <f t="shared" ca="1" si="26"/>
        <v>0</v>
      </c>
      <c r="F490" s="108">
        <f ca="1">IF(AND($D490=0,$H489&gt;0,$E490&lt;Config!$B$8,$A490&lt;Config!$A$2),1,0)</f>
        <v>0</v>
      </c>
      <c r="G490" s="108">
        <f t="shared" ca="1" si="27"/>
        <v>0</v>
      </c>
      <c r="H490" s="108">
        <f ca="1">IF($D490=1,$H489+1,IF($F490=1,$H489,IF($A490=Config!$A$2,$H489,0)))</f>
        <v>0</v>
      </c>
      <c r="M490" s="109"/>
    </row>
    <row r="491" spans="1:13" x14ac:dyDescent="0.3">
      <c r="A491" s="106">
        <f t="shared" ca="1" si="25"/>
        <v>46069</v>
      </c>
      <c r="B491" s="107">
        <f ca="1">SUMIFS('Daily Writing Log'!$H$5:$H$34,'Daily Writing Log'!$A$5:$A$34,$A491)</f>
        <v>0</v>
      </c>
      <c r="C491" s="107">
        <f ca="1">SUMIFS('Daily Writing Log'!$I$5:$I$34,'Daily Writing Log'!$A$5:$A$34,$A491)</f>
        <v>0</v>
      </c>
      <c r="D491" s="108">
        <f ca="1">IF($C491&gt;=Config!$B$5,1,0)</f>
        <v>0</v>
      </c>
      <c r="E491" s="108">
        <f t="shared" ca="1" si="26"/>
        <v>0</v>
      </c>
      <c r="F491" s="108">
        <f ca="1">IF(AND($D491=0,$H490&gt;0,$E491&lt;Config!$B$8,$A491&lt;Config!$A$2),1,0)</f>
        <v>0</v>
      </c>
      <c r="G491" s="108">
        <f t="shared" ca="1" si="27"/>
        <v>0</v>
      </c>
      <c r="H491" s="108">
        <f ca="1">IF($D491=1,$H490+1,IF($F491=1,$H490,IF($A491=Config!$A$2,$H490,0)))</f>
        <v>0</v>
      </c>
      <c r="M491" s="109"/>
    </row>
    <row r="492" spans="1:13" x14ac:dyDescent="0.3">
      <c r="A492" s="106">
        <f t="shared" ca="1" si="25"/>
        <v>46070</v>
      </c>
      <c r="B492" s="107">
        <f ca="1">SUMIFS('Daily Writing Log'!$H$5:$H$34,'Daily Writing Log'!$A$5:$A$34,$A492)</f>
        <v>0</v>
      </c>
      <c r="C492" s="107">
        <f ca="1">SUMIFS('Daily Writing Log'!$I$5:$I$34,'Daily Writing Log'!$A$5:$A$34,$A492)</f>
        <v>0</v>
      </c>
      <c r="D492" s="108">
        <f ca="1">IF($C492&gt;=Config!$B$5,1,0)</f>
        <v>0</v>
      </c>
      <c r="E492" s="108">
        <f t="shared" ca="1" si="26"/>
        <v>0</v>
      </c>
      <c r="F492" s="108">
        <f ca="1">IF(AND($D492=0,$H491&gt;0,$E492&lt;Config!$B$8,$A492&lt;Config!$A$2),1,0)</f>
        <v>0</v>
      </c>
      <c r="G492" s="108">
        <f t="shared" ca="1" si="27"/>
        <v>0</v>
      </c>
      <c r="H492" s="108">
        <f ca="1">IF($D492=1,$H491+1,IF($F492=1,$H491,IF($A492=Config!$A$2,$H491,0)))</f>
        <v>0</v>
      </c>
      <c r="M492" s="109"/>
    </row>
    <row r="493" spans="1:13" x14ac:dyDescent="0.3">
      <c r="A493" s="106">
        <f t="shared" ca="1" si="25"/>
        <v>46071</v>
      </c>
      <c r="B493" s="107">
        <f ca="1">SUMIFS('Daily Writing Log'!$H$5:$H$34,'Daily Writing Log'!$A$5:$A$34,$A493)</f>
        <v>0</v>
      </c>
      <c r="C493" s="107">
        <f ca="1">SUMIFS('Daily Writing Log'!$I$5:$I$34,'Daily Writing Log'!$A$5:$A$34,$A493)</f>
        <v>0</v>
      </c>
      <c r="D493" s="108">
        <f ca="1">IF($C493&gt;=Config!$B$5,1,0)</f>
        <v>0</v>
      </c>
      <c r="E493" s="108">
        <f t="shared" ca="1" si="26"/>
        <v>0</v>
      </c>
      <c r="F493" s="108">
        <f ca="1">IF(AND($D493=0,$H492&gt;0,$E493&lt;Config!$B$8,$A493&lt;Config!$A$2),1,0)</f>
        <v>0</v>
      </c>
      <c r="G493" s="108">
        <f t="shared" ca="1" si="27"/>
        <v>0</v>
      </c>
      <c r="H493" s="108">
        <f ca="1">IF($D493=1,$H492+1,IF($F493=1,$H492,IF($A493=Config!$A$2,$H492,0)))</f>
        <v>0</v>
      </c>
      <c r="M493" s="109"/>
    </row>
    <row r="494" spans="1:13" x14ac:dyDescent="0.3">
      <c r="A494" s="106">
        <f t="shared" ca="1" si="25"/>
        <v>46072</v>
      </c>
      <c r="B494" s="107">
        <f ca="1">SUMIFS('Daily Writing Log'!$H$5:$H$34,'Daily Writing Log'!$A$5:$A$34,$A494)</f>
        <v>0</v>
      </c>
      <c r="C494" s="107">
        <f ca="1">SUMIFS('Daily Writing Log'!$I$5:$I$34,'Daily Writing Log'!$A$5:$A$34,$A494)</f>
        <v>0</v>
      </c>
      <c r="D494" s="108">
        <f ca="1">IF($C494&gt;=Config!$B$5,1,0)</f>
        <v>0</v>
      </c>
      <c r="E494" s="108">
        <f t="shared" ca="1" si="26"/>
        <v>0</v>
      </c>
      <c r="F494" s="108">
        <f ca="1">IF(AND($D494=0,$H493&gt;0,$E494&lt;Config!$B$8,$A494&lt;Config!$A$2),1,0)</f>
        <v>0</v>
      </c>
      <c r="G494" s="108">
        <f t="shared" ca="1" si="27"/>
        <v>0</v>
      </c>
      <c r="H494" s="108">
        <f ca="1">IF($D494=1,$H493+1,IF($F494=1,$H493,IF($A494=Config!$A$2,$H493,0)))</f>
        <v>0</v>
      </c>
      <c r="M494" s="109"/>
    </row>
    <row r="495" spans="1:13" x14ac:dyDescent="0.3">
      <c r="A495" s="106">
        <f t="shared" ca="1" si="25"/>
        <v>46073</v>
      </c>
      <c r="B495" s="107">
        <f ca="1">SUMIFS('Daily Writing Log'!$H$5:$H$34,'Daily Writing Log'!$A$5:$A$34,$A495)</f>
        <v>0</v>
      </c>
      <c r="C495" s="107">
        <f ca="1">SUMIFS('Daily Writing Log'!$I$5:$I$34,'Daily Writing Log'!$A$5:$A$34,$A495)</f>
        <v>0</v>
      </c>
      <c r="D495" s="108">
        <f ca="1">IF($C495&gt;=Config!$B$5,1,0)</f>
        <v>0</v>
      </c>
      <c r="E495" s="108">
        <f t="shared" ca="1" si="26"/>
        <v>0</v>
      </c>
      <c r="F495" s="108">
        <f ca="1">IF(AND($D495=0,$H494&gt;0,$E495&lt;Config!$B$8,$A495&lt;Config!$A$2),1,0)</f>
        <v>0</v>
      </c>
      <c r="G495" s="108">
        <f t="shared" ca="1" si="27"/>
        <v>0</v>
      </c>
      <c r="H495" s="108">
        <f ca="1">IF($D495=1,$H494+1,IF($F495=1,$H494,IF($A495=Config!$A$2,$H494,0)))</f>
        <v>0</v>
      </c>
      <c r="M495" s="109"/>
    </row>
    <row r="496" spans="1:13" x14ac:dyDescent="0.3">
      <c r="A496" s="106">
        <f t="shared" ca="1" si="25"/>
        <v>46074</v>
      </c>
      <c r="B496" s="107">
        <f ca="1">SUMIFS('Daily Writing Log'!$H$5:$H$34,'Daily Writing Log'!$A$5:$A$34,$A496)</f>
        <v>0</v>
      </c>
      <c r="C496" s="107">
        <f ca="1">SUMIFS('Daily Writing Log'!$I$5:$I$34,'Daily Writing Log'!$A$5:$A$34,$A496)</f>
        <v>0</v>
      </c>
      <c r="D496" s="108">
        <f ca="1">IF($C496&gt;=Config!$B$5,1,0)</f>
        <v>0</v>
      </c>
      <c r="E496" s="108">
        <f t="shared" ca="1" si="26"/>
        <v>0</v>
      </c>
      <c r="F496" s="108">
        <f ca="1">IF(AND($D496=0,$H495&gt;0,$E496&lt;Config!$B$8,$A496&lt;Config!$A$2),1,0)</f>
        <v>0</v>
      </c>
      <c r="G496" s="108">
        <f t="shared" ca="1" si="27"/>
        <v>0</v>
      </c>
      <c r="H496" s="108">
        <f ca="1">IF($D496=1,$H495+1,IF($F496=1,$H495,IF($A496=Config!$A$2,$H495,0)))</f>
        <v>0</v>
      </c>
      <c r="M496" s="109"/>
    </row>
    <row r="497" spans="1:13" x14ac:dyDescent="0.3">
      <c r="A497" s="106">
        <f t="shared" ca="1" si="25"/>
        <v>46075</v>
      </c>
      <c r="B497" s="107">
        <f ca="1">SUMIFS('Daily Writing Log'!$H$5:$H$34,'Daily Writing Log'!$A$5:$A$34,$A497)</f>
        <v>0</v>
      </c>
      <c r="C497" s="107">
        <f ca="1">SUMIFS('Daily Writing Log'!$I$5:$I$34,'Daily Writing Log'!$A$5:$A$34,$A497)</f>
        <v>0</v>
      </c>
      <c r="D497" s="108">
        <f ca="1">IF($C497&gt;=Config!$B$5,1,0)</f>
        <v>0</v>
      </c>
      <c r="E497" s="108">
        <f t="shared" ca="1" si="26"/>
        <v>0</v>
      </c>
      <c r="F497" s="108">
        <f ca="1">IF(AND($D497=0,$H496&gt;0,$E497&lt;Config!$B$8,$A497&lt;Config!$A$2),1,0)</f>
        <v>0</v>
      </c>
      <c r="G497" s="108">
        <f t="shared" ca="1" si="27"/>
        <v>0</v>
      </c>
      <c r="H497" s="108">
        <f ca="1">IF($D497=1,$H496+1,IF($F497=1,$H496,IF($A497=Config!$A$2,$H496,0)))</f>
        <v>0</v>
      </c>
      <c r="M497" s="109"/>
    </row>
    <row r="498" spans="1:13" x14ac:dyDescent="0.3">
      <c r="A498" s="106">
        <f t="shared" ca="1" si="25"/>
        <v>46076</v>
      </c>
      <c r="B498" s="107">
        <f ca="1">SUMIFS('Daily Writing Log'!$H$5:$H$34,'Daily Writing Log'!$A$5:$A$34,$A498)</f>
        <v>0</v>
      </c>
      <c r="C498" s="107">
        <f ca="1">SUMIFS('Daily Writing Log'!$I$5:$I$34,'Daily Writing Log'!$A$5:$A$34,$A498)</f>
        <v>0</v>
      </c>
      <c r="D498" s="108">
        <f ca="1">IF($C498&gt;=Config!$B$5,1,0)</f>
        <v>0</v>
      </c>
      <c r="E498" s="108">
        <f t="shared" ca="1" si="26"/>
        <v>0</v>
      </c>
      <c r="F498" s="108">
        <f ca="1">IF(AND($D498=0,$H497&gt;0,$E498&lt;Config!$B$8,$A498&lt;Config!$A$2),1,0)</f>
        <v>0</v>
      </c>
      <c r="G498" s="108">
        <f t="shared" ca="1" si="27"/>
        <v>0</v>
      </c>
      <c r="H498" s="108">
        <f ca="1">IF($D498=1,$H497+1,IF($F498=1,$H497,IF($A498=Config!$A$2,$H497,0)))</f>
        <v>0</v>
      </c>
      <c r="M498" s="109"/>
    </row>
    <row r="499" spans="1:13" x14ac:dyDescent="0.3">
      <c r="A499" s="106">
        <f t="shared" ca="1" si="25"/>
        <v>46077</v>
      </c>
      <c r="B499" s="107">
        <f ca="1">SUMIFS('Daily Writing Log'!$H$5:$H$34,'Daily Writing Log'!$A$5:$A$34,$A499)</f>
        <v>0</v>
      </c>
      <c r="C499" s="107">
        <f ca="1">SUMIFS('Daily Writing Log'!$I$5:$I$34,'Daily Writing Log'!$A$5:$A$34,$A499)</f>
        <v>0</v>
      </c>
      <c r="D499" s="108">
        <f ca="1">IF($C499&gt;=Config!$B$5,1,0)</f>
        <v>0</v>
      </c>
      <c r="E499" s="108">
        <f t="shared" ca="1" si="26"/>
        <v>0</v>
      </c>
      <c r="F499" s="108">
        <f ca="1">IF(AND($D499=0,$H498&gt;0,$E499&lt;Config!$B$8,$A499&lt;Config!$A$2),1,0)</f>
        <v>0</v>
      </c>
      <c r="G499" s="108">
        <f t="shared" ca="1" si="27"/>
        <v>0</v>
      </c>
      <c r="H499" s="108">
        <f ca="1">IF($D499=1,$H498+1,IF($F499=1,$H498,IF($A499=Config!$A$2,$H498,0)))</f>
        <v>0</v>
      </c>
      <c r="M499" s="109"/>
    </row>
    <row r="500" spans="1:13" x14ac:dyDescent="0.3">
      <c r="A500" s="106">
        <f t="shared" ca="1" si="25"/>
        <v>46078</v>
      </c>
      <c r="B500" s="107">
        <f ca="1">SUMIFS('Daily Writing Log'!$H$5:$H$34,'Daily Writing Log'!$A$5:$A$34,$A500)</f>
        <v>0</v>
      </c>
      <c r="C500" s="107">
        <f ca="1">SUMIFS('Daily Writing Log'!$I$5:$I$34,'Daily Writing Log'!$A$5:$A$34,$A500)</f>
        <v>0</v>
      </c>
      <c r="D500" s="108">
        <f ca="1">IF($C500&gt;=Config!$B$5,1,0)</f>
        <v>0</v>
      </c>
      <c r="E500" s="108">
        <f t="shared" ca="1" si="26"/>
        <v>0</v>
      </c>
      <c r="F500" s="108">
        <f ca="1">IF(AND($D500=0,$H499&gt;0,$E500&lt;Config!$B$8,$A500&lt;Config!$A$2),1,0)</f>
        <v>0</v>
      </c>
      <c r="G500" s="108">
        <f t="shared" ca="1" si="27"/>
        <v>0</v>
      </c>
      <c r="H500" s="108">
        <f ca="1">IF($D500=1,$H499+1,IF($F500=1,$H499,IF($A500=Config!$A$2,$H499,0)))</f>
        <v>0</v>
      </c>
      <c r="M500" s="109"/>
    </row>
    <row r="501" spans="1:13" x14ac:dyDescent="0.3">
      <c r="A501" s="106">
        <f t="shared" ca="1" si="25"/>
        <v>46079</v>
      </c>
      <c r="B501" s="107">
        <f ca="1">SUMIFS('Daily Writing Log'!$H$5:$H$34,'Daily Writing Log'!$A$5:$A$34,$A501)</f>
        <v>0</v>
      </c>
      <c r="C501" s="107">
        <f ca="1">SUMIFS('Daily Writing Log'!$I$5:$I$34,'Daily Writing Log'!$A$5:$A$34,$A501)</f>
        <v>0</v>
      </c>
      <c r="D501" s="108">
        <f ca="1">IF($C501&gt;=Config!$B$5,1,0)</f>
        <v>0</v>
      </c>
      <c r="E501" s="108">
        <f t="shared" ca="1" si="26"/>
        <v>0</v>
      </c>
      <c r="F501" s="108">
        <f ca="1">IF(AND($D501=0,$H500&gt;0,$E501&lt;Config!$B$8,$A501&lt;Config!$A$2),1,0)</f>
        <v>0</v>
      </c>
      <c r="G501" s="108">
        <f t="shared" ca="1" si="27"/>
        <v>0</v>
      </c>
      <c r="H501" s="108">
        <f ca="1">IF($D501=1,$H500+1,IF($F501=1,$H500,IF($A501=Config!$A$2,$H500,0)))</f>
        <v>0</v>
      </c>
      <c r="M501" s="109"/>
    </row>
    <row r="502" spans="1:13" x14ac:dyDescent="0.3">
      <c r="A502" s="106">
        <f t="shared" ca="1" si="25"/>
        <v>46080</v>
      </c>
      <c r="B502" s="107">
        <f ca="1">SUMIFS('Daily Writing Log'!$H$5:$H$34,'Daily Writing Log'!$A$5:$A$34,$A502)</f>
        <v>0</v>
      </c>
      <c r="C502" s="107">
        <f ca="1">SUMIFS('Daily Writing Log'!$I$5:$I$34,'Daily Writing Log'!$A$5:$A$34,$A502)</f>
        <v>0</v>
      </c>
      <c r="D502" s="108">
        <f ca="1">IF($C502&gt;=Config!$B$5,1,0)</f>
        <v>0</v>
      </c>
      <c r="E502" s="108">
        <f t="shared" ca="1" si="26"/>
        <v>0</v>
      </c>
      <c r="F502" s="108">
        <f ca="1">IF(AND($D502=0,$H501&gt;0,$E502&lt;Config!$B$8,$A502&lt;Config!$A$2),1,0)</f>
        <v>0</v>
      </c>
      <c r="G502" s="108">
        <f t="shared" ca="1" si="27"/>
        <v>0</v>
      </c>
      <c r="H502" s="108">
        <f ca="1">IF($D502=1,$H501+1,IF($F502=1,$H501,IF($A502=Config!$A$2,$H501,0)))</f>
        <v>0</v>
      </c>
      <c r="M502" s="109"/>
    </row>
    <row r="503" spans="1:13" x14ac:dyDescent="0.3">
      <c r="A503" s="106">
        <f t="shared" ca="1" si="25"/>
        <v>46081</v>
      </c>
      <c r="B503" s="107">
        <f ca="1">SUMIFS('Daily Writing Log'!$H$5:$H$34,'Daily Writing Log'!$A$5:$A$34,$A503)</f>
        <v>0</v>
      </c>
      <c r="C503" s="107">
        <f ca="1">SUMIFS('Daily Writing Log'!$I$5:$I$34,'Daily Writing Log'!$A$5:$A$34,$A503)</f>
        <v>0</v>
      </c>
      <c r="D503" s="108">
        <f ca="1">IF($C503&gt;=Config!$B$5,1,0)</f>
        <v>0</v>
      </c>
      <c r="E503" s="108">
        <f t="shared" ca="1" si="26"/>
        <v>0</v>
      </c>
      <c r="F503" s="108">
        <f ca="1">IF(AND($D503=0,$H502&gt;0,$E503&lt;Config!$B$8,$A503&lt;Config!$A$2),1,0)</f>
        <v>0</v>
      </c>
      <c r="G503" s="108">
        <f t="shared" ca="1" si="27"/>
        <v>0</v>
      </c>
      <c r="H503" s="108">
        <f ca="1">IF($D503=1,$H502+1,IF($F503=1,$H502,IF($A503=Config!$A$2,$H502,0)))</f>
        <v>0</v>
      </c>
      <c r="M503" s="109"/>
    </row>
    <row r="504" spans="1:13" x14ac:dyDescent="0.3">
      <c r="A504" s="106">
        <f t="shared" ca="1" si="25"/>
        <v>46082</v>
      </c>
      <c r="B504" s="107">
        <f ca="1">SUMIFS('Daily Writing Log'!$H$5:$H$34,'Daily Writing Log'!$A$5:$A$34,$A504)</f>
        <v>0</v>
      </c>
      <c r="C504" s="107">
        <f ca="1">SUMIFS('Daily Writing Log'!$I$5:$I$34,'Daily Writing Log'!$A$5:$A$34,$A504)</f>
        <v>0</v>
      </c>
      <c r="D504" s="108">
        <f ca="1">IF($C504&gt;=Config!$B$5,1,0)</f>
        <v>0</v>
      </c>
      <c r="E504" s="108">
        <f t="shared" ca="1" si="26"/>
        <v>0</v>
      </c>
      <c r="F504" s="108">
        <f ca="1">IF(AND($D504=0,$H503&gt;0,$E504&lt;Config!$B$8,$A504&lt;Config!$A$2),1,0)</f>
        <v>0</v>
      </c>
      <c r="G504" s="108">
        <f t="shared" ca="1" si="27"/>
        <v>0</v>
      </c>
      <c r="H504" s="108">
        <f ca="1">IF($D504=1,$H503+1,IF($F504=1,$H503,IF($A504=Config!$A$2,$H503,0)))</f>
        <v>0</v>
      </c>
      <c r="M504" s="109"/>
    </row>
    <row r="505" spans="1:13" x14ac:dyDescent="0.3">
      <c r="A505" s="106">
        <f t="shared" ca="1" si="25"/>
        <v>46083</v>
      </c>
      <c r="B505" s="107">
        <f ca="1">SUMIFS('Daily Writing Log'!$H$5:$H$34,'Daily Writing Log'!$A$5:$A$34,$A505)</f>
        <v>0</v>
      </c>
      <c r="C505" s="107">
        <f ca="1">SUMIFS('Daily Writing Log'!$I$5:$I$34,'Daily Writing Log'!$A$5:$A$34,$A505)</f>
        <v>0</v>
      </c>
      <c r="D505" s="108">
        <f ca="1">IF($C505&gt;=Config!$B$5,1,0)</f>
        <v>0</v>
      </c>
      <c r="E505" s="108">
        <f t="shared" ca="1" si="26"/>
        <v>0</v>
      </c>
      <c r="F505" s="108">
        <f ca="1">IF(AND($D505=0,$H504&gt;0,$E505&lt;Config!$B$8,$A505&lt;Config!$A$2),1,0)</f>
        <v>0</v>
      </c>
      <c r="G505" s="108">
        <f t="shared" ca="1" si="27"/>
        <v>0</v>
      </c>
      <c r="H505" s="108">
        <f ca="1">IF($D505=1,$H504+1,IF($F505=1,$H504,IF($A505=Config!$A$2,$H504,0)))</f>
        <v>0</v>
      </c>
      <c r="M505" s="109"/>
    </row>
    <row r="506" spans="1:13" x14ac:dyDescent="0.3">
      <c r="A506" s="106">
        <f t="shared" ca="1" si="25"/>
        <v>46084</v>
      </c>
      <c r="B506" s="107">
        <f ca="1">SUMIFS('Daily Writing Log'!$H$5:$H$34,'Daily Writing Log'!$A$5:$A$34,$A506)</f>
        <v>0</v>
      </c>
      <c r="C506" s="107">
        <f ca="1">SUMIFS('Daily Writing Log'!$I$5:$I$34,'Daily Writing Log'!$A$5:$A$34,$A506)</f>
        <v>0</v>
      </c>
      <c r="D506" s="108">
        <f ca="1">IF($C506&gt;=Config!$B$5,1,0)</f>
        <v>0</v>
      </c>
      <c r="E506" s="108">
        <f t="shared" ca="1" si="26"/>
        <v>0</v>
      </c>
      <c r="F506" s="108">
        <f ca="1">IF(AND($D506=0,$H505&gt;0,$E506&lt;Config!$B$8,$A506&lt;Config!$A$2),1,0)</f>
        <v>0</v>
      </c>
      <c r="G506" s="108">
        <f t="shared" ca="1" si="27"/>
        <v>0</v>
      </c>
      <c r="H506" s="108">
        <f ca="1">IF($D506=1,$H505+1,IF($F506=1,$H505,IF($A506=Config!$A$2,$H505,0)))</f>
        <v>0</v>
      </c>
      <c r="M506" s="109"/>
    </row>
    <row r="507" spans="1:13" x14ac:dyDescent="0.3">
      <c r="A507" s="106">
        <f t="shared" ca="1" si="25"/>
        <v>46085</v>
      </c>
      <c r="B507" s="107">
        <f ca="1">SUMIFS('Daily Writing Log'!$H$5:$H$34,'Daily Writing Log'!$A$5:$A$34,$A507)</f>
        <v>0</v>
      </c>
      <c r="C507" s="107">
        <f ca="1">SUMIFS('Daily Writing Log'!$I$5:$I$34,'Daily Writing Log'!$A$5:$A$34,$A507)</f>
        <v>0</v>
      </c>
      <c r="D507" s="108">
        <f ca="1">IF($C507&gt;=Config!$B$5,1,0)</f>
        <v>0</v>
      </c>
      <c r="E507" s="108">
        <f t="shared" ca="1" si="26"/>
        <v>0</v>
      </c>
      <c r="F507" s="108">
        <f ca="1">IF(AND($D507=0,$H506&gt;0,$E507&lt;Config!$B$8,$A507&lt;Config!$A$2),1,0)</f>
        <v>0</v>
      </c>
      <c r="G507" s="108">
        <f t="shared" ca="1" si="27"/>
        <v>0</v>
      </c>
      <c r="H507" s="108">
        <f ca="1">IF($D507=1,$H506+1,IF($F507=1,$H506,IF($A507=Config!$A$2,$H506,0)))</f>
        <v>0</v>
      </c>
      <c r="M507" s="109"/>
    </row>
    <row r="508" spans="1:13" x14ac:dyDescent="0.3">
      <c r="A508" s="106">
        <f t="shared" ca="1" si="25"/>
        <v>46086</v>
      </c>
      <c r="B508" s="107">
        <f ca="1">SUMIFS('Daily Writing Log'!$H$5:$H$34,'Daily Writing Log'!$A$5:$A$34,$A508)</f>
        <v>0</v>
      </c>
      <c r="C508" s="107">
        <f ca="1">SUMIFS('Daily Writing Log'!$I$5:$I$34,'Daily Writing Log'!$A$5:$A$34,$A508)</f>
        <v>0</v>
      </c>
      <c r="D508" s="108">
        <f ca="1">IF($C508&gt;=Config!$B$5,1,0)</f>
        <v>0</v>
      </c>
      <c r="E508" s="108">
        <f t="shared" ca="1" si="26"/>
        <v>0</v>
      </c>
      <c r="F508" s="108">
        <f ca="1">IF(AND($D508=0,$H507&gt;0,$E508&lt;Config!$B$8,$A508&lt;Config!$A$2),1,0)</f>
        <v>0</v>
      </c>
      <c r="G508" s="108">
        <f t="shared" ca="1" si="27"/>
        <v>0</v>
      </c>
      <c r="H508" s="108">
        <f ca="1">IF($D508=1,$H507+1,IF($F508=1,$H507,IF($A508=Config!$A$2,$H507,0)))</f>
        <v>0</v>
      </c>
      <c r="M508" s="109"/>
    </row>
    <row r="509" spans="1:13" x14ac:dyDescent="0.3">
      <c r="A509" s="106">
        <f t="shared" ca="1" si="25"/>
        <v>46087</v>
      </c>
      <c r="B509" s="107">
        <f ca="1">SUMIFS('Daily Writing Log'!$H$5:$H$34,'Daily Writing Log'!$A$5:$A$34,$A509)</f>
        <v>0</v>
      </c>
      <c r="C509" s="107">
        <f ca="1">SUMIFS('Daily Writing Log'!$I$5:$I$34,'Daily Writing Log'!$A$5:$A$34,$A509)</f>
        <v>0</v>
      </c>
      <c r="D509" s="108">
        <f ca="1">IF($C509&gt;=Config!$B$5,1,0)</f>
        <v>0</v>
      </c>
      <c r="E509" s="108">
        <f t="shared" ca="1" si="26"/>
        <v>0</v>
      </c>
      <c r="F509" s="108">
        <f ca="1">IF(AND($D509=0,$H508&gt;0,$E509&lt;Config!$B$8,$A509&lt;Config!$A$2),1,0)</f>
        <v>0</v>
      </c>
      <c r="G509" s="108">
        <f t="shared" ca="1" si="27"/>
        <v>0</v>
      </c>
      <c r="H509" s="108">
        <f ca="1">IF($D509=1,$H508+1,IF($F509=1,$H508,IF($A509=Config!$A$2,$H508,0)))</f>
        <v>0</v>
      </c>
      <c r="M509" s="109"/>
    </row>
    <row r="510" spans="1:13" x14ac:dyDescent="0.3">
      <c r="A510" s="106">
        <f t="shared" ca="1" si="25"/>
        <v>46088</v>
      </c>
      <c r="B510" s="107">
        <f ca="1">SUMIFS('Daily Writing Log'!$H$5:$H$34,'Daily Writing Log'!$A$5:$A$34,$A510)</f>
        <v>0</v>
      </c>
      <c r="C510" s="107">
        <f ca="1">SUMIFS('Daily Writing Log'!$I$5:$I$34,'Daily Writing Log'!$A$5:$A$34,$A510)</f>
        <v>0</v>
      </c>
      <c r="D510" s="108">
        <f ca="1">IF($C510&gt;=Config!$B$5,1,0)</f>
        <v>0</v>
      </c>
      <c r="E510" s="108">
        <f t="shared" ca="1" si="26"/>
        <v>0</v>
      </c>
      <c r="F510" s="108">
        <f ca="1">IF(AND($D510=0,$H509&gt;0,$E510&lt;Config!$B$8,$A510&lt;Config!$A$2),1,0)</f>
        <v>0</v>
      </c>
      <c r="G510" s="108">
        <f t="shared" ca="1" si="27"/>
        <v>0</v>
      </c>
      <c r="H510" s="108">
        <f ca="1">IF($D510=1,$H509+1,IF($F510=1,$H509,IF($A510=Config!$A$2,$H509,0)))</f>
        <v>0</v>
      </c>
      <c r="M510" s="109"/>
    </row>
    <row r="511" spans="1:13" x14ac:dyDescent="0.3">
      <c r="A511" s="106">
        <f t="shared" ca="1" si="25"/>
        <v>46089</v>
      </c>
      <c r="B511" s="107">
        <f ca="1">SUMIFS('Daily Writing Log'!$H$5:$H$34,'Daily Writing Log'!$A$5:$A$34,$A511)</f>
        <v>0</v>
      </c>
      <c r="C511" s="107">
        <f ca="1">SUMIFS('Daily Writing Log'!$I$5:$I$34,'Daily Writing Log'!$A$5:$A$34,$A511)</f>
        <v>0</v>
      </c>
      <c r="D511" s="108">
        <f ca="1">IF($C511&gt;=Config!$B$5,1,0)</f>
        <v>0</v>
      </c>
      <c r="E511" s="108">
        <f t="shared" ca="1" si="26"/>
        <v>0</v>
      </c>
      <c r="F511" s="108">
        <f ca="1">IF(AND($D511=0,$H510&gt;0,$E511&lt;Config!$B$8,$A511&lt;Config!$A$2),1,0)</f>
        <v>0</v>
      </c>
      <c r="G511" s="108">
        <f t="shared" ca="1" si="27"/>
        <v>0</v>
      </c>
      <c r="H511" s="108">
        <f ca="1">IF($D511=1,$H510+1,IF($F511=1,$H510,IF($A511=Config!$A$2,$H510,0)))</f>
        <v>0</v>
      </c>
      <c r="M511" s="109"/>
    </row>
    <row r="512" spans="1:13" x14ac:dyDescent="0.3">
      <c r="A512" s="106">
        <f t="shared" ca="1" si="25"/>
        <v>46090</v>
      </c>
      <c r="B512" s="107">
        <f ca="1">SUMIFS('Daily Writing Log'!$H$5:$H$34,'Daily Writing Log'!$A$5:$A$34,$A512)</f>
        <v>0</v>
      </c>
      <c r="C512" s="107">
        <f ca="1">SUMIFS('Daily Writing Log'!$I$5:$I$34,'Daily Writing Log'!$A$5:$A$34,$A512)</f>
        <v>0</v>
      </c>
      <c r="D512" s="108">
        <f ca="1">IF($C512&gt;=Config!$B$5,1,0)</f>
        <v>0</v>
      </c>
      <c r="E512" s="108">
        <f t="shared" ca="1" si="26"/>
        <v>0</v>
      </c>
      <c r="F512" s="108">
        <f ca="1">IF(AND($D512=0,$H511&gt;0,$E512&lt;Config!$B$8,$A512&lt;Config!$A$2),1,0)</f>
        <v>0</v>
      </c>
      <c r="G512" s="108">
        <f t="shared" ca="1" si="27"/>
        <v>0</v>
      </c>
      <c r="H512" s="108">
        <f ca="1">IF($D512=1,$H511+1,IF($F512=1,$H511,IF($A512=Config!$A$2,$H511,0)))</f>
        <v>0</v>
      </c>
      <c r="M512" s="109"/>
    </row>
    <row r="513" spans="1:13" x14ac:dyDescent="0.3">
      <c r="A513" s="106">
        <f t="shared" ca="1" si="25"/>
        <v>46091</v>
      </c>
      <c r="B513" s="107">
        <f ca="1">SUMIFS('Daily Writing Log'!$H$5:$H$34,'Daily Writing Log'!$A$5:$A$34,$A513)</f>
        <v>0</v>
      </c>
      <c r="C513" s="107">
        <f ca="1">SUMIFS('Daily Writing Log'!$I$5:$I$34,'Daily Writing Log'!$A$5:$A$34,$A513)</f>
        <v>0</v>
      </c>
      <c r="D513" s="108">
        <f ca="1">IF($C513&gt;=Config!$B$5,1,0)</f>
        <v>0</v>
      </c>
      <c r="E513" s="108">
        <f t="shared" ca="1" si="26"/>
        <v>0</v>
      </c>
      <c r="F513" s="108">
        <f ca="1">IF(AND($D513=0,$H512&gt;0,$E513&lt;Config!$B$8,$A513&lt;Config!$A$2),1,0)</f>
        <v>0</v>
      </c>
      <c r="G513" s="108">
        <f t="shared" ca="1" si="27"/>
        <v>0</v>
      </c>
      <c r="H513" s="108">
        <f ca="1">IF($D513=1,$H512+1,IF($F513=1,$H512,IF($A513=Config!$A$2,$H512,0)))</f>
        <v>0</v>
      </c>
      <c r="M513" s="109"/>
    </row>
    <row r="514" spans="1:13" x14ac:dyDescent="0.3">
      <c r="A514" s="106">
        <f t="shared" ca="1" si="25"/>
        <v>46092</v>
      </c>
      <c r="B514" s="107">
        <f ca="1">SUMIFS('Daily Writing Log'!$H$5:$H$34,'Daily Writing Log'!$A$5:$A$34,$A514)</f>
        <v>0</v>
      </c>
      <c r="C514" s="107">
        <f ca="1">SUMIFS('Daily Writing Log'!$I$5:$I$34,'Daily Writing Log'!$A$5:$A$34,$A514)</f>
        <v>0</v>
      </c>
      <c r="D514" s="108">
        <f ca="1">IF($C514&gt;=Config!$B$5,1,0)</f>
        <v>0</v>
      </c>
      <c r="E514" s="108">
        <f t="shared" ca="1" si="26"/>
        <v>0</v>
      </c>
      <c r="F514" s="108">
        <f ca="1">IF(AND($D514=0,$H513&gt;0,$E514&lt;Config!$B$8,$A514&lt;Config!$A$2),1,0)</f>
        <v>0</v>
      </c>
      <c r="G514" s="108">
        <f t="shared" ca="1" si="27"/>
        <v>0</v>
      </c>
      <c r="H514" s="108">
        <f ca="1">IF($D514=1,$H513+1,IF($F514=1,$H513,IF($A514=Config!$A$2,$H513,0)))</f>
        <v>0</v>
      </c>
      <c r="M514" s="109"/>
    </row>
    <row r="515" spans="1:13" x14ac:dyDescent="0.3">
      <c r="A515" s="106">
        <f t="shared" ca="1" si="25"/>
        <v>46093</v>
      </c>
      <c r="B515" s="107">
        <f ca="1">SUMIFS('Daily Writing Log'!$H$5:$H$34,'Daily Writing Log'!$A$5:$A$34,$A515)</f>
        <v>0</v>
      </c>
      <c r="C515" s="107">
        <f ca="1">SUMIFS('Daily Writing Log'!$I$5:$I$34,'Daily Writing Log'!$A$5:$A$34,$A515)</f>
        <v>0</v>
      </c>
      <c r="D515" s="108">
        <f ca="1">IF($C515&gt;=Config!$B$5,1,0)</f>
        <v>0</v>
      </c>
      <c r="E515" s="108">
        <f t="shared" ca="1" si="26"/>
        <v>0</v>
      </c>
      <c r="F515" s="108">
        <f ca="1">IF(AND($D515=0,$H514&gt;0,$E515&lt;Config!$B$8,$A515&lt;Config!$A$2),1,0)</f>
        <v>0</v>
      </c>
      <c r="G515" s="108">
        <f t="shared" ca="1" si="27"/>
        <v>0</v>
      </c>
      <c r="H515" s="108">
        <f ca="1">IF($D515=1,$H514+1,IF($F515=1,$H514,IF($A515=Config!$A$2,$H514,0)))</f>
        <v>0</v>
      </c>
      <c r="M515" s="109"/>
    </row>
    <row r="516" spans="1:13" x14ac:dyDescent="0.3">
      <c r="A516" s="106">
        <f t="shared" ca="1" si="25"/>
        <v>46094</v>
      </c>
      <c r="B516" s="107">
        <f ca="1">SUMIFS('Daily Writing Log'!$H$5:$H$34,'Daily Writing Log'!$A$5:$A$34,$A516)</f>
        <v>0</v>
      </c>
      <c r="C516" s="107">
        <f ca="1">SUMIFS('Daily Writing Log'!$I$5:$I$34,'Daily Writing Log'!$A$5:$A$34,$A516)</f>
        <v>0</v>
      </c>
      <c r="D516" s="108">
        <f ca="1">IF($C516&gt;=Config!$B$5,1,0)</f>
        <v>0</v>
      </c>
      <c r="E516" s="108">
        <f t="shared" ca="1" si="26"/>
        <v>0</v>
      </c>
      <c r="F516" s="108">
        <f ca="1">IF(AND($D516=0,$H515&gt;0,$E516&lt;Config!$B$8,$A516&lt;Config!$A$2),1,0)</f>
        <v>0</v>
      </c>
      <c r="G516" s="108">
        <f t="shared" ca="1" si="27"/>
        <v>0</v>
      </c>
      <c r="H516" s="108">
        <f ca="1">IF($D516=1,$H515+1,IF($F516=1,$H515,IF($A516=Config!$A$2,$H515,0)))</f>
        <v>0</v>
      </c>
      <c r="M516" s="109"/>
    </row>
    <row r="517" spans="1:13" x14ac:dyDescent="0.3">
      <c r="A517" s="106">
        <f t="shared" ca="1" si="25"/>
        <v>46095</v>
      </c>
      <c r="B517" s="107">
        <f ca="1">SUMIFS('Daily Writing Log'!$H$5:$H$34,'Daily Writing Log'!$A$5:$A$34,$A517)</f>
        <v>0</v>
      </c>
      <c r="C517" s="107">
        <f ca="1">SUMIFS('Daily Writing Log'!$I$5:$I$34,'Daily Writing Log'!$A$5:$A$34,$A517)</f>
        <v>0</v>
      </c>
      <c r="D517" s="108">
        <f ca="1">IF($C517&gt;=Config!$B$5,1,0)</f>
        <v>0</v>
      </c>
      <c r="E517" s="108">
        <f t="shared" ca="1" si="26"/>
        <v>0</v>
      </c>
      <c r="F517" s="108">
        <f ca="1">IF(AND($D517=0,$H516&gt;0,$E517&lt;Config!$B$8,$A517&lt;Config!$A$2),1,0)</f>
        <v>0</v>
      </c>
      <c r="G517" s="108">
        <f t="shared" ca="1" si="27"/>
        <v>0</v>
      </c>
      <c r="H517" s="108">
        <f ca="1">IF($D517=1,$H516+1,IF($F517=1,$H516,IF($A517=Config!$A$2,$H516,0)))</f>
        <v>0</v>
      </c>
      <c r="M517" s="109"/>
    </row>
    <row r="518" spans="1:13" x14ac:dyDescent="0.3">
      <c r="A518" s="106">
        <f t="shared" ref="A518:A581" ca="1" si="28">A517+1</f>
        <v>46096</v>
      </c>
      <c r="B518" s="107">
        <f ca="1">SUMIFS('Daily Writing Log'!$H$5:$H$34,'Daily Writing Log'!$A$5:$A$34,$A518)</f>
        <v>0</v>
      </c>
      <c r="C518" s="107">
        <f ca="1">SUMIFS('Daily Writing Log'!$I$5:$I$34,'Daily Writing Log'!$A$5:$A$34,$A518)</f>
        <v>0</v>
      </c>
      <c r="D518" s="108">
        <f ca="1">IF($C518&gt;=Config!$B$5,1,0)</f>
        <v>0</v>
      </c>
      <c r="E518" s="108">
        <f t="shared" ref="E518:E581" ca="1" si="29">IF(MONTH($A518)&lt;&gt;MONTH($A517),0,$G517)</f>
        <v>0</v>
      </c>
      <c r="F518" s="108">
        <f ca="1">IF(AND($D518=0,$H517&gt;0,$E518&lt;Config!$B$8,$A518&lt;Config!$A$2),1,0)</f>
        <v>0</v>
      </c>
      <c r="G518" s="108">
        <f t="shared" ref="G518:G581" ca="1" si="30">$E518+$F518</f>
        <v>0</v>
      </c>
      <c r="H518" s="108">
        <f ca="1">IF($D518=1,$H517+1,IF($F518=1,$H517,IF($A518=Config!$A$2,$H517,0)))</f>
        <v>0</v>
      </c>
      <c r="M518" s="109"/>
    </row>
    <row r="519" spans="1:13" x14ac:dyDescent="0.3">
      <c r="A519" s="106">
        <f t="shared" ca="1" si="28"/>
        <v>46097</v>
      </c>
      <c r="B519" s="107">
        <f ca="1">SUMIFS('Daily Writing Log'!$H$5:$H$34,'Daily Writing Log'!$A$5:$A$34,$A519)</f>
        <v>0</v>
      </c>
      <c r="C519" s="107">
        <f ca="1">SUMIFS('Daily Writing Log'!$I$5:$I$34,'Daily Writing Log'!$A$5:$A$34,$A519)</f>
        <v>0</v>
      </c>
      <c r="D519" s="108">
        <f ca="1">IF($C519&gt;=Config!$B$5,1,0)</f>
        <v>0</v>
      </c>
      <c r="E519" s="108">
        <f t="shared" ca="1" si="29"/>
        <v>0</v>
      </c>
      <c r="F519" s="108">
        <f ca="1">IF(AND($D519=0,$H518&gt;0,$E519&lt;Config!$B$8,$A519&lt;Config!$A$2),1,0)</f>
        <v>0</v>
      </c>
      <c r="G519" s="108">
        <f t="shared" ca="1" si="30"/>
        <v>0</v>
      </c>
      <c r="H519" s="108">
        <f ca="1">IF($D519=1,$H518+1,IF($F519=1,$H518,IF($A519=Config!$A$2,$H518,0)))</f>
        <v>0</v>
      </c>
      <c r="M519" s="109"/>
    </row>
    <row r="520" spans="1:13" x14ac:dyDescent="0.3">
      <c r="A520" s="106">
        <f t="shared" ca="1" si="28"/>
        <v>46098</v>
      </c>
      <c r="B520" s="107">
        <f ca="1">SUMIFS('Daily Writing Log'!$H$5:$H$34,'Daily Writing Log'!$A$5:$A$34,$A520)</f>
        <v>0</v>
      </c>
      <c r="C520" s="107">
        <f ca="1">SUMIFS('Daily Writing Log'!$I$5:$I$34,'Daily Writing Log'!$A$5:$A$34,$A520)</f>
        <v>0</v>
      </c>
      <c r="D520" s="108">
        <f ca="1">IF($C520&gt;=Config!$B$5,1,0)</f>
        <v>0</v>
      </c>
      <c r="E520" s="108">
        <f t="shared" ca="1" si="29"/>
        <v>0</v>
      </c>
      <c r="F520" s="108">
        <f ca="1">IF(AND($D520=0,$H519&gt;0,$E520&lt;Config!$B$8,$A520&lt;Config!$A$2),1,0)</f>
        <v>0</v>
      </c>
      <c r="G520" s="108">
        <f t="shared" ca="1" si="30"/>
        <v>0</v>
      </c>
      <c r="H520" s="108">
        <f ca="1">IF($D520=1,$H519+1,IF($F520=1,$H519,IF($A520=Config!$A$2,$H519,0)))</f>
        <v>0</v>
      </c>
      <c r="M520" s="109"/>
    </row>
    <row r="521" spans="1:13" x14ac:dyDescent="0.3">
      <c r="A521" s="106">
        <f t="shared" ca="1" si="28"/>
        <v>46099</v>
      </c>
      <c r="B521" s="107">
        <f ca="1">SUMIFS('Daily Writing Log'!$H$5:$H$34,'Daily Writing Log'!$A$5:$A$34,$A521)</f>
        <v>0</v>
      </c>
      <c r="C521" s="107">
        <f ca="1">SUMIFS('Daily Writing Log'!$I$5:$I$34,'Daily Writing Log'!$A$5:$A$34,$A521)</f>
        <v>0</v>
      </c>
      <c r="D521" s="108">
        <f ca="1">IF($C521&gt;=Config!$B$5,1,0)</f>
        <v>0</v>
      </c>
      <c r="E521" s="108">
        <f t="shared" ca="1" si="29"/>
        <v>0</v>
      </c>
      <c r="F521" s="108">
        <f ca="1">IF(AND($D521=0,$H520&gt;0,$E521&lt;Config!$B$8,$A521&lt;Config!$A$2),1,0)</f>
        <v>0</v>
      </c>
      <c r="G521" s="108">
        <f t="shared" ca="1" si="30"/>
        <v>0</v>
      </c>
      <c r="H521" s="108">
        <f ca="1">IF($D521=1,$H520+1,IF($F521=1,$H520,IF($A521=Config!$A$2,$H520,0)))</f>
        <v>0</v>
      </c>
      <c r="M521" s="109"/>
    </row>
    <row r="522" spans="1:13" x14ac:dyDescent="0.3">
      <c r="A522" s="106">
        <f t="shared" ca="1" si="28"/>
        <v>46100</v>
      </c>
      <c r="B522" s="107">
        <f ca="1">SUMIFS('Daily Writing Log'!$H$5:$H$34,'Daily Writing Log'!$A$5:$A$34,$A522)</f>
        <v>0</v>
      </c>
      <c r="C522" s="107">
        <f ca="1">SUMIFS('Daily Writing Log'!$I$5:$I$34,'Daily Writing Log'!$A$5:$A$34,$A522)</f>
        <v>0</v>
      </c>
      <c r="D522" s="108">
        <f ca="1">IF($C522&gt;=Config!$B$5,1,0)</f>
        <v>0</v>
      </c>
      <c r="E522" s="108">
        <f t="shared" ca="1" si="29"/>
        <v>0</v>
      </c>
      <c r="F522" s="108">
        <f ca="1">IF(AND($D522=0,$H521&gt;0,$E522&lt;Config!$B$8,$A522&lt;Config!$A$2),1,0)</f>
        <v>0</v>
      </c>
      <c r="G522" s="108">
        <f t="shared" ca="1" si="30"/>
        <v>0</v>
      </c>
      <c r="H522" s="108">
        <f ca="1">IF($D522=1,$H521+1,IF($F522=1,$H521,IF($A522=Config!$A$2,$H521,0)))</f>
        <v>0</v>
      </c>
      <c r="M522" s="109"/>
    </row>
    <row r="523" spans="1:13" x14ac:dyDescent="0.3">
      <c r="A523" s="106">
        <f t="shared" ca="1" si="28"/>
        <v>46101</v>
      </c>
      <c r="B523" s="107">
        <f ca="1">SUMIFS('Daily Writing Log'!$H$5:$H$34,'Daily Writing Log'!$A$5:$A$34,$A523)</f>
        <v>0</v>
      </c>
      <c r="C523" s="107">
        <f ca="1">SUMIFS('Daily Writing Log'!$I$5:$I$34,'Daily Writing Log'!$A$5:$A$34,$A523)</f>
        <v>0</v>
      </c>
      <c r="D523" s="108">
        <f ca="1">IF($C523&gt;=Config!$B$5,1,0)</f>
        <v>0</v>
      </c>
      <c r="E523" s="108">
        <f t="shared" ca="1" si="29"/>
        <v>0</v>
      </c>
      <c r="F523" s="108">
        <f ca="1">IF(AND($D523=0,$H522&gt;0,$E523&lt;Config!$B$8,$A523&lt;Config!$A$2),1,0)</f>
        <v>0</v>
      </c>
      <c r="G523" s="108">
        <f t="shared" ca="1" si="30"/>
        <v>0</v>
      </c>
      <c r="H523" s="108">
        <f ca="1">IF($D523=1,$H522+1,IF($F523=1,$H522,IF($A523=Config!$A$2,$H522,0)))</f>
        <v>0</v>
      </c>
      <c r="M523" s="109"/>
    </row>
    <row r="524" spans="1:13" x14ac:dyDescent="0.3">
      <c r="A524" s="106">
        <f t="shared" ca="1" si="28"/>
        <v>46102</v>
      </c>
      <c r="B524" s="107">
        <f ca="1">SUMIFS('Daily Writing Log'!$H$5:$H$34,'Daily Writing Log'!$A$5:$A$34,$A524)</f>
        <v>0</v>
      </c>
      <c r="C524" s="107">
        <f ca="1">SUMIFS('Daily Writing Log'!$I$5:$I$34,'Daily Writing Log'!$A$5:$A$34,$A524)</f>
        <v>0</v>
      </c>
      <c r="D524" s="108">
        <f ca="1">IF($C524&gt;=Config!$B$5,1,0)</f>
        <v>0</v>
      </c>
      <c r="E524" s="108">
        <f t="shared" ca="1" si="29"/>
        <v>0</v>
      </c>
      <c r="F524" s="108">
        <f ca="1">IF(AND($D524=0,$H523&gt;0,$E524&lt;Config!$B$8,$A524&lt;Config!$A$2),1,0)</f>
        <v>0</v>
      </c>
      <c r="G524" s="108">
        <f t="shared" ca="1" si="30"/>
        <v>0</v>
      </c>
      <c r="H524" s="108">
        <f ca="1">IF($D524=1,$H523+1,IF($F524=1,$H523,IF($A524=Config!$A$2,$H523,0)))</f>
        <v>0</v>
      </c>
      <c r="M524" s="109"/>
    </row>
    <row r="525" spans="1:13" x14ac:dyDescent="0.3">
      <c r="A525" s="106">
        <f t="shared" ca="1" si="28"/>
        <v>46103</v>
      </c>
      <c r="B525" s="107">
        <f ca="1">SUMIFS('Daily Writing Log'!$H$5:$H$34,'Daily Writing Log'!$A$5:$A$34,$A525)</f>
        <v>0</v>
      </c>
      <c r="C525" s="107">
        <f ca="1">SUMIFS('Daily Writing Log'!$I$5:$I$34,'Daily Writing Log'!$A$5:$A$34,$A525)</f>
        <v>0</v>
      </c>
      <c r="D525" s="108">
        <f ca="1">IF($C525&gt;=Config!$B$5,1,0)</f>
        <v>0</v>
      </c>
      <c r="E525" s="108">
        <f t="shared" ca="1" si="29"/>
        <v>0</v>
      </c>
      <c r="F525" s="108">
        <f ca="1">IF(AND($D525=0,$H524&gt;0,$E525&lt;Config!$B$8,$A525&lt;Config!$A$2),1,0)</f>
        <v>0</v>
      </c>
      <c r="G525" s="108">
        <f t="shared" ca="1" si="30"/>
        <v>0</v>
      </c>
      <c r="H525" s="108">
        <f ca="1">IF($D525=1,$H524+1,IF($F525=1,$H524,IF($A525=Config!$A$2,$H524,0)))</f>
        <v>0</v>
      </c>
      <c r="M525" s="109"/>
    </row>
    <row r="526" spans="1:13" x14ac:dyDescent="0.3">
      <c r="A526" s="106">
        <f t="shared" ca="1" si="28"/>
        <v>46104</v>
      </c>
      <c r="B526" s="107">
        <f ca="1">SUMIFS('Daily Writing Log'!$H$5:$H$34,'Daily Writing Log'!$A$5:$A$34,$A526)</f>
        <v>0</v>
      </c>
      <c r="C526" s="107">
        <f ca="1">SUMIFS('Daily Writing Log'!$I$5:$I$34,'Daily Writing Log'!$A$5:$A$34,$A526)</f>
        <v>0</v>
      </c>
      <c r="D526" s="108">
        <f ca="1">IF($C526&gt;=Config!$B$5,1,0)</f>
        <v>0</v>
      </c>
      <c r="E526" s="108">
        <f t="shared" ca="1" si="29"/>
        <v>0</v>
      </c>
      <c r="F526" s="108">
        <f ca="1">IF(AND($D526=0,$H525&gt;0,$E526&lt;Config!$B$8,$A526&lt;Config!$A$2),1,0)</f>
        <v>0</v>
      </c>
      <c r="G526" s="108">
        <f t="shared" ca="1" si="30"/>
        <v>0</v>
      </c>
      <c r="H526" s="108">
        <f ca="1">IF($D526=1,$H525+1,IF($F526=1,$H525,IF($A526=Config!$A$2,$H525,0)))</f>
        <v>0</v>
      </c>
      <c r="M526" s="109"/>
    </row>
    <row r="527" spans="1:13" x14ac:dyDescent="0.3">
      <c r="A527" s="106">
        <f t="shared" ca="1" si="28"/>
        <v>46105</v>
      </c>
      <c r="B527" s="107">
        <f ca="1">SUMIFS('Daily Writing Log'!$H$5:$H$34,'Daily Writing Log'!$A$5:$A$34,$A527)</f>
        <v>0</v>
      </c>
      <c r="C527" s="107">
        <f ca="1">SUMIFS('Daily Writing Log'!$I$5:$I$34,'Daily Writing Log'!$A$5:$A$34,$A527)</f>
        <v>0</v>
      </c>
      <c r="D527" s="108">
        <f ca="1">IF($C527&gt;=Config!$B$5,1,0)</f>
        <v>0</v>
      </c>
      <c r="E527" s="108">
        <f t="shared" ca="1" si="29"/>
        <v>0</v>
      </c>
      <c r="F527" s="108">
        <f ca="1">IF(AND($D527=0,$H526&gt;0,$E527&lt;Config!$B$8,$A527&lt;Config!$A$2),1,0)</f>
        <v>0</v>
      </c>
      <c r="G527" s="108">
        <f t="shared" ca="1" si="30"/>
        <v>0</v>
      </c>
      <c r="H527" s="108">
        <f ca="1">IF($D527=1,$H526+1,IF($F527=1,$H526,IF($A527=Config!$A$2,$H526,0)))</f>
        <v>0</v>
      </c>
      <c r="M527" s="109"/>
    </row>
    <row r="528" spans="1:13" x14ac:dyDescent="0.3">
      <c r="A528" s="106">
        <f t="shared" ca="1" si="28"/>
        <v>46106</v>
      </c>
      <c r="B528" s="107">
        <f ca="1">SUMIFS('Daily Writing Log'!$H$5:$H$34,'Daily Writing Log'!$A$5:$A$34,$A528)</f>
        <v>0</v>
      </c>
      <c r="C528" s="107">
        <f ca="1">SUMIFS('Daily Writing Log'!$I$5:$I$34,'Daily Writing Log'!$A$5:$A$34,$A528)</f>
        <v>0</v>
      </c>
      <c r="D528" s="108">
        <f ca="1">IF($C528&gt;=Config!$B$5,1,0)</f>
        <v>0</v>
      </c>
      <c r="E528" s="108">
        <f t="shared" ca="1" si="29"/>
        <v>0</v>
      </c>
      <c r="F528" s="108">
        <f ca="1">IF(AND($D528=0,$H527&gt;0,$E528&lt;Config!$B$8,$A528&lt;Config!$A$2),1,0)</f>
        <v>0</v>
      </c>
      <c r="G528" s="108">
        <f t="shared" ca="1" si="30"/>
        <v>0</v>
      </c>
      <c r="H528" s="108">
        <f ca="1">IF($D528=1,$H527+1,IF($F528=1,$H527,IF($A528=Config!$A$2,$H527,0)))</f>
        <v>0</v>
      </c>
      <c r="M528" s="109"/>
    </row>
    <row r="529" spans="1:13" x14ac:dyDescent="0.3">
      <c r="A529" s="106">
        <f t="shared" ca="1" si="28"/>
        <v>46107</v>
      </c>
      <c r="B529" s="107">
        <f ca="1">SUMIFS('Daily Writing Log'!$H$5:$H$34,'Daily Writing Log'!$A$5:$A$34,$A529)</f>
        <v>0</v>
      </c>
      <c r="C529" s="107">
        <f ca="1">SUMIFS('Daily Writing Log'!$I$5:$I$34,'Daily Writing Log'!$A$5:$A$34,$A529)</f>
        <v>0</v>
      </c>
      <c r="D529" s="108">
        <f ca="1">IF($C529&gt;=Config!$B$5,1,0)</f>
        <v>0</v>
      </c>
      <c r="E529" s="108">
        <f t="shared" ca="1" si="29"/>
        <v>0</v>
      </c>
      <c r="F529" s="108">
        <f ca="1">IF(AND($D529=0,$H528&gt;0,$E529&lt;Config!$B$8,$A529&lt;Config!$A$2),1,0)</f>
        <v>0</v>
      </c>
      <c r="G529" s="108">
        <f t="shared" ca="1" si="30"/>
        <v>0</v>
      </c>
      <c r="H529" s="108">
        <f ca="1">IF($D529=1,$H528+1,IF($F529=1,$H528,IF($A529=Config!$A$2,$H528,0)))</f>
        <v>0</v>
      </c>
      <c r="M529" s="109"/>
    </row>
    <row r="530" spans="1:13" x14ac:dyDescent="0.3">
      <c r="A530" s="106">
        <f t="shared" ca="1" si="28"/>
        <v>46108</v>
      </c>
      <c r="B530" s="107">
        <f ca="1">SUMIFS('Daily Writing Log'!$H$5:$H$34,'Daily Writing Log'!$A$5:$A$34,$A530)</f>
        <v>0</v>
      </c>
      <c r="C530" s="107">
        <f ca="1">SUMIFS('Daily Writing Log'!$I$5:$I$34,'Daily Writing Log'!$A$5:$A$34,$A530)</f>
        <v>0</v>
      </c>
      <c r="D530" s="108">
        <f ca="1">IF($C530&gt;=Config!$B$5,1,0)</f>
        <v>0</v>
      </c>
      <c r="E530" s="108">
        <f t="shared" ca="1" si="29"/>
        <v>0</v>
      </c>
      <c r="F530" s="108">
        <f ca="1">IF(AND($D530=0,$H529&gt;0,$E530&lt;Config!$B$8,$A530&lt;Config!$A$2),1,0)</f>
        <v>0</v>
      </c>
      <c r="G530" s="108">
        <f t="shared" ca="1" si="30"/>
        <v>0</v>
      </c>
      <c r="H530" s="108">
        <f ca="1">IF($D530=1,$H529+1,IF($F530=1,$H529,IF($A530=Config!$A$2,$H529,0)))</f>
        <v>0</v>
      </c>
      <c r="M530" s="109"/>
    </row>
    <row r="531" spans="1:13" x14ac:dyDescent="0.3">
      <c r="A531" s="106">
        <f t="shared" ca="1" si="28"/>
        <v>46109</v>
      </c>
      <c r="B531" s="107">
        <f ca="1">SUMIFS('Daily Writing Log'!$H$5:$H$34,'Daily Writing Log'!$A$5:$A$34,$A531)</f>
        <v>0</v>
      </c>
      <c r="C531" s="107">
        <f ca="1">SUMIFS('Daily Writing Log'!$I$5:$I$34,'Daily Writing Log'!$A$5:$A$34,$A531)</f>
        <v>0</v>
      </c>
      <c r="D531" s="108">
        <f ca="1">IF($C531&gt;=Config!$B$5,1,0)</f>
        <v>0</v>
      </c>
      <c r="E531" s="108">
        <f t="shared" ca="1" si="29"/>
        <v>0</v>
      </c>
      <c r="F531" s="108">
        <f ca="1">IF(AND($D531=0,$H530&gt;0,$E531&lt;Config!$B$8,$A531&lt;Config!$A$2),1,0)</f>
        <v>0</v>
      </c>
      <c r="G531" s="108">
        <f t="shared" ca="1" si="30"/>
        <v>0</v>
      </c>
      <c r="H531" s="108">
        <f ca="1">IF($D531=1,$H530+1,IF($F531=1,$H530,IF($A531=Config!$A$2,$H530,0)))</f>
        <v>0</v>
      </c>
      <c r="M531" s="109"/>
    </row>
    <row r="532" spans="1:13" x14ac:dyDescent="0.3">
      <c r="A532" s="106">
        <f t="shared" ca="1" si="28"/>
        <v>46110</v>
      </c>
      <c r="B532" s="107">
        <f ca="1">SUMIFS('Daily Writing Log'!$H$5:$H$34,'Daily Writing Log'!$A$5:$A$34,$A532)</f>
        <v>0</v>
      </c>
      <c r="C532" s="107">
        <f ca="1">SUMIFS('Daily Writing Log'!$I$5:$I$34,'Daily Writing Log'!$A$5:$A$34,$A532)</f>
        <v>0</v>
      </c>
      <c r="D532" s="108">
        <f ca="1">IF($C532&gt;=Config!$B$5,1,0)</f>
        <v>0</v>
      </c>
      <c r="E532" s="108">
        <f t="shared" ca="1" si="29"/>
        <v>0</v>
      </c>
      <c r="F532" s="108">
        <f ca="1">IF(AND($D532=0,$H531&gt;0,$E532&lt;Config!$B$8,$A532&lt;Config!$A$2),1,0)</f>
        <v>0</v>
      </c>
      <c r="G532" s="108">
        <f t="shared" ca="1" si="30"/>
        <v>0</v>
      </c>
      <c r="H532" s="108">
        <f ca="1">IF($D532=1,$H531+1,IF($F532=1,$H531,IF($A532=Config!$A$2,$H531,0)))</f>
        <v>0</v>
      </c>
      <c r="M532" s="109"/>
    </row>
    <row r="533" spans="1:13" x14ac:dyDescent="0.3">
      <c r="A533" s="106">
        <f t="shared" ca="1" si="28"/>
        <v>46111</v>
      </c>
      <c r="B533" s="107">
        <f ca="1">SUMIFS('Daily Writing Log'!$H$5:$H$34,'Daily Writing Log'!$A$5:$A$34,$A533)</f>
        <v>0</v>
      </c>
      <c r="C533" s="107">
        <f ca="1">SUMIFS('Daily Writing Log'!$I$5:$I$34,'Daily Writing Log'!$A$5:$A$34,$A533)</f>
        <v>0</v>
      </c>
      <c r="D533" s="108">
        <f ca="1">IF($C533&gt;=Config!$B$5,1,0)</f>
        <v>0</v>
      </c>
      <c r="E533" s="108">
        <f t="shared" ca="1" si="29"/>
        <v>0</v>
      </c>
      <c r="F533" s="108">
        <f ca="1">IF(AND($D533=0,$H532&gt;0,$E533&lt;Config!$B$8,$A533&lt;Config!$A$2),1,0)</f>
        <v>0</v>
      </c>
      <c r="G533" s="108">
        <f t="shared" ca="1" si="30"/>
        <v>0</v>
      </c>
      <c r="H533" s="108">
        <f ca="1">IF($D533=1,$H532+1,IF($F533=1,$H532,IF($A533=Config!$A$2,$H532,0)))</f>
        <v>0</v>
      </c>
      <c r="M533" s="109"/>
    </row>
    <row r="534" spans="1:13" x14ac:dyDescent="0.3">
      <c r="A534" s="106">
        <f t="shared" ca="1" si="28"/>
        <v>46112</v>
      </c>
      <c r="B534" s="107">
        <f ca="1">SUMIFS('Daily Writing Log'!$H$5:$H$34,'Daily Writing Log'!$A$5:$A$34,$A534)</f>
        <v>0</v>
      </c>
      <c r="C534" s="107">
        <f ca="1">SUMIFS('Daily Writing Log'!$I$5:$I$34,'Daily Writing Log'!$A$5:$A$34,$A534)</f>
        <v>0</v>
      </c>
      <c r="D534" s="108">
        <f ca="1">IF($C534&gt;=Config!$B$5,1,0)</f>
        <v>0</v>
      </c>
      <c r="E534" s="108">
        <f t="shared" ca="1" si="29"/>
        <v>0</v>
      </c>
      <c r="F534" s="108">
        <f ca="1">IF(AND($D534=0,$H533&gt;0,$E534&lt;Config!$B$8,$A534&lt;Config!$A$2),1,0)</f>
        <v>0</v>
      </c>
      <c r="G534" s="108">
        <f t="shared" ca="1" si="30"/>
        <v>0</v>
      </c>
      <c r="H534" s="108">
        <f ca="1">IF($D534=1,$H533+1,IF($F534=1,$H533,IF($A534=Config!$A$2,$H533,0)))</f>
        <v>0</v>
      </c>
      <c r="M534" s="109"/>
    </row>
    <row r="535" spans="1:13" x14ac:dyDescent="0.3">
      <c r="A535" s="106">
        <f t="shared" ca="1" si="28"/>
        <v>46113</v>
      </c>
      <c r="B535" s="107">
        <f ca="1">SUMIFS('Daily Writing Log'!$H$5:$H$34,'Daily Writing Log'!$A$5:$A$34,$A535)</f>
        <v>0</v>
      </c>
      <c r="C535" s="107">
        <f ca="1">SUMIFS('Daily Writing Log'!$I$5:$I$34,'Daily Writing Log'!$A$5:$A$34,$A535)</f>
        <v>0</v>
      </c>
      <c r="D535" s="108">
        <f ca="1">IF($C535&gt;=Config!$B$5,1,0)</f>
        <v>0</v>
      </c>
      <c r="E535" s="108">
        <f t="shared" ca="1" si="29"/>
        <v>0</v>
      </c>
      <c r="F535" s="108">
        <f ca="1">IF(AND($D535=0,$H534&gt;0,$E535&lt;Config!$B$8,$A535&lt;Config!$A$2),1,0)</f>
        <v>0</v>
      </c>
      <c r="G535" s="108">
        <f t="shared" ca="1" si="30"/>
        <v>0</v>
      </c>
      <c r="H535" s="108">
        <f ca="1">IF($D535=1,$H534+1,IF($F535=1,$H534,IF($A535=Config!$A$2,$H534,0)))</f>
        <v>0</v>
      </c>
      <c r="M535" s="109"/>
    </row>
    <row r="536" spans="1:13" x14ac:dyDescent="0.3">
      <c r="A536" s="106">
        <f t="shared" ca="1" si="28"/>
        <v>46114</v>
      </c>
      <c r="B536" s="107">
        <f ca="1">SUMIFS('Daily Writing Log'!$H$5:$H$34,'Daily Writing Log'!$A$5:$A$34,$A536)</f>
        <v>0</v>
      </c>
      <c r="C536" s="107">
        <f ca="1">SUMIFS('Daily Writing Log'!$I$5:$I$34,'Daily Writing Log'!$A$5:$A$34,$A536)</f>
        <v>0</v>
      </c>
      <c r="D536" s="108">
        <f ca="1">IF($C536&gt;=Config!$B$5,1,0)</f>
        <v>0</v>
      </c>
      <c r="E536" s="108">
        <f t="shared" ca="1" si="29"/>
        <v>0</v>
      </c>
      <c r="F536" s="108">
        <f ca="1">IF(AND($D536=0,$H535&gt;0,$E536&lt;Config!$B$8,$A536&lt;Config!$A$2),1,0)</f>
        <v>0</v>
      </c>
      <c r="G536" s="108">
        <f t="shared" ca="1" si="30"/>
        <v>0</v>
      </c>
      <c r="H536" s="108">
        <f ca="1">IF($D536=1,$H535+1,IF($F536=1,$H535,IF($A536=Config!$A$2,$H535,0)))</f>
        <v>0</v>
      </c>
      <c r="M536" s="109"/>
    </row>
    <row r="537" spans="1:13" x14ac:dyDescent="0.3">
      <c r="A537" s="106">
        <f t="shared" ca="1" si="28"/>
        <v>46115</v>
      </c>
      <c r="B537" s="107">
        <f ca="1">SUMIFS('Daily Writing Log'!$H$5:$H$34,'Daily Writing Log'!$A$5:$A$34,$A537)</f>
        <v>0</v>
      </c>
      <c r="C537" s="107">
        <f ca="1">SUMIFS('Daily Writing Log'!$I$5:$I$34,'Daily Writing Log'!$A$5:$A$34,$A537)</f>
        <v>0</v>
      </c>
      <c r="D537" s="108">
        <f ca="1">IF($C537&gt;=Config!$B$5,1,0)</f>
        <v>0</v>
      </c>
      <c r="E537" s="108">
        <f t="shared" ca="1" si="29"/>
        <v>0</v>
      </c>
      <c r="F537" s="108">
        <f ca="1">IF(AND($D537=0,$H536&gt;0,$E537&lt;Config!$B$8,$A537&lt;Config!$A$2),1,0)</f>
        <v>0</v>
      </c>
      <c r="G537" s="108">
        <f t="shared" ca="1" si="30"/>
        <v>0</v>
      </c>
      <c r="H537" s="108">
        <f ca="1">IF($D537=1,$H536+1,IF($F537=1,$H536,IF($A537=Config!$A$2,$H536,0)))</f>
        <v>0</v>
      </c>
      <c r="M537" s="109"/>
    </row>
    <row r="538" spans="1:13" x14ac:dyDescent="0.3">
      <c r="A538" s="106">
        <f t="shared" ca="1" si="28"/>
        <v>46116</v>
      </c>
      <c r="B538" s="107">
        <f ca="1">SUMIFS('Daily Writing Log'!$H$5:$H$34,'Daily Writing Log'!$A$5:$A$34,$A538)</f>
        <v>0</v>
      </c>
      <c r="C538" s="107">
        <f ca="1">SUMIFS('Daily Writing Log'!$I$5:$I$34,'Daily Writing Log'!$A$5:$A$34,$A538)</f>
        <v>0</v>
      </c>
      <c r="D538" s="108">
        <f ca="1">IF($C538&gt;=Config!$B$5,1,0)</f>
        <v>0</v>
      </c>
      <c r="E538" s="108">
        <f t="shared" ca="1" si="29"/>
        <v>0</v>
      </c>
      <c r="F538" s="108">
        <f ca="1">IF(AND($D538=0,$H537&gt;0,$E538&lt;Config!$B$8,$A538&lt;Config!$A$2),1,0)</f>
        <v>0</v>
      </c>
      <c r="G538" s="108">
        <f t="shared" ca="1" si="30"/>
        <v>0</v>
      </c>
      <c r="H538" s="108">
        <f ca="1">IF($D538=1,$H537+1,IF($F538=1,$H537,IF($A538=Config!$A$2,$H537,0)))</f>
        <v>0</v>
      </c>
      <c r="M538" s="109"/>
    </row>
    <row r="539" spans="1:13" x14ac:dyDescent="0.3">
      <c r="A539" s="106">
        <f t="shared" ca="1" si="28"/>
        <v>46117</v>
      </c>
      <c r="B539" s="107">
        <f ca="1">SUMIFS('Daily Writing Log'!$H$5:$H$34,'Daily Writing Log'!$A$5:$A$34,$A539)</f>
        <v>0</v>
      </c>
      <c r="C539" s="107">
        <f ca="1">SUMIFS('Daily Writing Log'!$I$5:$I$34,'Daily Writing Log'!$A$5:$A$34,$A539)</f>
        <v>0</v>
      </c>
      <c r="D539" s="108">
        <f ca="1">IF($C539&gt;=Config!$B$5,1,0)</f>
        <v>0</v>
      </c>
      <c r="E539" s="108">
        <f t="shared" ca="1" si="29"/>
        <v>0</v>
      </c>
      <c r="F539" s="108">
        <f ca="1">IF(AND($D539=0,$H538&gt;0,$E539&lt;Config!$B$8,$A539&lt;Config!$A$2),1,0)</f>
        <v>0</v>
      </c>
      <c r="G539" s="108">
        <f t="shared" ca="1" si="30"/>
        <v>0</v>
      </c>
      <c r="H539" s="108">
        <f ca="1">IF($D539=1,$H538+1,IF($F539=1,$H538,IF($A539=Config!$A$2,$H538,0)))</f>
        <v>0</v>
      </c>
      <c r="M539" s="109"/>
    </row>
    <row r="540" spans="1:13" x14ac:dyDescent="0.3">
      <c r="A540" s="106">
        <f t="shared" ca="1" si="28"/>
        <v>46118</v>
      </c>
      <c r="B540" s="107">
        <f ca="1">SUMIFS('Daily Writing Log'!$H$5:$H$34,'Daily Writing Log'!$A$5:$A$34,$A540)</f>
        <v>0</v>
      </c>
      <c r="C540" s="107">
        <f ca="1">SUMIFS('Daily Writing Log'!$I$5:$I$34,'Daily Writing Log'!$A$5:$A$34,$A540)</f>
        <v>0</v>
      </c>
      <c r="D540" s="108">
        <f ca="1">IF($C540&gt;=Config!$B$5,1,0)</f>
        <v>0</v>
      </c>
      <c r="E540" s="108">
        <f t="shared" ca="1" si="29"/>
        <v>0</v>
      </c>
      <c r="F540" s="108">
        <f ca="1">IF(AND($D540=0,$H539&gt;0,$E540&lt;Config!$B$8,$A540&lt;Config!$A$2),1,0)</f>
        <v>0</v>
      </c>
      <c r="G540" s="108">
        <f t="shared" ca="1" si="30"/>
        <v>0</v>
      </c>
      <c r="H540" s="108">
        <f ca="1">IF($D540=1,$H539+1,IF($F540=1,$H539,IF($A540=Config!$A$2,$H539,0)))</f>
        <v>0</v>
      </c>
      <c r="M540" s="109"/>
    </row>
    <row r="541" spans="1:13" x14ac:dyDescent="0.3">
      <c r="A541" s="106">
        <f t="shared" ca="1" si="28"/>
        <v>46119</v>
      </c>
      <c r="B541" s="107">
        <f ca="1">SUMIFS('Daily Writing Log'!$H$5:$H$34,'Daily Writing Log'!$A$5:$A$34,$A541)</f>
        <v>0</v>
      </c>
      <c r="C541" s="107">
        <f ca="1">SUMIFS('Daily Writing Log'!$I$5:$I$34,'Daily Writing Log'!$A$5:$A$34,$A541)</f>
        <v>0</v>
      </c>
      <c r="D541" s="108">
        <f ca="1">IF($C541&gt;=Config!$B$5,1,0)</f>
        <v>0</v>
      </c>
      <c r="E541" s="108">
        <f t="shared" ca="1" si="29"/>
        <v>0</v>
      </c>
      <c r="F541" s="108">
        <f ca="1">IF(AND($D541=0,$H540&gt;0,$E541&lt;Config!$B$8,$A541&lt;Config!$A$2),1,0)</f>
        <v>0</v>
      </c>
      <c r="G541" s="108">
        <f t="shared" ca="1" si="30"/>
        <v>0</v>
      </c>
      <c r="H541" s="108">
        <f ca="1">IF($D541=1,$H540+1,IF($F541=1,$H540,IF($A541=Config!$A$2,$H540,0)))</f>
        <v>0</v>
      </c>
      <c r="M541" s="109"/>
    </row>
    <row r="542" spans="1:13" x14ac:dyDescent="0.3">
      <c r="A542" s="106">
        <f t="shared" ca="1" si="28"/>
        <v>46120</v>
      </c>
      <c r="B542" s="107">
        <f ca="1">SUMIFS('Daily Writing Log'!$H$5:$H$34,'Daily Writing Log'!$A$5:$A$34,$A542)</f>
        <v>0</v>
      </c>
      <c r="C542" s="107">
        <f ca="1">SUMIFS('Daily Writing Log'!$I$5:$I$34,'Daily Writing Log'!$A$5:$A$34,$A542)</f>
        <v>0</v>
      </c>
      <c r="D542" s="108">
        <f ca="1">IF($C542&gt;=Config!$B$5,1,0)</f>
        <v>0</v>
      </c>
      <c r="E542" s="108">
        <f t="shared" ca="1" si="29"/>
        <v>0</v>
      </c>
      <c r="F542" s="108">
        <f ca="1">IF(AND($D542=0,$H541&gt;0,$E542&lt;Config!$B$8,$A542&lt;Config!$A$2),1,0)</f>
        <v>0</v>
      </c>
      <c r="G542" s="108">
        <f t="shared" ca="1" si="30"/>
        <v>0</v>
      </c>
      <c r="H542" s="108">
        <f ca="1">IF($D542=1,$H541+1,IF($F542=1,$H541,IF($A542=Config!$A$2,$H541,0)))</f>
        <v>0</v>
      </c>
      <c r="M542" s="109"/>
    </row>
    <row r="543" spans="1:13" x14ac:dyDescent="0.3">
      <c r="A543" s="106">
        <f t="shared" ca="1" si="28"/>
        <v>46121</v>
      </c>
      <c r="B543" s="107">
        <f ca="1">SUMIFS('Daily Writing Log'!$H$5:$H$34,'Daily Writing Log'!$A$5:$A$34,$A543)</f>
        <v>0</v>
      </c>
      <c r="C543" s="107">
        <f ca="1">SUMIFS('Daily Writing Log'!$I$5:$I$34,'Daily Writing Log'!$A$5:$A$34,$A543)</f>
        <v>0</v>
      </c>
      <c r="D543" s="108">
        <f ca="1">IF($C543&gt;=Config!$B$5,1,0)</f>
        <v>0</v>
      </c>
      <c r="E543" s="108">
        <f t="shared" ca="1" si="29"/>
        <v>0</v>
      </c>
      <c r="F543" s="108">
        <f ca="1">IF(AND($D543=0,$H542&gt;0,$E543&lt;Config!$B$8,$A543&lt;Config!$A$2),1,0)</f>
        <v>0</v>
      </c>
      <c r="G543" s="108">
        <f t="shared" ca="1" si="30"/>
        <v>0</v>
      </c>
      <c r="H543" s="108">
        <f ca="1">IF($D543=1,$H542+1,IF($F543=1,$H542,IF($A543=Config!$A$2,$H542,0)))</f>
        <v>0</v>
      </c>
      <c r="M543" s="109"/>
    </row>
    <row r="544" spans="1:13" x14ac:dyDescent="0.3">
      <c r="A544" s="106">
        <f t="shared" ca="1" si="28"/>
        <v>46122</v>
      </c>
      <c r="B544" s="107">
        <f ca="1">SUMIFS('Daily Writing Log'!$H$5:$H$34,'Daily Writing Log'!$A$5:$A$34,$A544)</f>
        <v>0</v>
      </c>
      <c r="C544" s="107">
        <f ca="1">SUMIFS('Daily Writing Log'!$I$5:$I$34,'Daily Writing Log'!$A$5:$A$34,$A544)</f>
        <v>0</v>
      </c>
      <c r="D544" s="108">
        <f ca="1">IF($C544&gt;=Config!$B$5,1,0)</f>
        <v>0</v>
      </c>
      <c r="E544" s="108">
        <f t="shared" ca="1" si="29"/>
        <v>0</v>
      </c>
      <c r="F544" s="108">
        <f ca="1">IF(AND($D544=0,$H543&gt;0,$E544&lt;Config!$B$8,$A544&lt;Config!$A$2),1,0)</f>
        <v>0</v>
      </c>
      <c r="G544" s="108">
        <f t="shared" ca="1" si="30"/>
        <v>0</v>
      </c>
      <c r="H544" s="108">
        <f ca="1">IF($D544=1,$H543+1,IF($F544=1,$H543,IF($A544=Config!$A$2,$H543,0)))</f>
        <v>0</v>
      </c>
      <c r="M544" s="109"/>
    </row>
    <row r="545" spans="1:13" x14ac:dyDescent="0.3">
      <c r="A545" s="106">
        <f t="shared" ca="1" si="28"/>
        <v>46123</v>
      </c>
      <c r="B545" s="107">
        <f ca="1">SUMIFS('Daily Writing Log'!$H$5:$H$34,'Daily Writing Log'!$A$5:$A$34,$A545)</f>
        <v>0</v>
      </c>
      <c r="C545" s="107">
        <f ca="1">SUMIFS('Daily Writing Log'!$I$5:$I$34,'Daily Writing Log'!$A$5:$A$34,$A545)</f>
        <v>0</v>
      </c>
      <c r="D545" s="108">
        <f ca="1">IF($C545&gt;=Config!$B$5,1,0)</f>
        <v>0</v>
      </c>
      <c r="E545" s="108">
        <f t="shared" ca="1" si="29"/>
        <v>0</v>
      </c>
      <c r="F545" s="108">
        <f ca="1">IF(AND($D545=0,$H544&gt;0,$E545&lt;Config!$B$8,$A545&lt;Config!$A$2),1,0)</f>
        <v>0</v>
      </c>
      <c r="G545" s="108">
        <f t="shared" ca="1" si="30"/>
        <v>0</v>
      </c>
      <c r="H545" s="108">
        <f ca="1">IF($D545=1,$H544+1,IF($F545=1,$H544,IF($A545=Config!$A$2,$H544,0)))</f>
        <v>0</v>
      </c>
      <c r="M545" s="109"/>
    </row>
    <row r="546" spans="1:13" x14ac:dyDescent="0.3">
      <c r="A546" s="106">
        <f t="shared" ca="1" si="28"/>
        <v>46124</v>
      </c>
      <c r="B546" s="107">
        <f ca="1">SUMIFS('Daily Writing Log'!$H$5:$H$34,'Daily Writing Log'!$A$5:$A$34,$A546)</f>
        <v>0</v>
      </c>
      <c r="C546" s="107">
        <f ca="1">SUMIFS('Daily Writing Log'!$I$5:$I$34,'Daily Writing Log'!$A$5:$A$34,$A546)</f>
        <v>0</v>
      </c>
      <c r="D546" s="108">
        <f ca="1">IF($C546&gt;=Config!$B$5,1,0)</f>
        <v>0</v>
      </c>
      <c r="E546" s="108">
        <f t="shared" ca="1" si="29"/>
        <v>0</v>
      </c>
      <c r="F546" s="108">
        <f ca="1">IF(AND($D546=0,$H545&gt;0,$E546&lt;Config!$B$8,$A546&lt;Config!$A$2),1,0)</f>
        <v>0</v>
      </c>
      <c r="G546" s="108">
        <f t="shared" ca="1" si="30"/>
        <v>0</v>
      </c>
      <c r="H546" s="108">
        <f ca="1">IF($D546=1,$H545+1,IF($F546=1,$H545,IF($A546=Config!$A$2,$H545,0)))</f>
        <v>0</v>
      </c>
      <c r="M546" s="109"/>
    </row>
    <row r="547" spans="1:13" x14ac:dyDescent="0.3">
      <c r="A547" s="106">
        <f t="shared" ca="1" si="28"/>
        <v>46125</v>
      </c>
      <c r="B547" s="107">
        <f ca="1">SUMIFS('Daily Writing Log'!$H$5:$H$34,'Daily Writing Log'!$A$5:$A$34,$A547)</f>
        <v>0</v>
      </c>
      <c r="C547" s="107">
        <f ca="1">SUMIFS('Daily Writing Log'!$I$5:$I$34,'Daily Writing Log'!$A$5:$A$34,$A547)</f>
        <v>0</v>
      </c>
      <c r="D547" s="108">
        <f ca="1">IF($C547&gt;=Config!$B$5,1,0)</f>
        <v>0</v>
      </c>
      <c r="E547" s="108">
        <f t="shared" ca="1" si="29"/>
        <v>0</v>
      </c>
      <c r="F547" s="108">
        <f ca="1">IF(AND($D547=0,$H546&gt;0,$E547&lt;Config!$B$8,$A547&lt;Config!$A$2),1,0)</f>
        <v>0</v>
      </c>
      <c r="G547" s="108">
        <f t="shared" ca="1" si="30"/>
        <v>0</v>
      </c>
      <c r="H547" s="108">
        <f ca="1">IF($D547=1,$H546+1,IF($F547=1,$H546,IF($A547=Config!$A$2,$H546,0)))</f>
        <v>0</v>
      </c>
      <c r="M547" s="109"/>
    </row>
    <row r="548" spans="1:13" x14ac:dyDescent="0.3">
      <c r="A548" s="106">
        <f t="shared" ca="1" si="28"/>
        <v>46126</v>
      </c>
      <c r="B548" s="107">
        <f ca="1">SUMIFS('Daily Writing Log'!$H$5:$H$34,'Daily Writing Log'!$A$5:$A$34,$A548)</f>
        <v>0</v>
      </c>
      <c r="C548" s="107">
        <f ca="1">SUMIFS('Daily Writing Log'!$I$5:$I$34,'Daily Writing Log'!$A$5:$A$34,$A548)</f>
        <v>0</v>
      </c>
      <c r="D548" s="108">
        <f ca="1">IF($C548&gt;=Config!$B$5,1,0)</f>
        <v>0</v>
      </c>
      <c r="E548" s="108">
        <f t="shared" ca="1" si="29"/>
        <v>0</v>
      </c>
      <c r="F548" s="108">
        <f ca="1">IF(AND($D548=0,$H547&gt;0,$E548&lt;Config!$B$8,$A548&lt;Config!$A$2),1,0)</f>
        <v>0</v>
      </c>
      <c r="G548" s="108">
        <f t="shared" ca="1" si="30"/>
        <v>0</v>
      </c>
      <c r="H548" s="108">
        <f ca="1">IF($D548=1,$H547+1,IF($F548=1,$H547,IF($A548=Config!$A$2,$H547,0)))</f>
        <v>0</v>
      </c>
      <c r="M548" s="109"/>
    </row>
    <row r="549" spans="1:13" x14ac:dyDescent="0.3">
      <c r="A549" s="106">
        <f t="shared" ca="1" si="28"/>
        <v>46127</v>
      </c>
      <c r="B549" s="107">
        <f ca="1">SUMIFS('Daily Writing Log'!$H$5:$H$34,'Daily Writing Log'!$A$5:$A$34,$A549)</f>
        <v>0</v>
      </c>
      <c r="C549" s="107">
        <f ca="1">SUMIFS('Daily Writing Log'!$I$5:$I$34,'Daily Writing Log'!$A$5:$A$34,$A549)</f>
        <v>0</v>
      </c>
      <c r="D549" s="108">
        <f ca="1">IF($C549&gt;=Config!$B$5,1,0)</f>
        <v>0</v>
      </c>
      <c r="E549" s="108">
        <f t="shared" ca="1" si="29"/>
        <v>0</v>
      </c>
      <c r="F549" s="108">
        <f ca="1">IF(AND($D549=0,$H548&gt;0,$E549&lt;Config!$B$8,$A549&lt;Config!$A$2),1,0)</f>
        <v>0</v>
      </c>
      <c r="G549" s="108">
        <f t="shared" ca="1" si="30"/>
        <v>0</v>
      </c>
      <c r="H549" s="108">
        <f ca="1">IF($D549=1,$H548+1,IF($F549=1,$H548,IF($A549=Config!$A$2,$H548,0)))</f>
        <v>0</v>
      </c>
      <c r="M549" s="109"/>
    </row>
    <row r="550" spans="1:13" x14ac:dyDescent="0.3">
      <c r="A550" s="106">
        <f t="shared" ca="1" si="28"/>
        <v>46128</v>
      </c>
      <c r="B550" s="107">
        <f ca="1">SUMIFS('Daily Writing Log'!$H$5:$H$34,'Daily Writing Log'!$A$5:$A$34,$A550)</f>
        <v>0</v>
      </c>
      <c r="C550" s="107">
        <f ca="1">SUMIFS('Daily Writing Log'!$I$5:$I$34,'Daily Writing Log'!$A$5:$A$34,$A550)</f>
        <v>0</v>
      </c>
      <c r="D550" s="108">
        <f ca="1">IF($C550&gt;=Config!$B$5,1,0)</f>
        <v>0</v>
      </c>
      <c r="E550" s="108">
        <f t="shared" ca="1" si="29"/>
        <v>0</v>
      </c>
      <c r="F550" s="108">
        <f ca="1">IF(AND($D550=0,$H549&gt;0,$E550&lt;Config!$B$8,$A550&lt;Config!$A$2),1,0)</f>
        <v>0</v>
      </c>
      <c r="G550" s="108">
        <f t="shared" ca="1" si="30"/>
        <v>0</v>
      </c>
      <c r="H550" s="108">
        <f ca="1">IF($D550=1,$H549+1,IF($F550=1,$H549,IF($A550=Config!$A$2,$H549,0)))</f>
        <v>0</v>
      </c>
      <c r="M550" s="109"/>
    </row>
    <row r="551" spans="1:13" x14ac:dyDescent="0.3">
      <c r="A551" s="106">
        <f t="shared" ca="1" si="28"/>
        <v>46129</v>
      </c>
      <c r="B551" s="107">
        <f ca="1">SUMIFS('Daily Writing Log'!$H$5:$H$34,'Daily Writing Log'!$A$5:$A$34,$A551)</f>
        <v>0</v>
      </c>
      <c r="C551" s="107">
        <f ca="1">SUMIFS('Daily Writing Log'!$I$5:$I$34,'Daily Writing Log'!$A$5:$A$34,$A551)</f>
        <v>0</v>
      </c>
      <c r="D551" s="108">
        <f ca="1">IF($C551&gt;=Config!$B$5,1,0)</f>
        <v>0</v>
      </c>
      <c r="E551" s="108">
        <f t="shared" ca="1" si="29"/>
        <v>0</v>
      </c>
      <c r="F551" s="108">
        <f ca="1">IF(AND($D551=0,$H550&gt;0,$E551&lt;Config!$B$8,$A551&lt;Config!$A$2),1,0)</f>
        <v>0</v>
      </c>
      <c r="G551" s="108">
        <f t="shared" ca="1" si="30"/>
        <v>0</v>
      </c>
      <c r="H551" s="108">
        <f ca="1">IF($D551=1,$H550+1,IF($F551=1,$H550,IF($A551=Config!$A$2,$H550,0)))</f>
        <v>0</v>
      </c>
      <c r="M551" s="109"/>
    </row>
    <row r="552" spans="1:13" x14ac:dyDescent="0.3">
      <c r="A552" s="106">
        <f t="shared" ca="1" si="28"/>
        <v>46130</v>
      </c>
      <c r="B552" s="107">
        <f ca="1">SUMIFS('Daily Writing Log'!$H$5:$H$34,'Daily Writing Log'!$A$5:$A$34,$A552)</f>
        <v>0</v>
      </c>
      <c r="C552" s="107">
        <f ca="1">SUMIFS('Daily Writing Log'!$I$5:$I$34,'Daily Writing Log'!$A$5:$A$34,$A552)</f>
        <v>0</v>
      </c>
      <c r="D552" s="108">
        <f ca="1">IF($C552&gt;=Config!$B$5,1,0)</f>
        <v>0</v>
      </c>
      <c r="E552" s="108">
        <f t="shared" ca="1" si="29"/>
        <v>0</v>
      </c>
      <c r="F552" s="108">
        <f ca="1">IF(AND($D552=0,$H551&gt;0,$E552&lt;Config!$B$8,$A552&lt;Config!$A$2),1,0)</f>
        <v>0</v>
      </c>
      <c r="G552" s="108">
        <f t="shared" ca="1" si="30"/>
        <v>0</v>
      </c>
      <c r="H552" s="108">
        <f ca="1">IF($D552=1,$H551+1,IF($F552=1,$H551,IF($A552=Config!$A$2,$H551,0)))</f>
        <v>0</v>
      </c>
      <c r="M552" s="109"/>
    </row>
    <row r="553" spans="1:13" x14ac:dyDescent="0.3">
      <c r="A553" s="106">
        <f t="shared" ca="1" si="28"/>
        <v>46131</v>
      </c>
      <c r="B553" s="107">
        <f ca="1">SUMIFS('Daily Writing Log'!$H$5:$H$34,'Daily Writing Log'!$A$5:$A$34,$A553)</f>
        <v>0</v>
      </c>
      <c r="C553" s="107">
        <f ca="1">SUMIFS('Daily Writing Log'!$I$5:$I$34,'Daily Writing Log'!$A$5:$A$34,$A553)</f>
        <v>0</v>
      </c>
      <c r="D553" s="108">
        <f ca="1">IF($C553&gt;=Config!$B$5,1,0)</f>
        <v>0</v>
      </c>
      <c r="E553" s="108">
        <f t="shared" ca="1" si="29"/>
        <v>0</v>
      </c>
      <c r="F553" s="108">
        <f ca="1">IF(AND($D553=0,$H552&gt;0,$E553&lt;Config!$B$8,$A553&lt;Config!$A$2),1,0)</f>
        <v>0</v>
      </c>
      <c r="G553" s="108">
        <f t="shared" ca="1" si="30"/>
        <v>0</v>
      </c>
      <c r="H553" s="108">
        <f ca="1">IF($D553=1,$H552+1,IF($F553=1,$H552,IF($A553=Config!$A$2,$H552,0)))</f>
        <v>0</v>
      </c>
      <c r="M553" s="109"/>
    </row>
    <row r="554" spans="1:13" x14ac:dyDescent="0.3">
      <c r="A554" s="106">
        <f t="shared" ca="1" si="28"/>
        <v>46132</v>
      </c>
      <c r="B554" s="107">
        <f ca="1">SUMIFS('Daily Writing Log'!$H$5:$H$34,'Daily Writing Log'!$A$5:$A$34,$A554)</f>
        <v>0</v>
      </c>
      <c r="C554" s="107">
        <f ca="1">SUMIFS('Daily Writing Log'!$I$5:$I$34,'Daily Writing Log'!$A$5:$A$34,$A554)</f>
        <v>0</v>
      </c>
      <c r="D554" s="108">
        <f ca="1">IF($C554&gt;=Config!$B$5,1,0)</f>
        <v>0</v>
      </c>
      <c r="E554" s="108">
        <f t="shared" ca="1" si="29"/>
        <v>0</v>
      </c>
      <c r="F554" s="108">
        <f ca="1">IF(AND($D554=0,$H553&gt;0,$E554&lt;Config!$B$8,$A554&lt;Config!$A$2),1,0)</f>
        <v>0</v>
      </c>
      <c r="G554" s="108">
        <f t="shared" ca="1" si="30"/>
        <v>0</v>
      </c>
      <c r="H554" s="108">
        <f ca="1">IF($D554=1,$H553+1,IF($F554=1,$H553,IF($A554=Config!$A$2,$H553,0)))</f>
        <v>0</v>
      </c>
      <c r="M554" s="109"/>
    </row>
    <row r="555" spans="1:13" x14ac:dyDescent="0.3">
      <c r="A555" s="106">
        <f t="shared" ca="1" si="28"/>
        <v>46133</v>
      </c>
      <c r="B555" s="107">
        <f ca="1">SUMIFS('Daily Writing Log'!$H$5:$H$34,'Daily Writing Log'!$A$5:$A$34,$A555)</f>
        <v>0</v>
      </c>
      <c r="C555" s="107">
        <f ca="1">SUMIFS('Daily Writing Log'!$I$5:$I$34,'Daily Writing Log'!$A$5:$A$34,$A555)</f>
        <v>0</v>
      </c>
      <c r="D555" s="108">
        <f ca="1">IF($C555&gt;=Config!$B$5,1,0)</f>
        <v>0</v>
      </c>
      <c r="E555" s="108">
        <f t="shared" ca="1" si="29"/>
        <v>0</v>
      </c>
      <c r="F555" s="108">
        <f ca="1">IF(AND($D555=0,$H554&gt;0,$E555&lt;Config!$B$8,$A555&lt;Config!$A$2),1,0)</f>
        <v>0</v>
      </c>
      <c r="G555" s="108">
        <f t="shared" ca="1" si="30"/>
        <v>0</v>
      </c>
      <c r="H555" s="108">
        <f ca="1">IF($D555=1,$H554+1,IF($F555=1,$H554,IF($A555=Config!$A$2,$H554,0)))</f>
        <v>0</v>
      </c>
      <c r="M555" s="109"/>
    </row>
    <row r="556" spans="1:13" x14ac:dyDescent="0.3">
      <c r="A556" s="106">
        <f t="shared" ca="1" si="28"/>
        <v>46134</v>
      </c>
      <c r="B556" s="107">
        <f ca="1">SUMIFS('Daily Writing Log'!$H$5:$H$34,'Daily Writing Log'!$A$5:$A$34,$A556)</f>
        <v>0</v>
      </c>
      <c r="C556" s="107">
        <f ca="1">SUMIFS('Daily Writing Log'!$I$5:$I$34,'Daily Writing Log'!$A$5:$A$34,$A556)</f>
        <v>0</v>
      </c>
      <c r="D556" s="108">
        <f ca="1">IF($C556&gt;=Config!$B$5,1,0)</f>
        <v>0</v>
      </c>
      <c r="E556" s="108">
        <f t="shared" ca="1" si="29"/>
        <v>0</v>
      </c>
      <c r="F556" s="108">
        <f ca="1">IF(AND($D556=0,$H555&gt;0,$E556&lt;Config!$B$8,$A556&lt;Config!$A$2),1,0)</f>
        <v>0</v>
      </c>
      <c r="G556" s="108">
        <f t="shared" ca="1" si="30"/>
        <v>0</v>
      </c>
      <c r="H556" s="108">
        <f ca="1">IF($D556=1,$H555+1,IF($F556=1,$H555,IF($A556=Config!$A$2,$H555,0)))</f>
        <v>0</v>
      </c>
      <c r="M556" s="109"/>
    </row>
    <row r="557" spans="1:13" x14ac:dyDescent="0.3">
      <c r="A557" s="106">
        <f t="shared" ca="1" si="28"/>
        <v>46135</v>
      </c>
      <c r="B557" s="107">
        <f ca="1">SUMIFS('Daily Writing Log'!$H$5:$H$34,'Daily Writing Log'!$A$5:$A$34,$A557)</f>
        <v>0</v>
      </c>
      <c r="C557" s="107">
        <f ca="1">SUMIFS('Daily Writing Log'!$I$5:$I$34,'Daily Writing Log'!$A$5:$A$34,$A557)</f>
        <v>0</v>
      </c>
      <c r="D557" s="108">
        <f ca="1">IF($C557&gt;=Config!$B$5,1,0)</f>
        <v>0</v>
      </c>
      <c r="E557" s="108">
        <f t="shared" ca="1" si="29"/>
        <v>0</v>
      </c>
      <c r="F557" s="108">
        <f ca="1">IF(AND($D557=0,$H556&gt;0,$E557&lt;Config!$B$8,$A557&lt;Config!$A$2),1,0)</f>
        <v>0</v>
      </c>
      <c r="G557" s="108">
        <f t="shared" ca="1" si="30"/>
        <v>0</v>
      </c>
      <c r="H557" s="108">
        <f ca="1">IF($D557=1,$H556+1,IF($F557=1,$H556,IF($A557=Config!$A$2,$H556,0)))</f>
        <v>0</v>
      </c>
      <c r="M557" s="109"/>
    </row>
    <row r="558" spans="1:13" x14ac:dyDescent="0.3">
      <c r="A558" s="106">
        <f t="shared" ca="1" si="28"/>
        <v>46136</v>
      </c>
      <c r="B558" s="107">
        <f ca="1">SUMIFS('Daily Writing Log'!$H$5:$H$34,'Daily Writing Log'!$A$5:$A$34,$A558)</f>
        <v>0</v>
      </c>
      <c r="C558" s="107">
        <f ca="1">SUMIFS('Daily Writing Log'!$I$5:$I$34,'Daily Writing Log'!$A$5:$A$34,$A558)</f>
        <v>0</v>
      </c>
      <c r="D558" s="108">
        <f ca="1">IF($C558&gt;=Config!$B$5,1,0)</f>
        <v>0</v>
      </c>
      <c r="E558" s="108">
        <f t="shared" ca="1" si="29"/>
        <v>0</v>
      </c>
      <c r="F558" s="108">
        <f ca="1">IF(AND($D558=0,$H557&gt;0,$E558&lt;Config!$B$8,$A558&lt;Config!$A$2),1,0)</f>
        <v>0</v>
      </c>
      <c r="G558" s="108">
        <f t="shared" ca="1" si="30"/>
        <v>0</v>
      </c>
      <c r="H558" s="108">
        <f ca="1">IF($D558=1,$H557+1,IF($F558=1,$H557,IF($A558=Config!$A$2,$H557,0)))</f>
        <v>0</v>
      </c>
      <c r="M558" s="109"/>
    </row>
    <row r="559" spans="1:13" x14ac:dyDescent="0.3">
      <c r="A559" s="106">
        <f t="shared" ca="1" si="28"/>
        <v>46137</v>
      </c>
      <c r="B559" s="107">
        <f ca="1">SUMIFS('Daily Writing Log'!$H$5:$H$34,'Daily Writing Log'!$A$5:$A$34,$A559)</f>
        <v>0</v>
      </c>
      <c r="C559" s="107">
        <f ca="1">SUMIFS('Daily Writing Log'!$I$5:$I$34,'Daily Writing Log'!$A$5:$A$34,$A559)</f>
        <v>0</v>
      </c>
      <c r="D559" s="108">
        <f ca="1">IF($C559&gt;=Config!$B$5,1,0)</f>
        <v>0</v>
      </c>
      <c r="E559" s="108">
        <f t="shared" ca="1" si="29"/>
        <v>0</v>
      </c>
      <c r="F559" s="108">
        <f ca="1">IF(AND($D559=0,$H558&gt;0,$E559&lt;Config!$B$8,$A559&lt;Config!$A$2),1,0)</f>
        <v>0</v>
      </c>
      <c r="G559" s="108">
        <f t="shared" ca="1" si="30"/>
        <v>0</v>
      </c>
      <c r="H559" s="108">
        <f ca="1">IF($D559=1,$H558+1,IF($F559=1,$H558,IF($A559=Config!$A$2,$H558,0)))</f>
        <v>0</v>
      </c>
      <c r="M559" s="109"/>
    </row>
    <row r="560" spans="1:13" x14ac:dyDescent="0.3">
      <c r="A560" s="106">
        <f t="shared" ca="1" si="28"/>
        <v>46138</v>
      </c>
      <c r="B560" s="107">
        <f ca="1">SUMIFS('Daily Writing Log'!$H$5:$H$34,'Daily Writing Log'!$A$5:$A$34,$A560)</f>
        <v>0</v>
      </c>
      <c r="C560" s="107">
        <f ca="1">SUMIFS('Daily Writing Log'!$I$5:$I$34,'Daily Writing Log'!$A$5:$A$34,$A560)</f>
        <v>0</v>
      </c>
      <c r="D560" s="108">
        <f ca="1">IF($C560&gt;=Config!$B$5,1,0)</f>
        <v>0</v>
      </c>
      <c r="E560" s="108">
        <f t="shared" ca="1" si="29"/>
        <v>0</v>
      </c>
      <c r="F560" s="108">
        <f ca="1">IF(AND($D560=0,$H559&gt;0,$E560&lt;Config!$B$8,$A560&lt;Config!$A$2),1,0)</f>
        <v>0</v>
      </c>
      <c r="G560" s="108">
        <f t="shared" ca="1" si="30"/>
        <v>0</v>
      </c>
      <c r="H560" s="108">
        <f ca="1">IF($D560=1,$H559+1,IF($F560=1,$H559,IF($A560=Config!$A$2,$H559,0)))</f>
        <v>0</v>
      </c>
      <c r="M560" s="109"/>
    </row>
    <row r="561" spans="1:13" x14ac:dyDescent="0.3">
      <c r="A561" s="106">
        <f t="shared" ca="1" si="28"/>
        <v>46139</v>
      </c>
      <c r="B561" s="107">
        <f ca="1">SUMIFS('Daily Writing Log'!$H$5:$H$34,'Daily Writing Log'!$A$5:$A$34,$A561)</f>
        <v>0</v>
      </c>
      <c r="C561" s="107">
        <f ca="1">SUMIFS('Daily Writing Log'!$I$5:$I$34,'Daily Writing Log'!$A$5:$A$34,$A561)</f>
        <v>0</v>
      </c>
      <c r="D561" s="108">
        <f ca="1">IF($C561&gt;=Config!$B$5,1,0)</f>
        <v>0</v>
      </c>
      <c r="E561" s="108">
        <f t="shared" ca="1" si="29"/>
        <v>0</v>
      </c>
      <c r="F561" s="108">
        <f ca="1">IF(AND($D561=0,$H560&gt;0,$E561&lt;Config!$B$8,$A561&lt;Config!$A$2),1,0)</f>
        <v>0</v>
      </c>
      <c r="G561" s="108">
        <f t="shared" ca="1" si="30"/>
        <v>0</v>
      </c>
      <c r="H561" s="108">
        <f ca="1">IF($D561=1,$H560+1,IF($F561=1,$H560,IF($A561=Config!$A$2,$H560,0)))</f>
        <v>0</v>
      </c>
      <c r="M561" s="109"/>
    </row>
    <row r="562" spans="1:13" x14ac:dyDescent="0.3">
      <c r="A562" s="106">
        <f t="shared" ca="1" si="28"/>
        <v>46140</v>
      </c>
      <c r="B562" s="107">
        <f ca="1">SUMIFS('Daily Writing Log'!$H$5:$H$34,'Daily Writing Log'!$A$5:$A$34,$A562)</f>
        <v>0</v>
      </c>
      <c r="C562" s="107">
        <f ca="1">SUMIFS('Daily Writing Log'!$I$5:$I$34,'Daily Writing Log'!$A$5:$A$34,$A562)</f>
        <v>0</v>
      </c>
      <c r="D562" s="108">
        <f ca="1">IF($C562&gt;=Config!$B$5,1,0)</f>
        <v>0</v>
      </c>
      <c r="E562" s="108">
        <f t="shared" ca="1" si="29"/>
        <v>0</v>
      </c>
      <c r="F562" s="108">
        <f ca="1">IF(AND($D562=0,$H561&gt;0,$E562&lt;Config!$B$8,$A562&lt;Config!$A$2),1,0)</f>
        <v>0</v>
      </c>
      <c r="G562" s="108">
        <f t="shared" ca="1" si="30"/>
        <v>0</v>
      </c>
      <c r="H562" s="108">
        <f ca="1">IF($D562=1,$H561+1,IF($F562=1,$H561,IF($A562=Config!$A$2,$H561,0)))</f>
        <v>0</v>
      </c>
      <c r="M562" s="109"/>
    </row>
    <row r="563" spans="1:13" x14ac:dyDescent="0.3">
      <c r="A563" s="106">
        <f t="shared" ca="1" si="28"/>
        <v>46141</v>
      </c>
      <c r="B563" s="107">
        <f ca="1">SUMIFS('Daily Writing Log'!$H$5:$H$34,'Daily Writing Log'!$A$5:$A$34,$A563)</f>
        <v>0</v>
      </c>
      <c r="C563" s="107">
        <f ca="1">SUMIFS('Daily Writing Log'!$I$5:$I$34,'Daily Writing Log'!$A$5:$A$34,$A563)</f>
        <v>0</v>
      </c>
      <c r="D563" s="108">
        <f ca="1">IF($C563&gt;=Config!$B$5,1,0)</f>
        <v>0</v>
      </c>
      <c r="E563" s="108">
        <f t="shared" ca="1" si="29"/>
        <v>0</v>
      </c>
      <c r="F563" s="108">
        <f ca="1">IF(AND($D563=0,$H562&gt;0,$E563&lt;Config!$B$8,$A563&lt;Config!$A$2),1,0)</f>
        <v>0</v>
      </c>
      <c r="G563" s="108">
        <f t="shared" ca="1" si="30"/>
        <v>0</v>
      </c>
      <c r="H563" s="108">
        <f ca="1">IF($D563=1,$H562+1,IF($F563=1,$H562,IF($A563=Config!$A$2,$H562,0)))</f>
        <v>0</v>
      </c>
      <c r="M563" s="109"/>
    </row>
    <row r="564" spans="1:13" x14ac:dyDescent="0.3">
      <c r="A564" s="106">
        <f t="shared" ca="1" si="28"/>
        <v>46142</v>
      </c>
      <c r="B564" s="107">
        <f ca="1">SUMIFS('Daily Writing Log'!$H$5:$H$34,'Daily Writing Log'!$A$5:$A$34,$A564)</f>
        <v>0</v>
      </c>
      <c r="C564" s="107">
        <f ca="1">SUMIFS('Daily Writing Log'!$I$5:$I$34,'Daily Writing Log'!$A$5:$A$34,$A564)</f>
        <v>0</v>
      </c>
      <c r="D564" s="108">
        <f ca="1">IF($C564&gt;=Config!$B$5,1,0)</f>
        <v>0</v>
      </c>
      <c r="E564" s="108">
        <f t="shared" ca="1" si="29"/>
        <v>0</v>
      </c>
      <c r="F564" s="108">
        <f ca="1">IF(AND($D564=0,$H563&gt;0,$E564&lt;Config!$B$8,$A564&lt;Config!$A$2),1,0)</f>
        <v>0</v>
      </c>
      <c r="G564" s="108">
        <f t="shared" ca="1" si="30"/>
        <v>0</v>
      </c>
      <c r="H564" s="108">
        <f ca="1">IF($D564=1,$H563+1,IF($F564=1,$H563,IF($A564=Config!$A$2,$H563,0)))</f>
        <v>0</v>
      </c>
      <c r="M564" s="109"/>
    </row>
    <row r="565" spans="1:13" x14ac:dyDescent="0.3">
      <c r="A565" s="106">
        <f t="shared" ca="1" si="28"/>
        <v>46143</v>
      </c>
      <c r="B565" s="107">
        <f ca="1">SUMIFS('Daily Writing Log'!$H$5:$H$34,'Daily Writing Log'!$A$5:$A$34,$A565)</f>
        <v>0</v>
      </c>
      <c r="C565" s="107">
        <f ca="1">SUMIFS('Daily Writing Log'!$I$5:$I$34,'Daily Writing Log'!$A$5:$A$34,$A565)</f>
        <v>0</v>
      </c>
      <c r="D565" s="108">
        <f ca="1">IF($C565&gt;=Config!$B$5,1,0)</f>
        <v>0</v>
      </c>
      <c r="E565" s="108">
        <f t="shared" ca="1" si="29"/>
        <v>0</v>
      </c>
      <c r="F565" s="108">
        <f ca="1">IF(AND($D565=0,$H564&gt;0,$E565&lt;Config!$B$8,$A565&lt;Config!$A$2),1,0)</f>
        <v>0</v>
      </c>
      <c r="G565" s="108">
        <f t="shared" ca="1" si="30"/>
        <v>0</v>
      </c>
      <c r="H565" s="108">
        <f ca="1">IF($D565=1,$H564+1,IF($F565=1,$H564,IF($A565=Config!$A$2,$H564,0)))</f>
        <v>0</v>
      </c>
      <c r="M565" s="109"/>
    </row>
    <row r="566" spans="1:13" x14ac:dyDescent="0.3">
      <c r="A566" s="106">
        <f t="shared" ca="1" si="28"/>
        <v>46144</v>
      </c>
      <c r="B566" s="107">
        <f ca="1">SUMIFS('Daily Writing Log'!$H$5:$H$34,'Daily Writing Log'!$A$5:$A$34,$A566)</f>
        <v>0</v>
      </c>
      <c r="C566" s="107">
        <f ca="1">SUMIFS('Daily Writing Log'!$I$5:$I$34,'Daily Writing Log'!$A$5:$A$34,$A566)</f>
        <v>0</v>
      </c>
      <c r="D566" s="108">
        <f ca="1">IF($C566&gt;=Config!$B$5,1,0)</f>
        <v>0</v>
      </c>
      <c r="E566" s="108">
        <f t="shared" ca="1" si="29"/>
        <v>0</v>
      </c>
      <c r="F566" s="108">
        <f ca="1">IF(AND($D566=0,$H565&gt;0,$E566&lt;Config!$B$8,$A566&lt;Config!$A$2),1,0)</f>
        <v>0</v>
      </c>
      <c r="G566" s="108">
        <f t="shared" ca="1" si="30"/>
        <v>0</v>
      </c>
      <c r="H566" s="108">
        <f ca="1">IF($D566=1,$H565+1,IF($F566=1,$H565,IF($A566=Config!$A$2,$H565,0)))</f>
        <v>0</v>
      </c>
      <c r="M566" s="109"/>
    </row>
    <row r="567" spans="1:13" x14ac:dyDescent="0.3">
      <c r="A567" s="106">
        <f t="shared" ca="1" si="28"/>
        <v>46145</v>
      </c>
      <c r="B567" s="107">
        <f ca="1">SUMIFS('Daily Writing Log'!$H$5:$H$34,'Daily Writing Log'!$A$5:$A$34,$A567)</f>
        <v>0</v>
      </c>
      <c r="C567" s="107">
        <f ca="1">SUMIFS('Daily Writing Log'!$I$5:$I$34,'Daily Writing Log'!$A$5:$A$34,$A567)</f>
        <v>0</v>
      </c>
      <c r="D567" s="108">
        <f ca="1">IF($C567&gt;=Config!$B$5,1,0)</f>
        <v>0</v>
      </c>
      <c r="E567" s="108">
        <f t="shared" ca="1" si="29"/>
        <v>0</v>
      </c>
      <c r="F567" s="108">
        <f ca="1">IF(AND($D567=0,$H566&gt;0,$E567&lt;Config!$B$8,$A567&lt;Config!$A$2),1,0)</f>
        <v>0</v>
      </c>
      <c r="G567" s="108">
        <f t="shared" ca="1" si="30"/>
        <v>0</v>
      </c>
      <c r="H567" s="108">
        <f ca="1">IF($D567=1,$H566+1,IF($F567=1,$H566,IF($A567=Config!$A$2,$H566,0)))</f>
        <v>0</v>
      </c>
      <c r="M567" s="109"/>
    </row>
    <row r="568" spans="1:13" x14ac:dyDescent="0.3">
      <c r="A568" s="106">
        <f t="shared" ca="1" si="28"/>
        <v>46146</v>
      </c>
      <c r="B568" s="107">
        <f ca="1">SUMIFS('Daily Writing Log'!$H$5:$H$34,'Daily Writing Log'!$A$5:$A$34,$A568)</f>
        <v>0</v>
      </c>
      <c r="C568" s="107">
        <f ca="1">SUMIFS('Daily Writing Log'!$I$5:$I$34,'Daily Writing Log'!$A$5:$A$34,$A568)</f>
        <v>0</v>
      </c>
      <c r="D568" s="108">
        <f ca="1">IF($C568&gt;=Config!$B$5,1,0)</f>
        <v>0</v>
      </c>
      <c r="E568" s="108">
        <f t="shared" ca="1" si="29"/>
        <v>0</v>
      </c>
      <c r="F568" s="108">
        <f ca="1">IF(AND($D568=0,$H567&gt;0,$E568&lt;Config!$B$8,$A568&lt;Config!$A$2),1,0)</f>
        <v>0</v>
      </c>
      <c r="G568" s="108">
        <f t="shared" ca="1" si="30"/>
        <v>0</v>
      </c>
      <c r="H568" s="108">
        <f ca="1">IF($D568=1,$H567+1,IF($F568=1,$H567,IF($A568=Config!$A$2,$H567,0)))</f>
        <v>0</v>
      </c>
      <c r="M568" s="109"/>
    </row>
    <row r="569" spans="1:13" x14ac:dyDescent="0.3">
      <c r="A569" s="106">
        <f t="shared" ca="1" si="28"/>
        <v>46147</v>
      </c>
      <c r="B569" s="107">
        <f ca="1">SUMIFS('Daily Writing Log'!$H$5:$H$34,'Daily Writing Log'!$A$5:$A$34,$A569)</f>
        <v>0</v>
      </c>
      <c r="C569" s="107">
        <f ca="1">SUMIFS('Daily Writing Log'!$I$5:$I$34,'Daily Writing Log'!$A$5:$A$34,$A569)</f>
        <v>0</v>
      </c>
      <c r="D569" s="108">
        <f ca="1">IF($C569&gt;=Config!$B$5,1,0)</f>
        <v>0</v>
      </c>
      <c r="E569" s="108">
        <f t="shared" ca="1" si="29"/>
        <v>0</v>
      </c>
      <c r="F569" s="108">
        <f ca="1">IF(AND($D569=0,$H568&gt;0,$E569&lt;Config!$B$8,$A569&lt;Config!$A$2),1,0)</f>
        <v>0</v>
      </c>
      <c r="G569" s="108">
        <f t="shared" ca="1" si="30"/>
        <v>0</v>
      </c>
      <c r="H569" s="108">
        <f ca="1">IF($D569=1,$H568+1,IF($F569=1,$H568,IF($A569=Config!$A$2,$H568,0)))</f>
        <v>0</v>
      </c>
      <c r="M569" s="109"/>
    </row>
    <row r="570" spans="1:13" x14ac:dyDescent="0.3">
      <c r="A570" s="106">
        <f t="shared" ca="1" si="28"/>
        <v>46148</v>
      </c>
      <c r="B570" s="107">
        <f ca="1">SUMIFS('Daily Writing Log'!$H$5:$H$34,'Daily Writing Log'!$A$5:$A$34,$A570)</f>
        <v>0</v>
      </c>
      <c r="C570" s="107">
        <f ca="1">SUMIFS('Daily Writing Log'!$I$5:$I$34,'Daily Writing Log'!$A$5:$A$34,$A570)</f>
        <v>0</v>
      </c>
      <c r="D570" s="108">
        <f ca="1">IF($C570&gt;=Config!$B$5,1,0)</f>
        <v>0</v>
      </c>
      <c r="E570" s="108">
        <f t="shared" ca="1" si="29"/>
        <v>0</v>
      </c>
      <c r="F570" s="108">
        <f ca="1">IF(AND($D570=0,$H569&gt;0,$E570&lt;Config!$B$8,$A570&lt;Config!$A$2),1,0)</f>
        <v>0</v>
      </c>
      <c r="G570" s="108">
        <f t="shared" ca="1" si="30"/>
        <v>0</v>
      </c>
      <c r="H570" s="108">
        <f ca="1">IF($D570=1,$H569+1,IF($F570=1,$H569,IF($A570=Config!$A$2,$H569,0)))</f>
        <v>0</v>
      </c>
      <c r="M570" s="109"/>
    </row>
    <row r="571" spans="1:13" x14ac:dyDescent="0.3">
      <c r="A571" s="106">
        <f t="shared" ca="1" si="28"/>
        <v>46149</v>
      </c>
      <c r="B571" s="107">
        <f ca="1">SUMIFS('Daily Writing Log'!$H$5:$H$34,'Daily Writing Log'!$A$5:$A$34,$A571)</f>
        <v>0</v>
      </c>
      <c r="C571" s="107">
        <f ca="1">SUMIFS('Daily Writing Log'!$I$5:$I$34,'Daily Writing Log'!$A$5:$A$34,$A571)</f>
        <v>0</v>
      </c>
      <c r="D571" s="108">
        <f ca="1">IF($C571&gt;=Config!$B$5,1,0)</f>
        <v>0</v>
      </c>
      <c r="E571" s="108">
        <f t="shared" ca="1" si="29"/>
        <v>0</v>
      </c>
      <c r="F571" s="108">
        <f ca="1">IF(AND($D571=0,$H570&gt;0,$E571&lt;Config!$B$8,$A571&lt;Config!$A$2),1,0)</f>
        <v>0</v>
      </c>
      <c r="G571" s="108">
        <f t="shared" ca="1" si="30"/>
        <v>0</v>
      </c>
      <c r="H571" s="108">
        <f ca="1">IF($D571=1,$H570+1,IF($F571=1,$H570,IF($A571=Config!$A$2,$H570,0)))</f>
        <v>0</v>
      </c>
      <c r="M571" s="109"/>
    </row>
    <row r="572" spans="1:13" x14ac:dyDescent="0.3">
      <c r="A572" s="106">
        <f t="shared" ca="1" si="28"/>
        <v>46150</v>
      </c>
      <c r="B572" s="107">
        <f ca="1">SUMIFS('Daily Writing Log'!$H$5:$H$34,'Daily Writing Log'!$A$5:$A$34,$A572)</f>
        <v>0</v>
      </c>
      <c r="C572" s="107">
        <f ca="1">SUMIFS('Daily Writing Log'!$I$5:$I$34,'Daily Writing Log'!$A$5:$A$34,$A572)</f>
        <v>0</v>
      </c>
      <c r="D572" s="108">
        <f ca="1">IF($C572&gt;=Config!$B$5,1,0)</f>
        <v>0</v>
      </c>
      <c r="E572" s="108">
        <f t="shared" ca="1" si="29"/>
        <v>0</v>
      </c>
      <c r="F572" s="108">
        <f ca="1">IF(AND($D572=0,$H571&gt;0,$E572&lt;Config!$B$8,$A572&lt;Config!$A$2),1,0)</f>
        <v>0</v>
      </c>
      <c r="G572" s="108">
        <f t="shared" ca="1" si="30"/>
        <v>0</v>
      </c>
      <c r="H572" s="108">
        <f ca="1">IF($D572=1,$H571+1,IF($F572=1,$H571,IF($A572=Config!$A$2,$H571,0)))</f>
        <v>0</v>
      </c>
      <c r="M572" s="109"/>
    </row>
    <row r="573" spans="1:13" x14ac:dyDescent="0.3">
      <c r="A573" s="106">
        <f t="shared" ca="1" si="28"/>
        <v>46151</v>
      </c>
      <c r="B573" s="107">
        <f ca="1">SUMIFS('Daily Writing Log'!$H$5:$H$34,'Daily Writing Log'!$A$5:$A$34,$A573)</f>
        <v>0</v>
      </c>
      <c r="C573" s="107">
        <f ca="1">SUMIFS('Daily Writing Log'!$I$5:$I$34,'Daily Writing Log'!$A$5:$A$34,$A573)</f>
        <v>0</v>
      </c>
      <c r="D573" s="108">
        <f ca="1">IF($C573&gt;=Config!$B$5,1,0)</f>
        <v>0</v>
      </c>
      <c r="E573" s="108">
        <f t="shared" ca="1" si="29"/>
        <v>0</v>
      </c>
      <c r="F573" s="108">
        <f ca="1">IF(AND($D573=0,$H572&gt;0,$E573&lt;Config!$B$8,$A573&lt;Config!$A$2),1,0)</f>
        <v>0</v>
      </c>
      <c r="G573" s="108">
        <f t="shared" ca="1" si="30"/>
        <v>0</v>
      </c>
      <c r="H573" s="108">
        <f ca="1">IF($D573=1,$H572+1,IF($F573=1,$H572,IF($A573=Config!$A$2,$H572,0)))</f>
        <v>0</v>
      </c>
      <c r="M573" s="109"/>
    </row>
    <row r="574" spans="1:13" x14ac:dyDescent="0.3">
      <c r="A574" s="106">
        <f t="shared" ca="1" si="28"/>
        <v>46152</v>
      </c>
      <c r="B574" s="107">
        <f ca="1">SUMIFS('Daily Writing Log'!$H$5:$H$34,'Daily Writing Log'!$A$5:$A$34,$A574)</f>
        <v>0</v>
      </c>
      <c r="C574" s="107">
        <f ca="1">SUMIFS('Daily Writing Log'!$I$5:$I$34,'Daily Writing Log'!$A$5:$A$34,$A574)</f>
        <v>0</v>
      </c>
      <c r="D574" s="108">
        <f ca="1">IF($C574&gt;=Config!$B$5,1,0)</f>
        <v>0</v>
      </c>
      <c r="E574" s="108">
        <f t="shared" ca="1" si="29"/>
        <v>0</v>
      </c>
      <c r="F574" s="108">
        <f ca="1">IF(AND($D574=0,$H573&gt;0,$E574&lt;Config!$B$8,$A574&lt;Config!$A$2),1,0)</f>
        <v>0</v>
      </c>
      <c r="G574" s="108">
        <f t="shared" ca="1" si="30"/>
        <v>0</v>
      </c>
      <c r="H574" s="108">
        <f ca="1">IF($D574=1,$H573+1,IF($F574=1,$H573,IF($A574=Config!$A$2,$H573,0)))</f>
        <v>0</v>
      </c>
      <c r="M574" s="109"/>
    </row>
    <row r="575" spans="1:13" x14ac:dyDescent="0.3">
      <c r="A575" s="106">
        <f t="shared" ca="1" si="28"/>
        <v>46153</v>
      </c>
      <c r="B575" s="107">
        <f ca="1">SUMIFS('Daily Writing Log'!$H$5:$H$34,'Daily Writing Log'!$A$5:$A$34,$A575)</f>
        <v>0</v>
      </c>
      <c r="C575" s="107">
        <f ca="1">SUMIFS('Daily Writing Log'!$I$5:$I$34,'Daily Writing Log'!$A$5:$A$34,$A575)</f>
        <v>0</v>
      </c>
      <c r="D575" s="108">
        <f ca="1">IF($C575&gt;=Config!$B$5,1,0)</f>
        <v>0</v>
      </c>
      <c r="E575" s="108">
        <f t="shared" ca="1" si="29"/>
        <v>0</v>
      </c>
      <c r="F575" s="108">
        <f ca="1">IF(AND($D575=0,$H574&gt;0,$E575&lt;Config!$B$8,$A575&lt;Config!$A$2),1,0)</f>
        <v>0</v>
      </c>
      <c r="G575" s="108">
        <f t="shared" ca="1" si="30"/>
        <v>0</v>
      </c>
      <c r="H575" s="108">
        <f ca="1">IF($D575=1,$H574+1,IF($F575=1,$H574,IF($A575=Config!$A$2,$H574,0)))</f>
        <v>0</v>
      </c>
      <c r="M575" s="109"/>
    </row>
    <row r="576" spans="1:13" x14ac:dyDescent="0.3">
      <c r="A576" s="106">
        <f t="shared" ca="1" si="28"/>
        <v>46154</v>
      </c>
      <c r="B576" s="107">
        <f ca="1">SUMIFS('Daily Writing Log'!$H$5:$H$34,'Daily Writing Log'!$A$5:$A$34,$A576)</f>
        <v>0</v>
      </c>
      <c r="C576" s="107">
        <f ca="1">SUMIFS('Daily Writing Log'!$I$5:$I$34,'Daily Writing Log'!$A$5:$A$34,$A576)</f>
        <v>0</v>
      </c>
      <c r="D576" s="108">
        <f ca="1">IF($C576&gt;=Config!$B$5,1,0)</f>
        <v>0</v>
      </c>
      <c r="E576" s="108">
        <f t="shared" ca="1" si="29"/>
        <v>0</v>
      </c>
      <c r="F576" s="108">
        <f ca="1">IF(AND($D576=0,$H575&gt;0,$E576&lt;Config!$B$8,$A576&lt;Config!$A$2),1,0)</f>
        <v>0</v>
      </c>
      <c r="G576" s="108">
        <f t="shared" ca="1" si="30"/>
        <v>0</v>
      </c>
      <c r="H576" s="108">
        <f ca="1">IF($D576=1,$H575+1,IF($F576=1,$H575,IF($A576=Config!$A$2,$H575,0)))</f>
        <v>0</v>
      </c>
      <c r="M576" s="109"/>
    </row>
    <row r="577" spans="1:13" x14ac:dyDescent="0.3">
      <c r="A577" s="106">
        <f t="shared" ca="1" si="28"/>
        <v>46155</v>
      </c>
      <c r="B577" s="107">
        <f ca="1">SUMIFS('Daily Writing Log'!$H$5:$H$34,'Daily Writing Log'!$A$5:$A$34,$A577)</f>
        <v>0</v>
      </c>
      <c r="C577" s="107">
        <f ca="1">SUMIFS('Daily Writing Log'!$I$5:$I$34,'Daily Writing Log'!$A$5:$A$34,$A577)</f>
        <v>0</v>
      </c>
      <c r="D577" s="108">
        <f ca="1">IF($C577&gt;=Config!$B$5,1,0)</f>
        <v>0</v>
      </c>
      <c r="E577" s="108">
        <f t="shared" ca="1" si="29"/>
        <v>0</v>
      </c>
      <c r="F577" s="108">
        <f ca="1">IF(AND($D577=0,$H576&gt;0,$E577&lt;Config!$B$8,$A577&lt;Config!$A$2),1,0)</f>
        <v>0</v>
      </c>
      <c r="G577" s="108">
        <f t="shared" ca="1" si="30"/>
        <v>0</v>
      </c>
      <c r="H577" s="108">
        <f ca="1">IF($D577=1,$H576+1,IF($F577=1,$H576,IF($A577=Config!$A$2,$H576,0)))</f>
        <v>0</v>
      </c>
      <c r="M577" s="109"/>
    </row>
    <row r="578" spans="1:13" x14ac:dyDescent="0.3">
      <c r="A578" s="106">
        <f t="shared" ca="1" si="28"/>
        <v>46156</v>
      </c>
      <c r="B578" s="107">
        <f ca="1">SUMIFS('Daily Writing Log'!$H$5:$H$34,'Daily Writing Log'!$A$5:$A$34,$A578)</f>
        <v>0</v>
      </c>
      <c r="C578" s="107">
        <f ca="1">SUMIFS('Daily Writing Log'!$I$5:$I$34,'Daily Writing Log'!$A$5:$A$34,$A578)</f>
        <v>0</v>
      </c>
      <c r="D578" s="108">
        <f ca="1">IF($C578&gt;=Config!$B$5,1,0)</f>
        <v>0</v>
      </c>
      <c r="E578" s="108">
        <f t="shared" ca="1" si="29"/>
        <v>0</v>
      </c>
      <c r="F578" s="108">
        <f ca="1">IF(AND($D578=0,$H577&gt;0,$E578&lt;Config!$B$8,$A578&lt;Config!$A$2),1,0)</f>
        <v>0</v>
      </c>
      <c r="G578" s="108">
        <f t="shared" ca="1" si="30"/>
        <v>0</v>
      </c>
      <c r="H578" s="108">
        <f ca="1">IF($D578=1,$H577+1,IF($F578=1,$H577,IF($A578=Config!$A$2,$H577,0)))</f>
        <v>0</v>
      </c>
      <c r="M578" s="109"/>
    </row>
    <row r="579" spans="1:13" x14ac:dyDescent="0.3">
      <c r="A579" s="106">
        <f t="shared" ca="1" si="28"/>
        <v>46157</v>
      </c>
      <c r="B579" s="107">
        <f ca="1">SUMIFS('Daily Writing Log'!$H$5:$H$34,'Daily Writing Log'!$A$5:$A$34,$A579)</f>
        <v>0</v>
      </c>
      <c r="C579" s="107">
        <f ca="1">SUMIFS('Daily Writing Log'!$I$5:$I$34,'Daily Writing Log'!$A$5:$A$34,$A579)</f>
        <v>0</v>
      </c>
      <c r="D579" s="108">
        <f ca="1">IF($C579&gt;=Config!$B$5,1,0)</f>
        <v>0</v>
      </c>
      <c r="E579" s="108">
        <f t="shared" ca="1" si="29"/>
        <v>0</v>
      </c>
      <c r="F579" s="108">
        <f ca="1">IF(AND($D579=0,$H578&gt;0,$E579&lt;Config!$B$8,$A579&lt;Config!$A$2),1,0)</f>
        <v>0</v>
      </c>
      <c r="G579" s="108">
        <f t="shared" ca="1" si="30"/>
        <v>0</v>
      </c>
      <c r="H579" s="108">
        <f ca="1">IF($D579=1,$H578+1,IF($F579=1,$H578,IF($A579=Config!$A$2,$H578,0)))</f>
        <v>0</v>
      </c>
      <c r="M579" s="109"/>
    </row>
    <row r="580" spans="1:13" x14ac:dyDescent="0.3">
      <c r="A580" s="106">
        <f t="shared" ca="1" si="28"/>
        <v>46158</v>
      </c>
      <c r="B580" s="107">
        <f ca="1">SUMIFS('Daily Writing Log'!$H$5:$H$34,'Daily Writing Log'!$A$5:$A$34,$A580)</f>
        <v>0</v>
      </c>
      <c r="C580" s="107">
        <f ca="1">SUMIFS('Daily Writing Log'!$I$5:$I$34,'Daily Writing Log'!$A$5:$A$34,$A580)</f>
        <v>0</v>
      </c>
      <c r="D580" s="108">
        <f ca="1">IF($C580&gt;=Config!$B$5,1,0)</f>
        <v>0</v>
      </c>
      <c r="E580" s="108">
        <f t="shared" ca="1" si="29"/>
        <v>0</v>
      </c>
      <c r="F580" s="108">
        <f ca="1">IF(AND($D580=0,$H579&gt;0,$E580&lt;Config!$B$8,$A580&lt;Config!$A$2),1,0)</f>
        <v>0</v>
      </c>
      <c r="G580" s="108">
        <f t="shared" ca="1" si="30"/>
        <v>0</v>
      </c>
      <c r="H580" s="108">
        <f ca="1">IF($D580=1,$H579+1,IF($F580=1,$H579,IF($A580=Config!$A$2,$H579,0)))</f>
        <v>0</v>
      </c>
      <c r="M580" s="109"/>
    </row>
    <row r="581" spans="1:13" x14ac:dyDescent="0.3">
      <c r="A581" s="106">
        <f t="shared" ca="1" si="28"/>
        <v>46159</v>
      </c>
      <c r="B581" s="107">
        <f ca="1">SUMIFS('Daily Writing Log'!$H$5:$H$34,'Daily Writing Log'!$A$5:$A$34,$A581)</f>
        <v>0</v>
      </c>
      <c r="C581" s="107">
        <f ca="1">SUMIFS('Daily Writing Log'!$I$5:$I$34,'Daily Writing Log'!$A$5:$A$34,$A581)</f>
        <v>0</v>
      </c>
      <c r="D581" s="108">
        <f ca="1">IF($C581&gt;=Config!$B$5,1,0)</f>
        <v>0</v>
      </c>
      <c r="E581" s="108">
        <f t="shared" ca="1" si="29"/>
        <v>0</v>
      </c>
      <c r="F581" s="108">
        <f ca="1">IF(AND($D581=0,$H580&gt;0,$E581&lt;Config!$B$8,$A581&lt;Config!$A$2),1,0)</f>
        <v>0</v>
      </c>
      <c r="G581" s="108">
        <f t="shared" ca="1" si="30"/>
        <v>0</v>
      </c>
      <c r="H581" s="108">
        <f ca="1">IF($D581=1,$H580+1,IF($F581=1,$H580,IF($A581=Config!$A$2,$H580,0)))</f>
        <v>0</v>
      </c>
      <c r="M581" s="109"/>
    </row>
    <row r="582" spans="1:13" x14ac:dyDescent="0.3">
      <c r="A582" s="106">
        <f t="shared" ref="A582:A645" ca="1" si="31">A581+1</f>
        <v>46160</v>
      </c>
      <c r="B582" s="107">
        <f ca="1">SUMIFS('Daily Writing Log'!$H$5:$H$34,'Daily Writing Log'!$A$5:$A$34,$A582)</f>
        <v>0</v>
      </c>
      <c r="C582" s="107">
        <f ca="1">SUMIFS('Daily Writing Log'!$I$5:$I$34,'Daily Writing Log'!$A$5:$A$34,$A582)</f>
        <v>0</v>
      </c>
      <c r="D582" s="108">
        <f ca="1">IF($C582&gt;=Config!$B$5,1,0)</f>
        <v>0</v>
      </c>
      <c r="E582" s="108">
        <f t="shared" ref="E582:E645" ca="1" si="32">IF(MONTH($A582)&lt;&gt;MONTH($A581),0,$G581)</f>
        <v>0</v>
      </c>
      <c r="F582" s="108">
        <f ca="1">IF(AND($D582=0,$H581&gt;0,$E582&lt;Config!$B$8,$A582&lt;Config!$A$2),1,0)</f>
        <v>0</v>
      </c>
      <c r="G582" s="108">
        <f t="shared" ref="G582:G645" ca="1" si="33">$E582+$F582</f>
        <v>0</v>
      </c>
      <c r="H582" s="108">
        <f ca="1">IF($D582=1,$H581+1,IF($F582=1,$H581,IF($A582=Config!$A$2,$H581,0)))</f>
        <v>0</v>
      </c>
      <c r="M582" s="109"/>
    </row>
    <row r="583" spans="1:13" x14ac:dyDescent="0.3">
      <c r="A583" s="106">
        <f t="shared" ca="1" si="31"/>
        <v>46161</v>
      </c>
      <c r="B583" s="107">
        <f ca="1">SUMIFS('Daily Writing Log'!$H$5:$H$34,'Daily Writing Log'!$A$5:$A$34,$A583)</f>
        <v>0</v>
      </c>
      <c r="C583" s="107">
        <f ca="1">SUMIFS('Daily Writing Log'!$I$5:$I$34,'Daily Writing Log'!$A$5:$A$34,$A583)</f>
        <v>0</v>
      </c>
      <c r="D583" s="108">
        <f ca="1">IF($C583&gt;=Config!$B$5,1,0)</f>
        <v>0</v>
      </c>
      <c r="E583" s="108">
        <f t="shared" ca="1" si="32"/>
        <v>0</v>
      </c>
      <c r="F583" s="108">
        <f ca="1">IF(AND($D583=0,$H582&gt;0,$E583&lt;Config!$B$8,$A583&lt;Config!$A$2),1,0)</f>
        <v>0</v>
      </c>
      <c r="G583" s="108">
        <f t="shared" ca="1" si="33"/>
        <v>0</v>
      </c>
      <c r="H583" s="108">
        <f ca="1">IF($D583=1,$H582+1,IF($F583=1,$H582,IF($A583=Config!$A$2,$H582,0)))</f>
        <v>0</v>
      </c>
      <c r="M583" s="109"/>
    </row>
    <row r="584" spans="1:13" x14ac:dyDescent="0.3">
      <c r="A584" s="106">
        <f t="shared" ca="1" si="31"/>
        <v>46162</v>
      </c>
      <c r="B584" s="107">
        <f ca="1">SUMIFS('Daily Writing Log'!$H$5:$H$34,'Daily Writing Log'!$A$5:$A$34,$A584)</f>
        <v>0</v>
      </c>
      <c r="C584" s="107">
        <f ca="1">SUMIFS('Daily Writing Log'!$I$5:$I$34,'Daily Writing Log'!$A$5:$A$34,$A584)</f>
        <v>0</v>
      </c>
      <c r="D584" s="108">
        <f ca="1">IF($C584&gt;=Config!$B$5,1,0)</f>
        <v>0</v>
      </c>
      <c r="E584" s="108">
        <f t="shared" ca="1" si="32"/>
        <v>0</v>
      </c>
      <c r="F584" s="108">
        <f ca="1">IF(AND($D584=0,$H583&gt;0,$E584&lt;Config!$B$8,$A584&lt;Config!$A$2),1,0)</f>
        <v>0</v>
      </c>
      <c r="G584" s="108">
        <f t="shared" ca="1" si="33"/>
        <v>0</v>
      </c>
      <c r="H584" s="108">
        <f ca="1">IF($D584=1,$H583+1,IF($F584=1,$H583,IF($A584=Config!$A$2,$H583,0)))</f>
        <v>0</v>
      </c>
      <c r="M584" s="109"/>
    </row>
    <row r="585" spans="1:13" x14ac:dyDescent="0.3">
      <c r="A585" s="106">
        <f t="shared" ca="1" si="31"/>
        <v>46163</v>
      </c>
      <c r="B585" s="107">
        <f ca="1">SUMIFS('Daily Writing Log'!$H$5:$H$34,'Daily Writing Log'!$A$5:$A$34,$A585)</f>
        <v>0</v>
      </c>
      <c r="C585" s="107">
        <f ca="1">SUMIFS('Daily Writing Log'!$I$5:$I$34,'Daily Writing Log'!$A$5:$A$34,$A585)</f>
        <v>0</v>
      </c>
      <c r="D585" s="108">
        <f ca="1">IF($C585&gt;=Config!$B$5,1,0)</f>
        <v>0</v>
      </c>
      <c r="E585" s="108">
        <f t="shared" ca="1" si="32"/>
        <v>0</v>
      </c>
      <c r="F585" s="108">
        <f ca="1">IF(AND($D585=0,$H584&gt;0,$E585&lt;Config!$B$8,$A585&lt;Config!$A$2),1,0)</f>
        <v>0</v>
      </c>
      <c r="G585" s="108">
        <f t="shared" ca="1" si="33"/>
        <v>0</v>
      </c>
      <c r="H585" s="108">
        <f ca="1">IF($D585=1,$H584+1,IF($F585=1,$H584,IF($A585=Config!$A$2,$H584,0)))</f>
        <v>0</v>
      </c>
      <c r="M585" s="109"/>
    </row>
    <row r="586" spans="1:13" x14ac:dyDescent="0.3">
      <c r="A586" s="106">
        <f t="shared" ca="1" si="31"/>
        <v>46164</v>
      </c>
      <c r="B586" s="107">
        <f ca="1">SUMIFS('Daily Writing Log'!$H$5:$H$34,'Daily Writing Log'!$A$5:$A$34,$A586)</f>
        <v>0</v>
      </c>
      <c r="C586" s="107">
        <f ca="1">SUMIFS('Daily Writing Log'!$I$5:$I$34,'Daily Writing Log'!$A$5:$A$34,$A586)</f>
        <v>0</v>
      </c>
      <c r="D586" s="108">
        <f ca="1">IF($C586&gt;=Config!$B$5,1,0)</f>
        <v>0</v>
      </c>
      <c r="E586" s="108">
        <f t="shared" ca="1" si="32"/>
        <v>0</v>
      </c>
      <c r="F586" s="108">
        <f ca="1">IF(AND($D586=0,$H585&gt;0,$E586&lt;Config!$B$8,$A586&lt;Config!$A$2),1,0)</f>
        <v>0</v>
      </c>
      <c r="G586" s="108">
        <f t="shared" ca="1" si="33"/>
        <v>0</v>
      </c>
      <c r="H586" s="108">
        <f ca="1">IF($D586=1,$H585+1,IF($F586=1,$H585,IF($A586=Config!$A$2,$H585,0)))</f>
        <v>0</v>
      </c>
      <c r="M586" s="109"/>
    </row>
    <row r="587" spans="1:13" x14ac:dyDescent="0.3">
      <c r="A587" s="106">
        <f t="shared" ca="1" si="31"/>
        <v>46165</v>
      </c>
      <c r="B587" s="107">
        <f ca="1">SUMIFS('Daily Writing Log'!$H$5:$H$34,'Daily Writing Log'!$A$5:$A$34,$A587)</f>
        <v>0</v>
      </c>
      <c r="C587" s="107">
        <f ca="1">SUMIFS('Daily Writing Log'!$I$5:$I$34,'Daily Writing Log'!$A$5:$A$34,$A587)</f>
        <v>0</v>
      </c>
      <c r="D587" s="108">
        <f ca="1">IF($C587&gt;=Config!$B$5,1,0)</f>
        <v>0</v>
      </c>
      <c r="E587" s="108">
        <f t="shared" ca="1" si="32"/>
        <v>0</v>
      </c>
      <c r="F587" s="108">
        <f ca="1">IF(AND($D587=0,$H586&gt;0,$E587&lt;Config!$B$8,$A587&lt;Config!$A$2),1,0)</f>
        <v>0</v>
      </c>
      <c r="G587" s="108">
        <f t="shared" ca="1" si="33"/>
        <v>0</v>
      </c>
      <c r="H587" s="108">
        <f ca="1">IF($D587=1,$H586+1,IF($F587=1,$H586,IF($A587=Config!$A$2,$H586,0)))</f>
        <v>0</v>
      </c>
      <c r="M587" s="109"/>
    </row>
    <row r="588" spans="1:13" x14ac:dyDescent="0.3">
      <c r="A588" s="106">
        <f t="shared" ca="1" si="31"/>
        <v>46166</v>
      </c>
      <c r="B588" s="107">
        <f ca="1">SUMIFS('Daily Writing Log'!$H$5:$H$34,'Daily Writing Log'!$A$5:$A$34,$A588)</f>
        <v>0</v>
      </c>
      <c r="C588" s="107">
        <f ca="1">SUMIFS('Daily Writing Log'!$I$5:$I$34,'Daily Writing Log'!$A$5:$A$34,$A588)</f>
        <v>0</v>
      </c>
      <c r="D588" s="108">
        <f ca="1">IF($C588&gt;=Config!$B$5,1,0)</f>
        <v>0</v>
      </c>
      <c r="E588" s="108">
        <f t="shared" ca="1" si="32"/>
        <v>0</v>
      </c>
      <c r="F588" s="108">
        <f ca="1">IF(AND($D588=0,$H587&gt;0,$E588&lt;Config!$B$8,$A588&lt;Config!$A$2),1,0)</f>
        <v>0</v>
      </c>
      <c r="G588" s="108">
        <f t="shared" ca="1" si="33"/>
        <v>0</v>
      </c>
      <c r="H588" s="108">
        <f ca="1">IF($D588=1,$H587+1,IF($F588=1,$H587,IF($A588=Config!$A$2,$H587,0)))</f>
        <v>0</v>
      </c>
      <c r="M588" s="109"/>
    </row>
    <row r="589" spans="1:13" x14ac:dyDescent="0.3">
      <c r="A589" s="106">
        <f t="shared" ca="1" si="31"/>
        <v>46167</v>
      </c>
      <c r="B589" s="107">
        <f ca="1">SUMIFS('Daily Writing Log'!$H$5:$H$34,'Daily Writing Log'!$A$5:$A$34,$A589)</f>
        <v>0</v>
      </c>
      <c r="C589" s="107">
        <f ca="1">SUMIFS('Daily Writing Log'!$I$5:$I$34,'Daily Writing Log'!$A$5:$A$34,$A589)</f>
        <v>0</v>
      </c>
      <c r="D589" s="108">
        <f ca="1">IF($C589&gt;=Config!$B$5,1,0)</f>
        <v>0</v>
      </c>
      <c r="E589" s="108">
        <f t="shared" ca="1" si="32"/>
        <v>0</v>
      </c>
      <c r="F589" s="108">
        <f ca="1">IF(AND($D589=0,$H588&gt;0,$E589&lt;Config!$B$8,$A589&lt;Config!$A$2),1,0)</f>
        <v>0</v>
      </c>
      <c r="G589" s="108">
        <f t="shared" ca="1" si="33"/>
        <v>0</v>
      </c>
      <c r="H589" s="108">
        <f ca="1">IF($D589=1,$H588+1,IF($F589=1,$H588,IF($A589=Config!$A$2,$H588,0)))</f>
        <v>0</v>
      </c>
      <c r="M589" s="109"/>
    </row>
    <row r="590" spans="1:13" x14ac:dyDescent="0.3">
      <c r="A590" s="106">
        <f t="shared" ca="1" si="31"/>
        <v>46168</v>
      </c>
      <c r="B590" s="107">
        <f ca="1">SUMIFS('Daily Writing Log'!$H$5:$H$34,'Daily Writing Log'!$A$5:$A$34,$A590)</f>
        <v>0</v>
      </c>
      <c r="C590" s="107">
        <f ca="1">SUMIFS('Daily Writing Log'!$I$5:$I$34,'Daily Writing Log'!$A$5:$A$34,$A590)</f>
        <v>0</v>
      </c>
      <c r="D590" s="108">
        <f ca="1">IF($C590&gt;=Config!$B$5,1,0)</f>
        <v>0</v>
      </c>
      <c r="E590" s="108">
        <f t="shared" ca="1" si="32"/>
        <v>0</v>
      </c>
      <c r="F590" s="108">
        <f ca="1">IF(AND($D590=0,$H589&gt;0,$E590&lt;Config!$B$8,$A590&lt;Config!$A$2),1,0)</f>
        <v>0</v>
      </c>
      <c r="G590" s="108">
        <f t="shared" ca="1" si="33"/>
        <v>0</v>
      </c>
      <c r="H590" s="108">
        <f ca="1">IF($D590=1,$H589+1,IF($F590=1,$H589,IF($A590=Config!$A$2,$H589,0)))</f>
        <v>0</v>
      </c>
      <c r="M590" s="109"/>
    </row>
    <row r="591" spans="1:13" x14ac:dyDescent="0.3">
      <c r="A591" s="106">
        <f t="shared" ca="1" si="31"/>
        <v>46169</v>
      </c>
      <c r="B591" s="107">
        <f ca="1">SUMIFS('Daily Writing Log'!$H$5:$H$34,'Daily Writing Log'!$A$5:$A$34,$A591)</f>
        <v>0</v>
      </c>
      <c r="C591" s="107">
        <f ca="1">SUMIFS('Daily Writing Log'!$I$5:$I$34,'Daily Writing Log'!$A$5:$A$34,$A591)</f>
        <v>0</v>
      </c>
      <c r="D591" s="108">
        <f ca="1">IF($C591&gt;=Config!$B$5,1,0)</f>
        <v>0</v>
      </c>
      <c r="E591" s="108">
        <f t="shared" ca="1" si="32"/>
        <v>0</v>
      </c>
      <c r="F591" s="108">
        <f ca="1">IF(AND($D591=0,$H590&gt;0,$E591&lt;Config!$B$8,$A591&lt;Config!$A$2),1,0)</f>
        <v>0</v>
      </c>
      <c r="G591" s="108">
        <f t="shared" ca="1" si="33"/>
        <v>0</v>
      </c>
      <c r="H591" s="108">
        <f ca="1">IF($D591=1,$H590+1,IF($F591=1,$H590,IF($A591=Config!$A$2,$H590,0)))</f>
        <v>0</v>
      </c>
      <c r="M591" s="109"/>
    </row>
    <row r="592" spans="1:13" x14ac:dyDescent="0.3">
      <c r="A592" s="106">
        <f t="shared" ca="1" si="31"/>
        <v>46170</v>
      </c>
      <c r="B592" s="107">
        <f ca="1">SUMIFS('Daily Writing Log'!$H$5:$H$34,'Daily Writing Log'!$A$5:$A$34,$A592)</f>
        <v>0</v>
      </c>
      <c r="C592" s="107">
        <f ca="1">SUMIFS('Daily Writing Log'!$I$5:$I$34,'Daily Writing Log'!$A$5:$A$34,$A592)</f>
        <v>0</v>
      </c>
      <c r="D592" s="108">
        <f ca="1">IF($C592&gt;=Config!$B$5,1,0)</f>
        <v>0</v>
      </c>
      <c r="E592" s="108">
        <f t="shared" ca="1" si="32"/>
        <v>0</v>
      </c>
      <c r="F592" s="108">
        <f ca="1">IF(AND($D592=0,$H591&gt;0,$E592&lt;Config!$B$8,$A592&lt;Config!$A$2),1,0)</f>
        <v>0</v>
      </c>
      <c r="G592" s="108">
        <f t="shared" ca="1" si="33"/>
        <v>0</v>
      </c>
      <c r="H592" s="108">
        <f ca="1">IF($D592=1,$H591+1,IF($F592=1,$H591,IF($A592=Config!$A$2,$H591,0)))</f>
        <v>0</v>
      </c>
      <c r="M592" s="109"/>
    </row>
    <row r="593" spans="1:13" x14ac:dyDescent="0.3">
      <c r="A593" s="106">
        <f t="shared" ca="1" si="31"/>
        <v>46171</v>
      </c>
      <c r="B593" s="107">
        <f ca="1">SUMIFS('Daily Writing Log'!$H$5:$H$34,'Daily Writing Log'!$A$5:$A$34,$A593)</f>
        <v>0</v>
      </c>
      <c r="C593" s="107">
        <f ca="1">SUMIFS('Daily Writing Log'!$I$5:$I$34,'Daily Writing Log'!$A$5:$A$34,$A593)</f>
        <v>0</v>
      </c>
      <c r="D593" s="108">
        <f ca="1">IF($C593&gt;=Config!$B$5,1,0)</f>
        <v>0</v>
      </c>
      <c r="E593" s="108">
        <f t="shared" ca="1" si="32"/>
        <v>0</v>
      </c>
      <c r="F593" s="108">
        <f ca="1">IF(AND($D593=0,$H592&gt;0,$E593&lt;Config!$B$8,$A593&lt;Config!$A$2),1,0)</f>
        <v>0</v>
      </c>
      <c r="G593" s="108">
        <f t="shared" ca="1" si="33"/>
        <v>0</v>
      </c>
      <c r="H593" s="108">
        <f ca="1">IF($D593=1,$H592+1,IF($F593=1,$H592,IF($A593=Config!$A$2,$H592,0)))</f>
        <v>0</v>
      </c>
      <c r="M593" s="109"/>
    </row>
    <row r="594" spans="1:13" x14ac:dyDescent="0.3">
      <c r="A594" s="106">
        <f t="shared" ca="1" si="31"/>
        <v>46172</v>
      </c>
      <c r="B594" s="107">
        <f ca="1">SUMIFS('Daily Writing Log'!$H$5:$H$34,'Daily Writing Log'!$A$5:$A$34,$A594)</f>
        <v>0</v>
      </c>
      <c r="C594" s="107">
        <f ca="1">SUMIFS('Daily Writing Log'!$I$5:$I$34,'Daily Writing Log'!$A$5:$A$34,$A594)</f>
        <v>0</v>
      </c>
      <c r="D594" s="108">
        <f ca="1">IF($C594&gt;=Config!$B$5,1,0)</f>
        <v>0</v>
      </c>
      <c r="E594" s="108">
        <f t="shared" ca="1" si="32"/>
        <v>0</v>
      </c>
      <c r="F594" s="108">
        <f ca="1">IF(AND($D594=0,$H593&gt;0,$E594&lt;Config!$B$8,$A594&lt;Config!$A$2),1,0)</f>
        <v>0</v>
      </c>
      <c r="G594" s="108">
        <f t="shared" ca="1" si="33"/>
        <v>0</v>
      </c>
      <c r="H594" s="108">
        <f ca="1">IF($D594=1,$H593+1,IF($F594=1,$H593,IF($A594=Config!$A$2,$H593,0)))</f>
        <v>0</v>
      </c>
      <c r="M594" s="109"/>
    </row>
    <row r="595" spans="1:13" x14ac:dyDescent="0.3">
      <c r="A595" s="106">
        <f t="shared" ca="1" si="31"/>
        <v>46173</v>
      </c>
      <c r="B595" s="107">
        <f ca="1">SUMIFS('Daily Writing Log'!$H$5:$H$34,'Daily Writing Log'!$A$5:$A$34,$A595)</f>
        <v>0</v>
      </c>
      <c r="C595" s="107">
        <f ca="1">SUMIFS('Daily Writing Log'!$I$5:$I$34,'Daily Writing Log'!$A$5:$A$34,$A595)</f>
        <v>0</v>
      </c>
      <c r="D595" s="108">
        <f ca="1">IF($C595&gt;=Config!$B$5,1,0)</f>
        <v>0</v>
      </c>
      <c r="E595" s="108">
        <f t="shared" ca="1" si="32"/>
        <v>0</v>
      </c>
      <c r="F595" s="108">
        <f ca="1">IF(AND($D595=0,$H594&gt;0,$E595&lt;Config!$B$8,$A595&lt;Config!$A$2),1,0)</f>
        <v>0</v>
      </c>
      <c r="G595" s="108">
        <f t="shared" ca="1" si="33"/>
        <v>0</v>
      </c>
      <c r="H595" s="108">
        <f ca="1">IF($D595=1,$H594+1,IF($F595=1,$H594,IF($A595=Config!$A$2,$H594,0)))</f>
        <v>0</v>
      </c>
      <c r="M595" s="109"/>
    </row>
    <row r="596" spans="1:13" x14ac:dyDescent="0.3">
      <c r="A596" s="106">
        <f t="shared" ca="1" si="31"/>
        <v>46174</v>
      </c>
      <c r="B596" s="107">
        <f ca="1">SUMIFS('Daily Writing Log'!$H$5:$H$34,'Daily Writing Log'!$A$5:$A$34,$A596)</f>
        <v>0</v>
      </c>
      <c r="C596" s="107">
        <f ca="1">SUMIFS('Daily Writing Log'!$I$5:$I$34,'Daily Writing Log'!$A$5:$A$34,$A596)</f>
        <v>0</v>
      </c>
      <c r="D596" s="108">
        <f ca="1">IF($C596&gt;=Config!$B$5,1,0)</f>
        <v>0</v>
      </c>
      <c r="E596" s="108">
        <f t="shared" ca="1" si="32"/>
        <v>0</v>
      </c>
      <c r="F596" s="108">
        <f ca="1">IF(AND($D596=0,$H595&gt;0,$E596&lt;Config!$B$8,$A596&lt;Config!$A$2),1,0)</f>
        <v>0</v>
      </c>
      <c r="G596" s="108">
        <f t="shared" ca="1" si="33"/>
        <v>0</v>
      </c>
      <c r="H596" s="108">
        <f ca="1">IF($D596=1,$H595+1,IF($F596=1,$H595,IF($A596=Config!$A$2,$H595,0)))</f>
        <v>0</v>
      </c>
      <c r="M596" s="109"/>
    </row>
    <row r="597" spans="1:13" x14ac:dyDescent="0.3">
      <c r="A597" s="106">
        <f t="shared" ca="1" si="31"/>
        <v>46175</v>
      </c>
      <c r="B597" s="107">
        <f ca="1">SUMIFS('Daily Writing Log'!$H$5:$H$34,'Daily Writing Log'!$A$5:$A$34,$A597)</f>
        <v>0</v>
      </c>
      <c r="C597" s="107">
        <f ca="1">SUMIFS('Daily Writing Log'!$I$5:$I$34,'Daily Writing Log'!$A$5:$A$34,$A597)</f>
        <v>0</v>
      </c>
      <c r="D597" s="108">
        <f ca="1">IF($C597&gt;=Config!$B$5,1,0)</f>
        <v>0</v>
      </c>
      <c r="E597" s="108">
        <f t="shared" ca="1" si="32"/>
        <v>0</v>
      </c>
      <c r="F597" s="108">
        <f ca="1">IF(AND($D597=0,$H596&gt;0,$E597&lt;Config!$B$8,$A597&lt;Config!$A$2),1,0)</f>
        <v>0</v>
      </c>
      <c r="G597" s="108">
        <f t="shared" ca="1" si="33"/>
        <v>0</v>
      </c>
      <c r="H597" s="108">
        <f ca="1">IF($D597=1,$H596+1,IF($F597=1,$H596,IF($A597=Config!$A$2,$H596,0)))</f>
        <v>0</v>
      </c>
      <c r="M597" s="109"/>
    </row>
    <row r="598" spans="1:13" x14ac:dyDescent="0.3">
      <c r="A598" s="106">
        <f t="shared" ca="1" si="31"/>
        <v>46176</v>
      </c>
      <c r="B598" s="107">
        <f ca="1">SUMIFS('Daily Writing Log'!$H$5:$H$34,'Daily Writing Log'!$A$5:$A$34,$A598)</f>
        <v>0</v>
      </c>
      <c r="C598" s="107">
        <f ca="1">SUMIFS('Daily Writing Log'!$I$5:$I$34,'Daily Writing Log'!$A$5:$A$34,$A598)</f>
        <v>0</v>
      </c>
      <c r="D598" s="108">
        <f ca="1">IF($C598&gt;=Config!$B$5,1,0)</f>
        <v>0</v>
      </c>
      <c r="E598" s="108">
        <f t="shared" ca="1" si="32"/>
        <v>0</v>
      </c>
      <c r="F598" s="108">
        <f ca="1">IF(AND($D598=0,$H597&gt;0,$E598&lt;Config!$B$8,$A598&lt;Config!$A$2),1,0)</f>
        <v>0</v>
      </c>
      <c r="G598" s="108">
        <f t="shared" ca="1" si="33"/>
        <v>0</v>
      </c>
      <c r="H598" s="108">
        <f ca="1">IF($D598=1,$H597+1,IF($F598=1,$H597,IF($A598=Config!$A$2,$H597,0)))</f>
        <v>0</v>
      </c>
      <c r="M598" s="109"/>
    </row>
    <row r="599" spans="1:13" x14ac:dyDescent="0.3">
      <c r="A599" s="106">
        <f t="shared" ca="1" si="31"/>
        <v>46177</v>
      </c>
      <c r="B599" s="107">
        <f ca="1">SUMIFS('Daily Writing Log'!$H$5:$H$34,'Daily Writing Log'!$A$5:$A$34,$A599)</f>
        <v>0</v>
      </c>
      <c r="C599" s="107">
        <f ca="1">SUMIFS('Daily Writing Log'!$I$5:$I$34,'Daily Writing Log'!$A$5:$A$34,$A599)</f>
        <v>0</v>
      </c>
      <c r="D599" s="108">
        <f ca="1">IF($C599&gt;=Config!$B$5,1,0)</f>
        <v>0</v>
      </c>
      <c r="E599" s="108">
        <f t="shared" ca="1" si="32"/>
        <v>0</v>
      </c>
      <c r="F599" s="108">
        <f ca="1">IF(AND($D599=0,$H598&gt;0,$E599&lt;Config!$B$8,$A599&lt;Config!$A$2),1,0)</f>
        <v>0</v>
      </c>
      <c r="G599" s="108">
        <f t="shared" ca="1" si="33"/>
        <v>0</v>
      </c>
      <c r="H599" s="108">
        <f ca="1">IF($D599=1,$H598+1,IF($F599=1,$H598,IF($A599=Config!$A$2,$H598,0)))</f>
        <v>0</v>
      </c>
      <c r="M599" s="109"/>
    </row>
    <row r="600" spans="1:13" x14ac:dyDescent="0.3">
      <c r="A600" s="106">
        <f t="shared" ca="1" si="31"/>
        <v>46178</v>
      </c>
      <c r="B600" s="107">
        <f ca="1">SUMIFS('Daily Writing Log'!$H$5:$H$34,'Daily Writing Log'!$A$5:$A$34,$A600)</f>
        <v>0</v>
      </c>
      <c r="C600" s="107">
        <f ca="1">SUMIFS('Daily Writing Log'!$I$5:$I$34,'Daily Writing Log'!$A$5:$A$34,$A600)</f>
        <v>0</v>
      </c>
      <c r="D600" s="108">
        <f ca="1">IF($C600&gt;=Config!$B$5,1,0)</f>
        <v>0</v>
      </c>
      <c r="E600" s="108">
        <f t="shared" ca="1" si="32"/>
        <v>0</v>
      </c>
      <c r="F600" s="108">
        <f ca="1">IF(AND($D600=0,$H599&gt;0,$E600&lt;Config!$B$8,$A600&lt;Config!$A$2),1,0)</f>
        <v>0</v>
      </c>
      <c r="G600" s="108">
        <f t="shared" ca="1" si="33"/>
        <v>0</v>
      </c>
      <c r="H600" s="108">
        <f ca="1">IF($D600=1,$H599+1,IF($F600=1,$H599,IF($A600=Config!$A$2,$H599,0)))</f>
        <v>0</v>
      </c>
      <c r="M600" s="109"/>
    </row>
    <row r="601" spans="1:13" x14ac:dyDescent="0.3">
      <c r="A601" s="106">
        <f t="shared" ca="1" si="31"/>
        <v>46179</v>
      </c>
      <c r="B601" s="107">
        <f ca="1">SUMIFS('Daily Writing Log'!$H$5:$H$34,'Daily Writing Log'!$A$5:$A$34,$A601)</f>
        <v>0</v>
      </c>
      <c r="C601" s="107">
        <f ca="1">SUMIFS('Daily Writing Log'!$I$5:$I$34,'Daily Writing Log'!$A$5:$A$34,$A601)</f>
        <v>0</v>
      </c>
      <c r="D601" s="108">
        <f ca="1">IF($C601&gt;=Config!$B$5,1,0)</f>
        <v>0</v>
      </c>
      <c r="E601" s="108">
        <f t="shared" ca="1" si="32"/>
        <v>0</v>
      </c>
      <c r="F601" s="108">
        <f ca="1">IF(AND($D601=0,$H600&gt;0,$E601&lt;Config!$B$8,$A601&lt;Config!$A$2),1,0)</f>
        <v>0</v>
      </c>
      <c r="G601" s="108">
        <f t="shared" ca="1" si="33"/>
        <v>0</v>
      </c>
      <c r="H601" s="108">
        <f ca="1">IF($D601=1,$H600+1,IF($F601=1,$H600,IF($A601=Config!$A$2,$H600,0)))</f>
        <v>0</v>
      </c>
      <c r="M601" s="109"/>
    </row>
    <row r="602" spans="1:13" x14ac:dyDescent="0.3">
      <c r="A602" s="106">
        <f t="shared" ca="1" si="31"/>
        <v>46180</v>
      </c>
      <c r="B602" s="107">
        <f ca="1">SUMIFS('Daily Writing Log'!$H$5:$H$34,'Daily Writing Log'!$A$5:$A$34,$A602)</f>
        <v>0</v>
      </c>
      <c r="C602" s="107">
        <f ca="1">SUMIFS('Daily Writing Log'!$I$5:$I$34,'Daily Writing Log'!$A$5:$A$34,$A602)</f>
        <v>0</v>
      </c>
      <c r="D602" s="108">
        <f ca="1">IF($C602&gt;=Config!$B$5,1,0)</f>
        <v>0</v>
      </c>
      <c r="E602" s="108">
        <f t="shared" ca="1" si="32"/>
        <v>0</v>
      </c>
      <c r="F602" s="108">
        <f ca="1">IF(AND($D602=0,$H601&gt;0,$E602&lt;Config!$B$8,$A602&lt;Config!$A$2),1,0)</f>
        <v>0</v>
      </c>
      <c r="G602" s="108">
        <f t="shared" ca="1" si="33"/>
        <v>0</v>
      </c>
      <c r="H602" s="108">
        <f ca="1">IF($D602=1,$H601+1,IF($F602=1,$H601,IF($A602=Config!$A$2,$H601,0)))</f>
        <v>0</v>
      </c>
      <c r="M602" s="109"/>
    </row>
    <row r="603" spans="1:13" x14ac:dyDescent="0.3">
      <c r="A603" s="106">
        <f t="shared" ca="1" si="31"/>
        <v>46181</v>
      </c>
      <c r="B603" s="107">
        <f ca="1">SUMIFS('Daily Writing Log'!$H$5:$H$34,'Daily Writing Log'!$A$5:$A$34,$A603)</f>
        <v>0</v>
      </c>
      <c r="C603" s="107">
        <f ca="1">SUMIFS('Daily Writing Log'!$I$5:$I$34,'Daily Writing Log'!$A$5:$A$34,$A603)</f>
        <v>0</v>
      </c>
      <c r="D603" s="108">
        <f ca="1">IF($C603&gt;=Config!$B$5,1,0)</f>
        <v>0</v>
      </c>
      <c r="E603" s="108">
        <f t="shared" ca="1" si="32"/>
        <v>0</v>
      </c>
      <c r="F603" s="108">
        <f ca="1">IF(AND($D603=0,$H602&gt;0,$E603&lt;Config!$B$8,$A603&lt;Config!$A$2),1,0)</f>
        <v>0</v>
      </c>
      <c r="G603" s="108">
        <f t="shared" ca="1" si="33"/>
        <v>0</v>
      </c>
      <c r="H603" s="108">
        <f ca="1">IF($D603=1,$H602+1,IF($F603=1,$H602,IF($A603=Config!$A$2,$H602,0)))</f>
        <v>0</v>
      </c>
      <c r="M603" s="109"/>
    </row>
    <row r="604" spans="1:13" x14ac:dyDescent="0.3">
      <c r="A604" s="106">
        <f t="shared" ca="1" si="31"/>
        <v>46182</v>
      </c>
      <c r="B604" s="107">
        <f ca="1">SUMIFS('Daily Writing Log'!$H$5:$H$34,'Daily Writing Log'!$A$5:$A$34,$A604)</f>
        <v>0</v>
      </c>
      <c r="C604" s="107">
        <f ca="1">SUMIFS('Daily Writing Log'!$I$5:$I$34,'Daily Writing Log'!$A$5:$A$34,$A604)</f>
        <v>0</v>
      </c>
      <c r="D604" s="108">
        <f ca="1">IF($C604&gt;=Config!$B$5,1,0)</f>
        <v>0</v>
      </c>
      <c r="E604" s="108">
        <f t="shared" ca="1" si="32"/>
        <v>0</v>
      </c>
      <c r="F604" s="108">
        <f ca="1">IF(AND($D604=0,$H603&gt;0,$E604&lt;Config!$B$8,$A604&lt;Config!$A$2),1,0)</f>
        <v>0</v>
      </c>
      <c r="G604" s="108">
        <f t="shared" ca="1" si="33"/>
        <v>0</v>
      </c>
      <c r="H604" s="108">
        <f ca="1">IF($D604=1,$H603+1,IF($F604=1,$H603,IF($A604=Config!$A$2,$H603,0)))</f>
        <v>0</v>
      </c>
      <c r="M604" s="109"/>
    </row>
    <row r="605" spans="1:13" x14ac:dyDescent="0.3">
      <c r="A605" s="106">
        <f t="shared" ca="1" si="31"/>
        <v>46183</v>
      </c>
      <c r="B605" s="107">
        <f ca="1">SUMIFS('Daily Writing Log'!$H$5:$H$34,'Daily Writing Log'!$A$5:$A$34,$A605)</f>
        <v>0</v>
      </c>
      <c r="C605" s="107">
        <f ca="1">SUMIFS('Daily Writing Log'!$I$5:$I$34,'Daily Writing Log'!$A$5:$A$34,$A605)</f>
        <v>0</v>
      </c>
      <c r="D605" s="108">
        <f ca="1">IF($C605&gt;=Config!$B$5,1,0)</f>
        <v>0</v>
      </c>
      <c r="E605" s="108">
        <f t="shared" ca="1" si="32"/>
        <v>0</v>
      </c>
      <c r="F605" s="108">
        <f ca="1">IF(AND($D605=0,$H604&gt;0,$E605&lt;Config!$B$8,$A605&lt;Config!$A$2),1,0)</f>
        <v>0</v>
      </c>
      <c r="G605" s="108">
        <f t="shared" ca="1" si="33"/>
        <v>0</v>
      </c>
      <c r="H605" s="108">
        <f ca="1">IF($D605=1,$H604+1,IF($F605=1,$H604,IF($A605=Config!$A$2,$H604,0)))</f>
        <v>0</v>
      </c>
      <c r="M605" s="109"/>
    </row>
    <row r="606" spans="1:13" x14ac:dyDescent="0.3">
      <c r="A606" s="106">
        <f t="shared" ca="1" si="31"/>
        <v>46184</v>
      </c>
      <c r="B606" s="107">
        <f ca="1">SUMIFS('Daily Writing Log'!$H$5:$H$34,'Daily Writing Log'!$A$5:$A$34,$A606)</f>
        <v>0</v>
      </c>
      <c r="C606" s="107">
        <f ca="1">SUMIFS('Daily Writing Log'!$I$5:$I$34,'Daily Writing Log'!$A$5:$A$34,$A606)</f>
        <v>0</v>
      </c>
      <c r="D606" s="108">
        <f ca="1">IF($C606&gt;=Config!$B$5,1,0)</f>
        <v>0</v>
      </c>
      <c r="E606" s="108">
        <f t="shared" ca="1" si="32"/>
        <v>0</v>
      </c>
      <c r="F606" s="108">
        <f ca="1">IF(AND($D606=0,$H605&gt;0,$E606&lt;Config!$B$8,$A606&lt;Config!$A$2),1,0)</f>
        <v>0</v>
      </c>
      <c r="G606" s="108">
        <f t="shared" ca="1" si="33"/>
        <v>0</v>
      </c>
      <c r="H606" s="108">
        <f ca="1">IF($D606=1,$H605+1,IF($F606=1,$H605,IF($A606=Config!$A$2,$H605,0)))</f>
        <v>0</v>
      </c>
      <c r="M606" s="109"/>
    </row>
    <row r="607" spans="1:13" x14ac:dyDescent="0.3">
      <c r="A607" s="106">
        <f t="shared" ca="1" si="31"/>
        <v>46185</v>
      </c>
      <c r="B607" s="107">
        <f ca="1">SUMIFS('Daily Writing Log'!$H$5:$H$34,'Daily Writing Log'!$A$5:$A$34,$A607)</f>
        <v>0</v>
      </c>
      <c r="C607" s="107">
        <f ca="1">SUMIFS('Daily Writing Log'!$I$5:$I$34,'Daily Writing Log'!$A$5:$A$34,$A607)</f>
        <v>0</v>
      </c>
      <c r="D607" s="108">
        <f ca="1">IF($C607&gt;=Config!$B$5,1,0)</f>
        <v>0</v>
      </c>
      <c r="E607" s="108">
        <f t="shared" ca="1" si="32"/>
        <v>0</v>
      </c>
      <c r="F607" s="108">
        <f ca="1">IF(AND($D607=0,$H606&gt;0,$E607&lt;Config!$B$8,$A607&lt;Config!$A$2),1,0)</f>
        <v>0</v>
      </c>
      <c r="G607" s="108">
        <f t="shared" ca="1" si="33"/>
        <v>0</v>
      </c>
      <c r="H607" s="108">
        <f ca="1">IF($D607=1,$H606+1,IF($F607=1,$H606,IF($A607=Config!$A$2,$H606,0)))</f>
        <v>0</v>
      </c>
      <c r="M607" s="109"/>
    </row>
    <row r="608" spans="1:13" x14ac:dyDescent="0.3">
      <c r="A608" s="106">
        <f t="shared" ca="1" si="31"/>
        <v>46186</v>
      </c>
      <c r="B608" s="107">
        <f ca="1">SUMIFS('Daily Writing Log'!$H$5:$H$34,'Daily Writing Log'!$A$5:$A$34,$A608)</f>
        <v>0</v>
      </c>
      <c r="C608" s="107">
        <f ca="1">SUMIFS('Daily Writing Log'!$I$5:$I$34,'Daily Writing Log'!$A$5:$A$34,$A608)</f>
        <v>0</v>
      </c>
      <c r="D608" s="108">
        <f ca="1">IF($C608&gt;=Config!$B$5,1,0)</f>
        <v>0</v>
      </c>
      <c r="E608" s="108">
        <f t="shared" ca="1" si="32"/>
        <v>0</v>
      </c>
      <c r="F608" s="108">
        <f ca="1">IF(AND($D608=0,$H607&gt;0,$E608&lt;Config!$B$8,$A608&lt;Config!$A$2),1,0)</f>
        <v>0</v>
      </c>
      <c r="G608" s="108">
        <f t="shared" ca="1" si="33"/>
        <v>0</v>
      </c>
      <c r="H608" s="108">
        <f ca="1">IF($D608=1,$H607+1,IF($F608=1,$H607,IF($A608=Config!$A$2,$H607,0)))</f>
        <v>0</v>
      </c>
      <c r="M608" s="109"/>
    </row>
    <row r="609" spans="1:13" x14ac:dyDescent="0.3">
      <c r="A609" s="106">
        <f t="shared" ca="1" si="31"/>
        <v>46187</v>
      </c>
      <c r="B609" s="107">
        <f ca="1">SUMIFS('Daily Writing Log'!$H$5:$H$34,'Daily Writing Log'!$A$5:$A$34,$A609)</f>
        <v>0</v>
      </c>
      <c r="C609" s="107">
        <f ca="1">SUMIFS('Daily Writing Log'!$I$5:$I$34,'Daily Writing Log'!$A$5:$A$34,$A609)</f>
        <v>0</v>
      </c>
      <c r="D609" s="108">
        <f ca="1">IF($C609&gt;=Config!$B$5,1,0)</f>
        <v>0</v>
      </c>
      <c r="E609" s="108">
        <f t="shared" ca="1" si="32"/>
        <v>0</v>
      </c>
      <c r="F609" s="108">
        <f ca="1">IF(AND($D609=0,$H608&gt;0,$E609&lt;Config!$B$8,$A609&lt;Config!$A$2),1,0)</f>
        <v>0</v>
      </c>
      <c r="G609" s="108">
        <f t="shared" ca="1" si="33"/>
        <v>0</v>
      </c>
      <c r="H609" s="108">
        <f ca="1">IF($D609=1,$H608+1,IF($F609=1,$H608,IF($A609=Config!$A$2,$H608,0)))</f>
        <v>0</v>
      </c>
      <c r="M609" s="109"/>
    </row>
    <row r="610" spans="1:13" x14ac:dyDescent="0.3">
      <c r="A610" s="106">
        <f t="shared" ca="1" si="31"/>
        <v>46188</v>
      </c>
      <c r="B610" s="107">
        <f ca="1">SUMIFS('Daily Writing Log'!$H$5:$H$34,'Daily Writing Log'!$A$5:$A$34,$A610)</f>
        <v>0</v>
      </c>
      <c r="C610" s="107">
        <f ca="1">SUMIFS('Daily Writing Log'!$I$5:$I$34,'Daily Writing Log'!$A$5:$A$34,$A610)</f>
        <v>0</v>
      </c>
      <c r="D610" s="108">
        <f ca="1">IF($C610&gt;=Config!$B$5,1,0)</f>
        <v>0</v>
      </c>
      <c r="E610" s="108">
        <f t="shared" ca="1" si="32"/>
        <v>0</v>
      </c>
      <c r="F610" s="108">
        <f ca="1">IF(AND($D610=0,$H609&gt;0,$E610&lt;Config!$B$8,$A610&lt;Config!$A$2),1,0)</f>
        <v>0</v>
      </c>
      <c r="G610" s="108">
        <f t="shared" ca="1" si="33"/>
        <v>0</v>
      </c>
      <c r="H610" s="108">
        <f ca="1">IF($D610=1,$H609+1,IF($F610=1,$H609,IF($A610=Config!$A$2,$H609,0)))</f>
        <v>0</v>
      </c>
      <c r="M610" s="109"/>
    </row>
    <row r="611" spans="1:13" x14ac:dyDescent="0.3">
      <c r="A611" s="106">
        <f t="shared" ca="1" si="31"/>
        <v>46189</v>
      </c>
      <c r="B611" s="107">
        <f ca="1">SUMIFS('Daily Writing Log'!$H$5:$H$34,'Daily Writing Log'!$A$5:$A$34,$A611)</f>
        <v>0</v>
      </c>
      <c r="C611" s="107">
        <f ca="1">SUMIFS('Daily Writing Log'!$I$5:$I$34,'Daily Writing Log'!$A$5:$A$34,$A611)</f>
        <v>0</v>
      </c>
      <c r="D611" s="108">
        <f ca="1">IF($C611&gt;=Config!$B$5,1,0)</f>
        <v>0</v>
      </c>
      <c r="E611" s="108">
        <f t="shared" ca="1" si="32"/>
        <v>0</v>
      </c>
      <c r="F611" s="108">
        <f ca="1">IF(AND($D611=0,$H610&gt;0,$E611&lt;Config!$B$8,$A611&lt;Config!$A$2),1,0)</f>
        <v>0</v>
      </c>
      <c r="G611" s="108">
        <f t="shared" ca="1" si="33"/>
        <v>0</v>
      </c>
      <c r="H611" s="108">
        <f ca="1">IF($D611=1,$H610+1,IF($F611=1,$H610,IF($A611=Config!$A$2,$H610,0)))</f>
        <v>0</v>
      </c>
      <c r="M611" s="109"/>
    </row>
    <row r="612" spans="1:13" x14ac:dyDescent="0.3">
      <c r="A612" s="106">
        <f t="shared" ca="1" si="31"/>
        <v>46190</v>
      </c>
      <c r="B612" s="107">
        <f ca="1">SUMIFS('Daily Writing Log'!$H$5:$H$34,'Daily Writing Log'!$A$5:$A$34,$A612)</f>
        <v>0</v>
      </c>
      <c r="C612" s="107">
        <f ca="1">SUMIFS('Daily Writing Log'!$I$5:$I$34,'Daily Writing Log'!$A$5:$A$34,$A612)</f>
        <v>0</v>
      </c>
      <c r="D612" s="108">
        <f ca="1">IF($C612&gt;=Config!$B$5,1,0)</f>
        <v>0</v>
      </c>
      <c r="E612" s="108">
        <f t="shared" ca="1" si="32"/>
        <v>0</v>
      </c>
      <c r="F612" s="108">
        <f ca="1">IF(AND($D612=0,$H611&gt;0,$E612&lt;Config!$B$8,$A612&lt;Config!$A$2),1,0)</f>
        <v>0</v>
      </c>
      <c r="G612" s="108">
        <f t="shared" ca="1" si="33"/>
        <v>0</v>
      </c>
      <c r="H612" s="108">
        <f ca="1">IF($D612=1,$H611+1,IF($F612=1,$H611,IF($A612=Config!$A$2,$H611,0)))</f>
        <v>0</v>
      </c>
      <c r="M612" s="109"/>
    </row>
    <row r="613" spans="1:13" x14ac:dyDescent="0.3">
      <c r="A613" s="106">
        <f t="shared" ca="1" si="31"/>
        <v>46191</v>
      </c>
      <c r="B613" s="107">
        <f ca="1">SUMIFS('Daily Writing Log'!$H$5:$H$34,'Daily Writing Log'!$A$5:$A$34,$A613)</f>
        <v>0</v>
      </c>
      <c r="C613" s="107">
        <f ca="1">SUMIFS('Daily Writing Log'!$I$5:$I$34,'Daily Writing Log'!$A$5:$A$34,$A613)</f>
        <v>0</v>
      </c>
      <c r="D613" s="108">
        <f ca="1">IF($C613&gt;=Config!$B$5,1,0)</f>
        <v>0</v>
      </c>
      <c r="E613" s="108">
        <f t="shared" ca="1" si="32"/>
        <v>0</v>
      </c>
      <c r="F613" s="108">
        <f ca="1">IF(AND($D613=0,$H612&gt;0,$E613&lt;Config!$B$8,$A613&lt;Config!$A$2),1,0)</f>
        <v>0</v>
      </c>
      <c r="G613" s="108">
        <f t="shared" ca="1" si="33"/>
        <v>0</v>
      </c>
      <c r="H613" s="108">
        <f ca="1">IF($D613=1,$H612+1,IF($F613=1,$H612,IF($A613=Config!$A$2,$H612,0)))</f>
        <v>0</v>
      </c>
      <c r="M613" s="109"/>
    </row>
    <row r="614" spans="1:13" x14ac:dyDescent="0.3">
      <c r="A614" s="106">
        <f t="shared" ca="1" si="31"/>
        <v>46192</v>
      </c>
      <c r="B614" s="107">
        <f ca="1">SUMIFS('Daily Writing Log'!$H$5:$H$34,'Daily Writing Log'!$A$5:$A$34,$A614)</f>
        <v>0</v>
      </c>
      <c r="C614" s="107">
        <f ca="1">SUMIFS('Daily Writing Log'!$I$5:$I$34,'Daily Writing Log'!$A$5:$A$34,$A614)</f>
        <v>0</v>
      </c>
      <c r="D614" s="108">
        <f ca="1">IF($C614&gt;=Config!$B$5,1,0)</f>
        <v>0</v>
      </c>
      <c r="E614" s="108">
        <f t="shared" ca="1" si="32"/>
        <v>0</v>
      </c>
      <c r="F614" s="108">
        <f ca="1">IF(AND($D614=0,$H613&gt;0,$E614&lt;Config!$B$8,$A614&lt;Config!$A$2),1,0)</f>
        <v>0</v>
      </c>
      <c r="G614" s="108">
        <f t="shared" ca="1" si="33"/>
        <v>0</v>
      </c>
      <c r="H614" s="108">
        <f ca="1">IF($D614=1,$H613+1,IF($F614=1,$H613,IF($A614=Config!$A$2,$H613,0)))</f>
        <v>0</v>
      </c>
      <c r="M614" s="109"/>
    </row>
    <row r="615" spans="1:13" x14ac:dyDescent="0.3">
      <c r="A615" s="106">
        <f t="shared" ca="1" si="31"/>
        <v>46193</v>
      </c>
      <c r="B615" s="107">
        <f ca="1">SUMIFS('Daily Writing Log'!$H$5:$H$34,'Daily Writing Log'!$A$5:$A$34,$A615)</f>
        <v>0</v>
      </c>
      <c r="C615" s="107">
        <f ca="1">SUMIFS('Daily Writing Log'!$I$5:$I$34,'Daily Writing Log'!$A$5:$A$34,$A615)</f>
        <v>0</v>
      </c>
      <c r="D615" s="108">
        <f ca="1">IF($C615&gt;=Config!$B$5,1,0)</f>
        <v>0</v>
      </c>
      <c r="E615" s="108">
        <f t="shared" ca="1" si="32"/>
        <v>0</v>
      </c>
      <c r="F615" s="108">
        <f ca="1">IF(AND($D615=0,$H614&gt;0,$E615&lt;Config!$B$8,$A615&lt;Config!$A$2),1,0)</f>
        <v>0</v>
      </c>
      <c r="G615" s="108">
        <f t="shared" ca="1" si="33"/>
        <v>0</v>
      </c>
      <c r="H615" s="108">
        <f ca="1">IF($D615=1,$H614+1,IF($F615=1,$H614,IF($A615=Config!$A$2,$H614,0)))</f>
        <v>0</v>
      </c>
      <c r="M615" s="109"/>
    </row>
    <row r="616" spans="1:13" x14ac:dyDescent="0.3">
      <c r="A616" s="106">
        <f t="shared" ca="1" si="31"/>
        <v>46194</v>
      </c>
      <c r="B616" s="107">
        <f ca="1">SUMIFS('Daily Writing Log'!$H$5:$H$34,'Daily Writing Log'!$A$5:$A$34,$A616)</f>
        <v>0</v>
      </c>
      <c r="C616" s="107">
        <f ca="1">SUMIFS('Daily Writing Log'!$I$5:$I$34,'Daily Writing Log'!$A$5:$A$34,$A616)</f>
        <v>0</v>
      </c>
      <c r="D616" s="108">
        <f ca="1">IF($C616&gt;=Config!$B$5,1,0)</f>
        <v>0</v>
      </c>
      <c r="E616" s="108">
        <f t="shared" ca="1" si="32"/>
        <v>0</v>
      </c>
      <c r="F616" s="108">
        <f ca="1">IF(AND($D616=0,$H615&gt;0,$E616&lt;Config!$B$8,$A616&lt;Config!$A$2),1,0)</f>
        <v>0</v>
      </c>
      <c r="G616" s="108">
        <f t="shared" ca="1" si="33"/>
        <v>0</v>
      </c>
      <c r="H616" s="108">
        <f ca="1">IF($D616=1,$H615+1,IF($F616=1,$H615,IF($A616=Config!$A$2,$H615,0)))</f>
        <v>0</v>
      </c>
      <c r="M616" s="109"/>
    </row>
    <row r="617" spans="1:13" x14ac:dyDescent="0.3">
      <c r="A617" s="106">
        <f t="shared" ca="1" si="31"/>
        <v>46195</v>
      </c>
      <c r="B617" s="107">
        <f ca="1">SUMIFS('Daily Writing Log'!$H$5:$H$34,'Daily Writing Log'!$A$5:$A$34,$A617)</f>
        <v>0</v>
      </c>
      <c r="C617" s="107">
        <f ca="1">SUMIFS('Daily Writing Log'!$I$5:$I$34,'Daily Writing Log'!$A$5:$A$34,$A617)</f>
        <v>0</v>
      </c>
      <c r="D617" s="108">
        <f ca="1">IF($C617&gt;=Config!$B$5,1,0)</f>
        <v>0</v>
      </c>
      <c r="E617" s="108">
        <f t="shared" ca="1" si="32"/>
        <v>0</v>
      </c>
      <c r="F617" s="108">
        <f ca="1">IF(AND($D617=0,$H616&gt;0,$E617&lt;Config!$B$8,$A617&lt;Config!$A$2),1,0)</f>
        <v>0</v>
      </c>
      <c r="G617" s="108">
        <f t="shared" ca="1" si="33"/>
        <v>0</v>
      </c>
      <c r="H617" s="108">
        <f ca="1">IF($D617=1,$H616+1,IF($F617=1,$H616,IF($A617=Config!$A$2,$H616,0)))</f>
        <v>0</v>
      </c>
      <c r="M617" s="109"/>
    </row>
    <row r="618" spans="1:13" x14ac:dyDescent="0.3">
      <c r="A618" s="106">
        <f t="shared" ca="1" si="31"/>
        <v>46196</v>
      </c>
      <c r="B618" s="107">
        <f ca="1">SUMIFS('Daily Writing Log'!$H$5:$H$34,'Daily Writing Log'!$A$5:$A$34,$A618)</f>
        <v>0</v>
      </c>
      <c r="C618" s="107">
        <f ca="1">SUMIFS('Daily Writing Log'!$I$5:$I$34,'Daily Writing Log'!$A$5:$A$34,$A618)</f>
        <v>0</v>
      </c>
      <c r="D618" s="108">
        <f ca="1">IF($C618&gt;=Config!$B$5,1,0)</f>
        <v>0</v>
      </c>
      <c r="E618" s="108">
        <f t="shared" ca="1" si="32"/>
        <v>0</v>
      </c>
      <c r="F618" s="108">
        <f ca="1">IF(AND($D618=0,$H617&gt;0,$E618&lt;Config!$B$8,$A618&lt;Config!$A$2),1,0)</f>
        <v>0</v>
      </c>
      <c r="G618" s="108">
        <f t="shared" ca="1" si="33"/>
        <v>0</v>
      </c>
      <c r="H618" s="108">
        <f ca="1">IF($D618=1,$H617+1,IF($F618=1,$H617,IF($A618=Config!$A$2,$H617,0)))</f>
        <v>0</v>
      </c>
      <c r="M618" s="109"/>
    </row>
    <row r="619" spans="1:13" x14ac:dyDescent="0.3">
      <c r="A619" s="106">
        <f t="shared" ca="1" si="31"/>
        <v>46197</v>
      </c>
      <c r="B619" s="107">
        <f ca="1">SUMIFS('Daily Writing Log'!$H$5:$H$34,'Daily Writing Log'!$A$5:$A$34,$A619)</f>
        <v>0</v>
      </c>
      <c r="C619" s="107">
        <f ca="1">SUMIFS('Daily Writing Log'!$I$5:$I$34,'Daily Writing Log'!$A$5:$A$34,$A619)</f>
        <v>0</v>
      </c>
      <c r="D619" s="108">
        <f ca="1">IF($C619&gt;=Config!$B$5,1,0)</f>
        <v>0</v>
      </c>
      <c r="E619" s="108">
        <f t="shared" ca="1" si="32"/>
        <v>0</v>
      </c>
      <c r="F619" s="108">
        <f ca="1">IF(AND($D619=0,$H618&gt;0,$E619&lt;Config!$B$8,$A619&lt;Config!$A$2),1,0)</f>
        <v>0</v>
      </c>
      <c r="G619" s="108">
        <f t="shared" ca="1" si="33"/>
        <v>0</v>
      </c>
      <c r="H619" s="108">
        <f ca="1">IF($D619=1,$H618+1,IF($F619=1,$H618,IF($A619=Config!$A$2,$H618,0)))</f>
        <v>0</v>
      </c>
      <c r="M619" s="109"/>
    </row>
    <row r="620" spans="1:13" x14ac:dyDescent="0.3">
      <c r="A620" s="106">
        <f t="shared" ca="1" si="31"/>
        <v>46198</v>
      </c>
      <c r="B620" s="107">
        <f ca="1">SUMIFS('Daily Writing Log'!$H$5:$H$34,'Daily Writing Log'!$A$5:$A$34,$A620)</f>
        <v>0</v>
      </c>
      <c r="C620" s="107">
        <f ca="1">SUMIFS('Daily Writing Log'!$I$5:$I$34,'Daily Writing Log'!$A$5:$A$34,$A620)</f>
        <v>0</v>
      </c>
      <c r="D620" s="108">
        <f ca="1">IF($C620&gt;=Config!$B$5,1,0)</f>
        <v>0</v>
      </c>
      <c r="E620" s="108">
        <f t="shared" ca="1" si="32"/>
        <v>0</v>
      </c>
      <c r="F620" s="108">
        <f ca="1">IF(AND($D620=0,$H619&gt;0,$E620&lt;Config!$B$8,$A620&lt;Config!$A$2),1,0)</f>
        <v>0</v>
      </c>
      <c r="G620" s="108">
        <f t="shared" ca="1" si="33"/>
        <v>0</v>
      </c>
      <c r="H620" s="108">
        <f ca="1">IF($D620=1,$H619+1,IF($F620=1,$H619,IF($A620=Config!$A$2,$H619,0)))</f>
        <v>0</v>
      </c>
      <c r="M620" s="109"/>
    </row>
    <row r="621" spans="1:13" x14ac:dyDescent="0.3">
      <c r="A621" s="106">
        <f t="shared" ca="1" si="31"/>
        <v>46199</v>
      </c>
      <c r="B621" s="107">
        <f ca="1">SUMIFS('Daily Writing Log'!$H$5:$H$34,'Daily Writing Log'!$A$5:$A$34,$A621)</f>
        <v>0</v>
      </c>
      <c r="C621" s="107">
        <f ca="1">SUMIFS('Daily Writing Log'!$I$5:$I$34,'Daily Writing Log'!$A$5:$A$34,$A621)</f>
        <v>0</v>
      </c>
      <c r="D621" s="108">
        <f ca="1">IF($C621&gt;=Config!$B$5,1,0)</f>
        <v>0</v>
      </c>
      <c r="E621" s="108">
        <f t="shared" ca="1" si="32"/>
        <v>0</v>
      </c>
      <c r="F621" s="108">
        <f ca="1">IF(AND($D621=0,$H620&gt;0,$E621&lt;Config!$B$8,$A621&lt;Config!$A$2),1,0)</f>
        <v>0</v>
      </c>
      <c r="G621" s="108">
        <f t="shared" ca="1" si="33"/>
        <v>0</v>
      </c>
      <c r="H621" s="108">
        <f ca="1">IF($D621=1,$H620+1,IF($F621=1,$H620,IF($A621=Config!$A$2,$H620,0)))</f>
        <v>0</v>
      </c>
      <c r="M621" s="109"/>
    </row>
    <row r="622" spans="1:13" x14ac:dyDescent="0.3">
      <c r="A622" s="106">
        <f t="shared" ca="1" si="31"/>
        <v>46200</v>
      </c>
      <c r="B622" s="107">
        <f ca="1">SUMIFS('Daily Writing Log'!$H$5:$H$34,'Daily Writing Log'!$A$5:$A$34,$A622)</f>
        <v>0</v>
      </c>
      <c r="C622" s="107">
        <f ca="1">SUMIFS('Daily Writing Log'!$I$5:$I$34,'Daily Writing Log'!$A$5:$A$34,$A622)</f>
        <v>0</v>
      </c>
      <c r="D622" s="108">
        <f ca="1">IF($C622&gt;=Config!$B$5,1,0)</f>
        <v>0</v>
      </c>
      <c r="E622" s="108">
        <f t="shared" ca="1" si="32"/>
        <v>0</v>
      </c>
      <c r="F622" s="108">
        <f ca="1">IF(AND($D622=0,$H621&gt;0,$E622&lt;Config!$B$8,$A622&lt;Config!$A$2),1,0)</f>
        <v>0</v>
      </c>
      <c r="G622" s="108">
        <f t="shared" ca="1" si="33"/>
        <v>0</v>
      </c>
      <c r="H622" s="108">
        <f ca="1">IF($D622=1,$H621+1,IF($F622=1,$H621,IF($A622=Config!$A$2,$H621,0)))</f>
        <v>0</v>
      </c>
      <c r="M622" s="109"/>
    </row>
    <row r="623" spans="1:13" x14ac:dyDescent="0.3">
      <c r="A623" s="106">
        <f t="shared" ca="1" si="31"/>
        <v>46201</v>
      </c>
      <c r="B623" s="107">
        <f ca="1">SUMIFS('Daily Writing Log'!$H$5:$H$34,'Daily Writing Log'!$A$5:$A$34,$A623)</f>
        <v>0</v>
      </c>
      <c r="C623" s="107">
        <f ca="1">SUMIFS('Daily Writing Log'!$I$5:$I$34,'Daily Writing Log'!$A$5:$A$34,$A623)</f>
        <v>0</v>
      </c>
      <c r="D623" s="108">
        <f ca="1">IF($C623&gt;=Config!$B$5,1,0)</f>
        <v>0</v>
      </c>
      <c r="E623" s="108">
        <f t="shared" ca="1" si="32"/>
        <v>0</v>
      </c>
      <c r="F623" s="108">
        <f ca="1">IF(AND($D623=0,$H622&gt;0,$E623&lt;Config!$B$8,$A623&lt;Config!$A$2),1,0)</f>
        <v>0</v>
      </c>
      <c r="G623" s="108">
        <f t="shared" ca="1" si="33"/>
        <v>0</v>
      </c>
      <c r="H623" s="108">
        <f ca="1">IF($D623=1,$H622+1,IF($F623=1,$H622,IF($A623=Config!$A$2,$H622,0)))</f>
        <v>0</v>
      </c>
      <c r="M623" s="109"/>
    </row>
    <row r="624" spans="1:13" x14ac:dyDescent="0.3">
      <c r="A624" s="106">
        <f t="shared" ca="1" si="31"/>
        <v>46202</v>
      </c>
      <c r="B624" s="107">
        <f ca="1">SUMIFS('Daily Writing Log'!$H$5:$H$34,'Daily Writing Log'!$A$5:$A$34,$A624)</f>
        <v>0</v>
      </c>
      <c r="C624" s="107">
        <f ca="1">SUMIFS('Daily Writing Log'!$I$5:$I$34,'Daily Writing Log'!$A$5:$A$34,$A624)</f>
        <v>0</v>
      </c>
      <c r="D624" s="108">
        <f ca="1">IF($C624&gt;=Config!$B$5,1,0)</f>
        <v>0</v>
      </c>
      <c r="E624" s="108">
        <f t="shared" ca="1" si="32"/>
        <v>0</v>
      </c>
      <c r="F624" s="108">
        <f ca="1">IF(AND($D624=0,$H623&gt;0,$E624&lt;Config!$B$8,$A624&lt;Config!$A$2),1,0)</f>
        <v>0</v>
      </c>
      <c r="G624" s="108">
        <f t="shared" ca="1" si="33"/>
        <v>0</v>
      </c>
      <c r="H624" s="108">
        <f ca="1">IF($D624=1,$H623+1,IF($F624=1,$H623,IF($A624=Config!$A$2,$H623,0)))</f>
        <v>0</v>
      </c>
      <c r="M624" s="109"/>
    </row>
    <row r="625" spans="1:13" x14ac:dyDescent="0.3">
      <c r="A625" s="106">
        <f t="shared" ca="1" si="31"/>
        <v>46203</v>
      </c>
      <c r="B625" s="107">
        <f ca="1">SUMIFS('Daily Writing Log'!$H$5:$H$34,'Daily Writing Log'!$A$5:$A$34,$A625)</f>
        <v>0</v>
      </c>
      <c r="C625" s="107">
        <f ca="1">SUMIFS('Daily Writing Log'!$I$5:$I$34,'Daily Writing Log'!$A$5:$A$34,$A625)</f>
        <v>0</v>
      </c>
      <c r="D625" s="108">
        <f ca="1">IF($C625&gt;=Config!$B$5,1,0)</f>
        <v>0</v>
      </c>
      <c r="E625" s="108">
        <f t="shared" ca="1" si="32"/>
        <v>0</v>
      </c>
      <c r="F625" s="108">
        <f ca="1">IF(AND($D625=0,$H624&gt;0,$E625&lt;Config!$B$8,$A625&lt;Config!$A$2),1,0)</f>
        <v>0</v>
      </c>
      <c r="G625" s="108">
        <f t="shared" ca="1" si="33"/>
        <v>0</v>
      </c>
      <c r="H625" s="108">
        <f ca="1">IF($D625=1,$H624+1,IF($F625=1,$H624,IF($A625=Config!$A$2,$H624,0)))</f>
        <v>0</v>
      </c>
      <c r="M625" s="109"/>
    </row>
    <row r="626" spans="1:13" x14ac:dyDescent="0.3">
      <c r="A626" s="106">
        <f t="shared" ca="1" si="31"/>
        <v>46204</v>
      </c>
      <c r="B626" s="107">
        <f ca="1">SUMIFS('Daily Writing Log'!$H$5:$H$34,'Daily Writing Log'!$A$5:$A$34,$A626)</f>
        <v>0</v>
      </c>
      <c r="C626" s="107">
        <f ca="1">SUMIFS('Daily Writing Log'!$I$5:$I$34,'Daily Writing Log'!$A$5:$A$34,$A626)</f>
        <v>0</v>
      </c>
      <c r="D626" s="108">
        <f ca="1">IF($C626&gt;=Config!$B$5,1,0)</f>
        <v>0</v>
      </c>
      <c r="E626" s="108">
        <f t="shared" ca="1" si="32"/>
        <v>0</v>
      </c>
      <c r="F626" s="108">
        <f ca="1">IF(AND($D626=0,$H625&gt;0,$E626&lt;Config!$B$8,$A626&lt;Config!$A$2),1,0)</f>
        <v>0</v>
      </c>
      <c r="G626" s="108">
        <f t="shared" ca="1" si="33"/>
        <v>0</v>
      </c>
      <c r="H626" s="108">
        <f ca="1">IF($D626=1,$H625+1,IF($F626=1,$H625,IF($A626=Config!$A$2,$H625,0)))</f>
        <v>0</v>
      </c>
      <c r="M626" s="109"/>
    </row>
    <row r="627" spans="1:13" x14ac:dyDescent="0.3">
      <c r="A627" s="106">
        <f t="shared" ca="1" si="31"/>
        <v>46205</v>
      </c>
      <c r="B627" s="107">
        <f ca="1">SUMIFS('Daily Writing Log'!$H$5:$H$34,'Daily Writing Log'!$A$5:$A$34,$A627)</f>
        <v>0</v>
      </c>
      <c r="C627" s="107">
        <f ca="1">SUMIFS('Daily Writing Log'!$I$5:$I$34,'Daily Writing Log'!$A$5:$A$34,$A627)</f>
        <v>0</v>
      </c>
      <c r="D627" s="108">
        <f ca="1">IF($C627&gt;=Config!$B$5,1,0)</f>
        <v>0</v>
      </c>
      <c r="E627" s="108">
        <f t="shared" ca="1" si="32"/>
        <v>0</v>
      </c>
      <c r="F627" s="108">
        <f ca="1">IF(AND($D627=0,$H626&gt;0,$E627&lt;Config!$B$8,$A627&lt;Config!$A$2),1,0)</f>
        <v>0</v>
      </c>
      <c r="G627" s="108">
        <f t="shared" ca="1" si="33"/>
        <v>0</v>
      </c>
      <c r="H627" s="108">
        <f ca="1">IF($D627=1,$H626+1,IF($F627=1,$H626,IF($A627=Config!$A$2,$H626,0)))</f>
        <v>0</v>
      </c>
      <c r="M627" s="109"/>
    </row>
    <row r="628" spans="1:13" x14ac:dyDescent="0.3">
      <c r="A628" s="106">
        <f t="shared" ca="1" si="31"/>
        <v>46206</v>
      </c>
      <c r="B628" s="107">
        <f ca="1">SUMIFS('Daily Writing Log'!$H$5:$H$34,'Daily Writing Log'!$A$5:$A$34,$A628)</f>
        <v>0</v>
      </c>
      <c r="C628" s="107">
        <f ca="1">SUMIFS('Daily Writing Log'!$I$5:$I$34,'Daily Writing Log'!$A$5:$A$34,$A628)</f>
        <v>0</v>
      </c>
      <c r="D628" s="108">
        <f ca="1">IF($C628&gt;=Config!$B$5,1,0)</f>
        <v>0</v>
      </c>
      <c r="E628" s="108">
        <f t="shared" ca="1" si="32"/>
        <v>0</v>
      </c>
      <c r="F628" s="108">
        <f ca="1">IF(AND($D628=0,$H627&gt;0,$E628&lt;Config!$B$8,$A628&lt;Config!$A$2),1,0)</f>
        <v>0</v>
      </c>
      <c r="G628" s="108">
        <f t="shared" ca="1" si="33"/>
        <v>0</v>
      </c>
      <c r="H628" s="108">
        <f ca="1">IF($D628=1,$H627+1,IF($F628=1,$H627,IF($A628=Config!$A$2,$H627,0)))</f>
        <v>0</v>
      </c>
      <c r="M628" s="109"/>
    </row>
    <row r="629" spans="1:13" x14ac:dyDescent="0.3">
      <c r="A629" s="106">
        <f t="shared" ca="1" si="31"/>
        <v>46207</v>
      </c>
      <c r="B629" s="107">
        <f ca="1">SUMIFS('Daily Writing Log'!$H$5:$H$34,'Daily Writing Log'!$A$5:$A$34,$A629)</f>
        <v>0</v>
      </c>
      <c r="C629" s="107">
        <f ca="1">SUMIFS('Daily Writing Log'!$I$5:$I$34,'Daily Writing Log'!$A$5:$A$34,$A629)</f>
        <v>0</v>
      </c>
      <c r="D629" s="108">
        <f ca="1">IF($C629&gt;=Config!$B$5,1,0)</f>
        <v>0</v>
      </c>
      <c r="E629" s="108">
        <f t="shared" ca="1" si="32"/>
        <v>0</v>
      </c>
      <c r="F629" s="108">
        <f ca="1">IF(AND($D629=0,$H628&gt;0,$E629&lt;Config!$B$8,$A629&lt;Config!$A$2),1,0)</f>
        <v>0</v>
      </c>
      <c r="G629" s="108">
        <f t="shared" ca="1" si="33"/>
        <v>0</v>
      </c>
      <c r="H629" s="108">
        <f ca="1">IF($D629=1,$H628+1,IF($F629=1,$H628,IF($A629=Config!$A$2,$H628,0)))</f>
        <v>0</v>
      </c>
      <c r="M629" s="109"/>
    </row>
    <row r="630" spans="1:13" x14ac:dyDescent="0.3">
      <c r="A630" s="106">
        <f t="shared" ca="1" si="31"/>
        <v>46208</v>
      </c>
      <c r="B630" s="107">
        <f ca="1">SUMIFS('Daily Writing Log'!$H$5:$H$34,'Daily Writing Log'!$A$5:$A$34,$A630)</f>
        <v>0</v>
      </c>
      <c r="C630" s="107">
        <f ca="1">SUMIFS('Daily Writing Log'!$I$5:$I$34,'Daily Writing Log'!$A$5:$A$34,$A630)</f>
        <v>0</v>
      </c>
      <c r="D630" s="108">
        <f ca="1">IF($C630&gt;=Config!$B$5,1,0)</f>
        <v>0</v>
      </c>
      <c r="E630" s="108">
        <f t="shared" ca="1" si="32"/>
        <v>0</v>
      </c>
      <c r="F630" s="108">
        <f ca="1">IF(AND($D630=0,$H629&gt;0,$E630&lt;Config!$B$8,$A630&lt;Config!$A$2),1,0)</f>
        <v>0</v>
      </c>
      <c r="G630" s="108">
        <f t="shared" ca="1" si="33"/>
        <v>0</v>
      </c>
      <c r="H630" s="108">
        <f ca="1">IF($D630=1,$H629+1,IF($F630=1,$H629,IF($A630=Config!$A$2,$H629,0)))</f>
        <v>0</v>
      </c>
      <c r="M630" s="109"/>
    </row>
    <row r="631" spans="1:13" x14ac:dyDescent="0.3">
      <c r="A631" s="106">
        <f t="shared" ca="1" si="31"/>
        <v>46209</v>
      </c>
      <c r="B631" s="107">
        <f ca="1">SUMIFS('Daily Writing Log'!$H$5:$H$34,'Daily Writing Log'!$A$5:$A$34,$A631)</f>
        <v>0</v>
      </c>
      <c r="C631" s="107">
        <f ca="1">SUMIFS('Daily Writing Log'!$I$5:$I$34,'Daily Writing Log'!$A$5:$A$34,$A631)</f>
        <v>0</v>
      </c>
      <c r="D631" s="108">
        <f ca="1">IF($C631&gt;=Config!$B$5,1,0)</f>
        <v>0</v>
      </c>
      <c r="E631" s="108">
        <f t="shared" ca="1" si="32"/>
        <v>0</v>
      </c>
      <c r="F631" s="108">
        <f ca="1">IF(AND($D631=0,$H630&gt;0,$E631&lt;Config!$B$8,$A631&lt;Config!$A$2),1,0)</f>
        <v>0</v>
      </c>
      <c r="G631" s="108">
        <f t="shared" ca="1" si="33"/>
        <v>0</v>
      </c>
      <c r="H631" s="108">
        <f ca="1">IF($D631=1,$H630+1,IF($F631=1,$H630,IF($A631=Config!$A$2,$H630,0)))</f>
        <v>0</v>
      </c>
      <c r="M631" s="109"/>
    </row>
    <row r="632" spans="1:13" x14ac:dyDescent="0.3">
      <c r="A632" s="106">
        <f t="shared" ca="1" si="31"/>
        <v>46210</v>
      </c>
      <c r="B632" s="107">
        <f ca="1">SUMIFS('Daily Writing Log'!$H$5:$H$34,'Daily Writing Log'!$A$5:$A$34,$A632)</f>
        <v>0</v>
      </c>
      <c r="C632" s="107">
        <f ca="1">SUMIFS('Daily Writing Log'!$I$5:$I$34,'Daily Writing Log'!$A$5:$A$34,$A632)</f>
        <v>0</v>
      </c>
      <c r="D632" s="108">
        <f ca="1">IF($C632&gt;=Config!$B$5,1,0)</f>
        <v>0</v>
      </c>
      <c r="E632" s="108">
        <f t="shared" ca="1" si="32"/>
        <v>0</v>
      </c>
      <c r="F632" s="108">
        <f ca="1">IF(AND($D632=0,$H631&gt;0,$E632&lt;Config!$B$8,$A632&lt;Config!$A$2),1,0)</f>
        <v>0</v>
      </c>
      <c r="G632" s="108">
        <f t="shared" ca="1" si="33"/>
        <v>0</v>
      </c>
      <c r="H632" s="108">
        <f ca="1">IF($D632=1,$H631+1,IF($F632=1,$H631,IF($A632=Config!$A$2,$H631,0)))</f>
        <v>0</v>
      </c>
      <c r="M632" s="109"/>
    </row>
    <row r="633" spans="1:13" x14ac:dyDescent="0.3">
      <c r="A633" s="106">
        <f t="shared" ca="1" si="31"/>
        <v>46211</v>
      </c>
      <c r="B633" s="107">
        <f ca="1">SUMIFS('Daily Writing Log'!$H$5:$H$34,'Daily Writing Log'!$A$5:$A$34,$A633)</f>
        <v>0</v>
      </c>
      <c r="C633" s="107">
        <f ca="1">SUMIFS('Daily Writing Log'!$I$5:$I$34,'Daily Writing Log'!$A$5:$A$34,$A633)</f>
        <v>0</v>
      </c>
      <c r="D633" s="108">
        <f ca="1">IF($C633&gt;=Config!$B$5,1,0)</f>
        <v>0</v>
      </c>
      <c r="E633" s="108">
        <f t="shared" ca="1" si="32"/>
        <v>0</v>
      </c>
      <c r="F633" s="108">
        <f ca="1">IF(AND($D633=0,$H632&gt;0,$E633&lt;Config!$B$8,$A633&lt;Config!$A$2),1,0)</f>
        <v>0</v>
      </c>
      <c r="G633" s="108">
        <f t="shared" ca="1" si="33"/>
        <v>0</v>
      </c>
      <c r="H633" s="108">
        <f ca="1">IF($D633=1,$H632+1,IF($F633=1,$H632,IF($A633=Config!$A$2,$H632,0)))</f>
        <v>0</v>
      </c>
      <c r="M633" s="109"/>
    </row>
    <row r="634" spans="1:13" x14ac:dyDescent="0.3">
      <c r="A634" s="106">
        <f t="shared" ca="1" si="31"/>
        <v>46212</v>
      </c>
      <c r="B634" s="107">
        <f ca="1">SUMIFS('Daily Writing Log'!$H$5:$H$34,'Daily Writing Log'!$A$5:$A$34,$A634)</f>
        <v>0</v>
      </c>
      <c r="C634" s="107">
        <f ca="1">SUMIFS('Daily Writing Log'!$I$5:$I$34,'Daily Writing Log'!$A$5:$A$34,$A634)</f>
        <v>0</v>
      </c>
      <c r="D634" s="108">
        <f ca="1">IF($C634&gt;=Config!$B$5,1,0)</f>
        <v>0</v>
      </c>
      <c r="E634" s="108">
        <f t="shared" ca="1" si="32"/>
        <v>0</v>
      </c>
      <c r="F634" s="108">
        <f ca="1">IF(AND($D634=0,$H633&gt;0,$E634&lt;Config!$B$8,$A634&lt;Config!$A$2),1,0)</f>
        <v>0</v>
      </c>
      <c r="G634" s="108">
        <f t="shared" ca="1" si="33"/>
        <v>0</v>
      </c>
      <c r="H634" s="108">
        <f ca="1">IF($D634=1,$H633+1,IF($F634=1,$H633,IF($A634=Config!$A$2,$H633,0)))</f>
        <v>0</v>
      </c>
      <c r="M634" s="109"/>
    </row>
    <row r="635" spans="1:13" x14ac:dyDescent="0.3">
      <c r="A635" s="106">
        <f t="shared" ca="1" si="31"/>
        <v>46213</v>
      </c>
      <c r="B635" s="107">
        <f ca="1">SUMIFS('Daily Writing Log'!$H$5:$H$34,'Daily Writing Log'!$A$5:$A$34,$A635)</f>
        <v>0</v>
      </c>
      <c r="C635" s="107">
        <f ca="1">SUMIFS('Daily Writing Log'!$I$5:$I$34,'Daily Writing Log'!$A$5:$A$34,$A635)</f>
        <v>0</v>
      </c>
      <c r="D635" s="108">
        <f ca="1">IF($C635&gt;=Config!$B$5,1,0)</f>
        <v>0</v>
      </c>
      <c r="E635" s="108">
        <f t="shared" ca="1" si="32"/>
        <v>0</v>
      </c>
      <c r="F635" s="108">
        <f ca="1">IF(AND($D635=0,$H634&gt;0,$E635&lt;Config!$B$8,$A635&lt;Config!$A$2),1,0)</f>
        <v>0</v>
      </c>
      <c r="G635" s="108">
        <f t="shared" ca="1" si="33"/>
        <v>0</v>
      </c>
      <c r="H635" s="108">
        <f ca="1">IF($D635=1,$H634+1,IF($F635=1,$H634,IF($A635=Config!$A$2,$H634,0)))</f>
        <v>0</v>
      </c>
      <c r="M635" s="109"/>
    </row>
    <row r="636" spans="1:13" x14ac:dyDescent="0.3">
      <c r="A636" s="106">
        <f t="shared" ca="1" si="31"/>
        <v>46214</v>
      </c>
      <c r="B636" s="107">
        <f ca="1">SUMIFS('Daily Writing Log'!$H$5:$H$34,'Daily Writing Log'!$A$5:$A$34,$A636)</f>
        <v>0</v>
      </c>
      <c r="C636" s="107">
        <f ca="1">SUMIFS('Daily Writing Log'!$I$5:$I$34,'Daily Writing Log'!$A$5:$A$34,$A636)</f>
        <v>0</v>
      </c>
      <c r="D636" s="108">
        <f ca="1">IF($C636&gt;=Config!$B$5,1,0)</f>
        <v>0</v>
      </c>
      <c r="E636" s="108">
        <f t="shared" ca="1" si="32"/>
        <v>0</v>
      </c>
      <c r="F636" s="108">
        <f ca="1">IF(AND($D636=0,$H635&gt;0,$E636&lt;Config!$B$8,$A636&lt;Config!$A$2),1,0)</f>
        <v>0</v>
      </c>
      <c r="G636" s="108">
        <f t="shared" ca="1" si="33"/>
        <v>0</v>
      </c>
      <c r="H636" s="108">
        <f ca="1">IF($D636=1,$H635+1,IF($F636=1,$H635,IF($A636=Config!$A$2,$H635,0)))</f>
        <v>0</v>
      </c>
      <c r="M636" s="109"/>
    </row>
    <row r="637" spans="1:13" x14ac:dyDescent="0.3">
      <c r="A637" s="106">
        <f t="shared" ca="1" si="31"/>
        <v>46215</v>
      </c>
      <c r="B637" s="107">
        <f ca="1">SUMIFS('Daily Writing Log'!$H$5:$H$34,'Daily Writing Log'!$A$5:$A$34,$A637)</f>
        <v>0</v>
      </c>
      <c r="C637" s="107">
        <f ca="1">SUMIFS('Daily Writing Log'!$I$5:$I$34,'Daily Writing Log'!$A$5:$A$34,$A637)</f>
        <v>0</v>
      </c>
      <c r="D637" s="108">
        <f ca="1">IF($C637&gt;=Config!$B$5,1,0)</f>
        <v>0</v>
      </c>
      <c r="E637" s="108">
        <f t="shared" ca="1" si="32"/>
        <v>0</v>
      </c>
      <c r="F637" s="108">
        <f ca="1">IF(AND($D637=0,$H636&gt;0,$E637&lt;Config!$B$8,$A637&lt;Config!$A$2),1,0)</f>
        <v>0</v>
      </c>
      <c r="G637" s="108">
        <f t="shared" ca="1" si="33"/>
        <v>0</v>
      </c>
      <c r="H637" s="108">
        <f ca="1">IF($D637=1,$H636+1,IF($F637=1,$H636,IF($A637=Config!$A$2,$H636,0)))</f>
        <v>0</v>
      </c>
      <c r="M637" s="109"/>
    </row>
    <row r="638" spans="1:13" x14ac:dyDescent="0.3">
      <c r="A638" s="106">
        <f t="shared" ca="1" si="31"/>
        <v>46216</v>
      </c>
      <c r="B638" s="107">
        <f ca="1">SUMIFS('Daily Writing Log'!$H$5:$H$34,'Daily Writing Log'!$A$5:$A$34,$A638)</f>
        <v>0</v>
      </c>
      <c r="C638" s="107">
        <f ca="1">SUMIFS('Daily Writing Log'!$I$5:$I$34,'Daily Writing Log'!$A$5:$A$34,$A638)</f>
        <v>0</v>
      </c>
      <c r="D638" s="108">
        <f ca="1">IF($C638&gt;=Config!$B$5,1,0)</f>
        <v>0</v>
      </c>
      <c r="E638" s="108">
        <f t="shared" ca="1" si="32"/>
        <v>0</v>
      </c>
      <c r="F638" s="108">
        <f ca="1">IF(AND($D638=0,$H637&gt;0,$E638&lt;Config!$B$8,$A638&lt;Config!$A$2),1,0)</f>
        <v>0</v>
      </c>
      <c r="G638" s="108">
        <f t="shared" ca="1" si="33"/>
        <v>0</v>
      </c>
      <c r="H638" s="108">
        <f ca="1">IF($D638=1,$H637+1,IF($F638=1,$H637,IF($A638=Config!$A$2,$H637,0)))</f>
        <v>0</v>
      </c>
      <c r="M638" s="109"/>
    </row>
    <row r="639" spans="1:13" x14ac:dyDescent="0.3">
      <c r="A639" s="106">
        <f t="shared" ca="1" si="31"/>
        <v>46217</v>
      </c>
      <c r="B639" s="107">
        <f ca="1">SUMIFS('Daily Writing Log'!$H$5:$H$34,'Daily Writing Log'!$A$5:$A$34,$A639)</f>
        <v>0</v>
      </c>
      <c r="C639" s="107">
        <f ca="1">SUMIFS('Daily Writing Log'!$I$5:$I$34,'Daily Writing Log'!$A$5:$A$34,$A639)</f>
        <v>0</v>
      </c>
      <c r="D639" s="108">
        <f ca="1">IF($C639&gt;=Config!$B$5,1,0)</f>
        <v>0</v>
      </c>
      <c r="E639" s="108">
        <f t="shared" ca="1" si="32"/>
        <v>0</v>
      </c>
      <c r="F639" s="108">
        <f ca="1">IF(AND($D639=0,$H638&gt;0,$E639&lt;Config!$B$8,$A639&lt;Config!$A$2),1,0)</f>
        <v>0</v>
      </c>
      <c r="G639" s="108">
        <f t="shared" ca="1" si="33"/>
        <v>0</v>
      </c>
      <c r="H639" s="108">
        <f ca="1">IF($D639=1,$H638+1,IF($F639=1,$H638,IF($A639=Config!$A$2,$H638,0)))</f>
        <v>0</v>
      </c>
      <c r="M639" s="109"/>
    </row>
    <row r="640" spans="1:13" x14ac:dyDescent="0.3">
      <c r="A640" s="106">
        <f t="shared" ca="1" si="31"/>
        <v>46218</v>
      </c>
      <c r="B640" s="107">
        <f ca="1">SUMIFS('Daily Writing Log'!$H$5:$H$34,'Daily Writing Log'!$A$5:$A$34,$A640)</f>
        <v>0</v>
      </c>
      <c r="C640" s="107">
        <f ca="1">SUMIFS('Daily Writing Log'!$I$5:$I$34,'Daily Writing Log'!$A$5:$A$34,$A640)</f>
        <v>0</v>
      </c>
      <c r="D640" s="108">
        <f ca="1">IF($C640&gt;=Config!$B$5,1,0)</f>
        <v>0</v>
      </c>
      <c r="E640" s="108">
        <f t="shared" ca="1" si="32"/>
        <v>0</v>
      </c>
      <c r="F640" s="108">
        <f ca="1">IF(AND($D640=0,$H639&gt;0,$E640&lt;Config!$B$8,$A640&lt;Config!$A$2),1,0)</f>
        <v>0</v>
      </c>
      <c r="G640" s="108">
        <f t="shared" ca="1" si="33"/>
        <v>0</v>
      </c>
      <c r="H640" s="108">
        <f ca="1">IF($D640=1,$H639+1,IF($F640=1,$H639,IF($A640=Config!$A$2,$H639,0)))</f>
        <v>0</v>
      </c>
      <c r="M640" s="109"/>
    </row>
    <row r="641" spans="1:13" x14ac:dyDescent="0.3">
      <c r="A641" s="106">
        <f t="shared" ca="1" si="31"/>
        <v>46219</v>
      </c>
      <c r="B641" s="107">
        <f ca="1">SUMIFS('Daily Writing Log'!$H$5:$H$34,'Daily Writing Log'!$A$5:$A$34,$A641)</f>
        <v>0</v>
      </c>
      <c r="C641" s="107">
        <f ca="1">SUMIFS('Daily Writing Log'!$I$5:$I$34,'Daily Writing Log'!$A$5:$A$34,$A641)</f>
        <v>0</v>
      </c>
      <c r="D641" s="108">
        <f ca="1">IF($C641&gt;=Config!$B$5,1,0)</f>
        <v>0</v>
      </c>
      <c r="E641" s="108">
        <f t="shared" ca="1" si="32"/>
        <v>0</v>
      </c>
      <c r="F641" s="108">
        <f ca="1">IF(AND($D641=0,$H640&gt;0,$E641&lt;Config!$B$8,$A641&lt;Config!$A$2),1,0)</f>
        <v>0</v>
      </c>
      <c r="G641" s="108">
        <f t="shared" ca="1" si="33"/>
        <v>0</v>
      </c>
      <c r="H641" s="108">
        <f ca="1">IF($D641=1,$H640+1,IF($F641=1,$H640,IF($A641=Config!$A$2,$H640,0)))</f>
        <v>0</v>
      </c>
      <c r="M641" s="109"/>
    </row>
    <row r="642" spans="1:13" x14ac:dyDescent="0.3">
      <c r="A642" s="106">
        <f t="shared" ca="1" si="31"/>
        <v>46220</v>
      </c>
      <c r="B642" s="107">
        <f ca="1">SUMIFS('Daily Writing Log'!$H$5:$H$34,'Daily Writing Log'!$A$5:$A$34,$A642)</f>
        <v>0</v>
      </c>
      <c r="C642" s="107">
        <f ca="1">SUMIFS('Daily Writing Log'!$I$5:$I$34,'Daily Writing Log'!$A$5:$A$34,$A642)</f>
        <v>0</v>
      </c>
      <c r="D642" s="108">
        <f ca="1">IF($C642&gt;=Config!$B$5,1,0)</f>
        <v>0</v>
      </c>
      <c r="E642" s="108">
        <f t="shared" ca="1" si="32"/>
        <v>0</v>
      </c>
      <c r="F642" s="108">
        <f ca="1">IF(AND($D642=0,$H641&gt;0,$E642&lt;Config!$B$8,$A642&lt;Config!$A$2),1,0)</f>
        <v>0</v>
      </c>
      <c r="G642" s="108">
        <f t="shared" ca="1" si="33"/>
        <v>0</v>
      </c>
      <c r="H642" s="108">
        <f ca="1">IF($D642=1,$H641+1,IF($F642=1,$H641,IF($A642=Config!$A$2,$H641,0)))</f>
        <v>0</v>
      </c>
      <c r="M642" s="109"/>
    </row>
    <row r="643" spans="1:13" x14ac:dyDescent="0.3">
      <c r="A643" s="106">
        <f t="shared" ca="1" si="31"/>
        <v>46221</v>
      </c>
      <c r="B643" s="107">
        <f ca="1">SUMIFS('Daily Writing Log'!$H$5:$H$34,'Daily Writing Log'!$A$5:$A$34,$A643)</f>
        <v>0</v>
      </c>
      <c r="C643" s="107">
        <f ca="1">SUMIFS('Daily Writing Log'!$I$5:$I$34,'Daily Writing Log'!$A$5:$A$34,$A643)</f>
        <v>0</v>
      </c>
      <c r="D643" s="108">
        <f ca="1">IF($C643&gt;=Config!$B$5,1,0)</f>
        <v>0</v>
      </c>
      <c r="E643" s="108">
        <f t="shared" ca="1" si="32"/>
        <v>0</v>
      </c>
      <c r="F643" s="108">
        <f ca="1">IF(AND($D643=0,$H642&gt;0,$E643&lt;Config!$B$8,$A643&lt;Config!$A$2),1,0)</f>
        <v>0</v>
      </c>
      <c r="G643" s="108">
        <f t="shared" ca="1" si="33"/>
        <v>0</v>
      </c>
      <c r="H643" s="108">
        <f ca="1">IF($D643=1,$H642+1,IF($F643=1,$H642,IF($A643=Config!$A$2,$H642,0)))</f>
        <v>0</v>
      </c>
      <c r="M643" s="109"/>
    </row>
    <row r="644" spans="1:13" x14ac:dyDescent="0.3">
      <c r="A644" s="106">
        <f t="shared" ca="1" si="31"/>
        <v>46222</v>
      </c>
      <c r="B644" s="107">
        <f ca="1">SUMIFS('Daily Writing Log'!$H$5:$H$34,'Daily Writing Log'!$A$5:$A$34,$A644)</f>
        <v>0</v>
      </c>
      <c r="C644" s="107">
        <f ca="1">SUMIFS('Daily Writing Log'!$I$5:$I$34,'Daily Writing Log'!$A$5:$A$34,$A644)</f>
        <v>0</v>
      </c>
      <c r="D644" s="108">
        <f ca="1">IF($C644&gt;=Config!$B$5,1,0)</f>
        <v>0</v>
      </c>
      <c r="E644" s="108">
        <f t="shared" ca="1" si="32"/>
        <v>0</v>
      </c>
      <c r="F644" s="108">
        <f ca="1">IF(AND($D644=0,$H643&gt;0,$E644&lt;Config!$B$8,$A644&lt;Config!$A$2),1,0)</f>
        <v>0</v>
      </c>
      <c r="G644" s="108">
        <f t="shared" ca="1" si="33"/>
        <v>0</v>
      </c>
      <c r="H644" s="108">
        <f ca="1">IF($D644=1,$H643+1,IF($F644=1,$H643,IF($A644=Config!$A$2,$H643,0)))</f>
        <v>0</v>
      </c>
      <c r="M644" s="109"/>
    </row>
    <row r="645" spans="1:13" x14ac:dyDescent="0.3">
      <c r="A645" s="106">
        <f t="shared" ca="1" si="31"/>
        <v>46223</v>
      </c>
      <c r="B645" s="107">
        <f ca="1">SUMIFS('Daily Writing Log'!$H$5:$H$34,'Daily Writing Log'!$A$5:$A$34,$A645)</f>
        <v>0</v>
      </c>
      <c r="C645" s="107">
        <f ca="1">SUMIFS('Daily Writing Log'!$I$5:$I$34,'Daily Writing Log'!$A$5:$A$34,$A645)</f>
        <v>0</v>
      </c>
      <c r="D645" s="108">
        <f ca="1">IF($C645&gt;=Config!$B$5,1,0)</f>
        <v>0</v>
      </c>
      <c r="E645" s="108">
        <f t="shared" ca="1" si="32"/>
        <v>0</v>
      </c>
      <c r="F645" s="108">
        <f ca="1">IF(AND($D645=0,$H644&gt;0,$E645&lt;Config!$B$8,$A645&lt;Config!$A$2),1,0)</f>
        <v>0</v>
      </c>
      <c r="G645" s="108">
        <f t="shared" ca="1" si="33"/>
        <v>0</v>
      </c>
      <c r="H645" s="108">
        <f ca="1">IF($D645=1,$H644+1,IF($F645=1,$H644,IF($A645=Config!$A$2,$H644,0)))</f>
        <v>0</v>
      </c>
      <c r="M645" s="109"/>
    </row>
    <row r="646" spans="1:13" x14ac:dyDescent="0.3">
      <c r="A646" s="106">
        <f t="shared" ref="A646:A709" ca="1" si="34">A645+1</f>
        <v>46224</v>
      </c>
      <c r="B646" s="107">
        <f ca="1">SUMIFS('Daily Writing Log'!$H$5:$H$34,'Daily Writing Log'!$A$5:$A$34,$A646)</f>
        <v>0</v>
      </c>
      <c r="C646" s="107">
        <f ca="1">SUMIFS('Daily Writing Log'!$I$5:$I$34,'Daily Writing Log'!$A$5:$A$34,$A646)</f>
        <v>0</v>
      </c>
      <c r="D646" s="108">
        <f ca="1">IF($C646&gt;=Config!$B$5,1,0)</f>
        <v>0</v>
      </c>
      <c r="E646" s="108">
        <f t="shared" ref="E646:E709" ca="1" si="35">IF(MONTH($A646)&lt;&gt;MONTH($A645),0,$G645)</f>
        <v>0</v>
      </c>
      <c r="F646" s="108">
        <f ca="1">IF(AND($D646=0,$H645&gt;0,$E646&lt;Config!$B$8,$A646&lt;Config!$A$2),1,0)</f>
        <v>0</v>
      </c>
      <c r="G646" s="108">
        <f t="shared" ref="G646:G709" ca="1" si="36">$E646+$F646</f>
        <v>0</v>
      </c>
      <c r="H646" s="108">
        <f ca="1">IF($D646=1,$H645+1,IF($F646=1,$H645,IF($A646=Config!$A$2,$H645,0)))</f>
        <v>0</v>
      </c>
      <c r="M646" s="109"/>
    </row>
    <row r="647" spans="1:13" x14ac:dyDescent="0.3">
      <c r="A647" s="106">
        <f t="shared" ca="1" si="34"/>
        <v>46225</v>
      </c>
      <c r="B647" s="107">
        <f ca="1">SUMIFS('Daily Writing Log'!$H$5:$H$34,'Daily Writing Log'!$A$5:$A$34,$A647)</f>
        <v>0</v>
      </c>
      <c r="C647" s="107">
        <f ca="1">SUMIFS('Daily Writing Log'!$I$5:$I$34,'Daily Writing Log'!$A$5:$A$34,$A647)</f>
        <v>0</v>
      </c>
      <c r="D647" s="108">
        <f ca="1">IF($C647&gt;=Config!$B$5,1,0)</f>
        <v>0</v>
      </c>
      <c r="E647" s="108">
        <f t="shared" ca="1" si="35"/>
        <v>0</v>
      </c>
      <c r="F647" s="108">
        <f ca="1">IF(AND($D647=0,$H646&gt;0,$E647&lt;Config!$B$8,$A647&lt;Config!$A$2),1,0)</f>
        <v>0</v>
      </c>
      <c r="G647" s="108">
        <f t="shared" ca="1" si="36"/>
        <v>0</v>
      </c>
      <c r="H647" s="108">
        <f ca="1">IF($D647=1,$H646+1,IF($F647=1,$H646,IF($A647=Config!$A$2,$H646,0)))</f>
        <v>0</v>
      </c>
      <c r="M647" s="109"/>
    </row>
    <row r="648" spans="1:13" x14ac:dyDescent="0.3">
      <c r="A648" s="106">
        <f t="shared" ca="1" si="34"/>
        <v>46226</v>
      </c>
      <c r="B648" s="107">
        <f ca="1">SUMIFS('Daily Writing Log'!$H$5:$H$34,'Daily Writing Log'!$A$5:$A$34,$A648)</f>
        <v>0</v>
      </c>
      <c r="C648" s="107">
        <f ca="1">SUMIFS('Daily Writing Log'!$I$5:$I$34,'Daily Writing Log'!$A$5:$A$34,$A648)</f>
        <v>0</v>
      </c>
      <c r="D648" s="108">
        <f ca="1">IF($C648&gt;=Config!$B$5,1,0)</f>
        <v>0</v>
      </c>
      <c r="E648" s="108">
        <f t="shared" ca="1" si="35"/>
        <v>0</v>
      </c>
      <c r="F648" s="108">
        <f ca="1">IF(AND($D648=0,$H647&gt;0,$E648&lt;Config!$B$8,$A648&lt;Config!$A$2),1,0)</f>
        <v>0</v>
      </c>
      <c r="G648" s="108">
        <f t="shared" ca="1" si="36"/>
        <v>0</v>
      </c>
      <c r="H648" s="108">
        <f ca="1">IF($D648=1,$H647+1,IF($F648=1,$H647,IF($A648=Config!$A$2,$H647,0)))</f>
        <v>0</v>
      </c>
      <c r="M648" s="109"/>
    </row>
    <row r="649" spans="1:13" x14ac:dyDescent="0.3">
      <c r="A649" s="106">
        <f t="shared" ca="1" si="34"/>
        <v>46227</v>
      </c>
      <c r="B649" s="107">
        <f ca="1">SUMIFS('Daily Writing Log'!$H$5:$H$34,'Daily Writing Log'!$A$5:$A$34,$A649)</f>
        <v>0</v>
      </c>
      <c r="C649" s="107">
        <f ca="1">SUMIFS('Daily Writing Log'!$I$5:$I$34,'Daily Writing Log'!$A$5:$A$34,$A649)</f>
        <v>0</v>
      </c>
      <c r="D649" s="108">
        <f ca="1">IF($C649&gt;=Config!$B$5,1,0)</f>
        <v>0</v>
      </c>
      <c r="E649" s="108">
        <f t="shared" ca="1" si="35"/>
        <v>0</v>
      </c>
      <c r="F649" s="108">
        <f ca="1">IF(AND($D649=0,$H648&gt;0,$E649&lt;Config!$B$8,$A649&lt;Config!$A$2),1,0)</f>
        <v>0</v>
      </c>
      <c r="G649" s="108">
        <f t="shared" ca="1" si="36"/>
        <v>0</v>
      </c>
      <c r="H649" s="108">
        <f ca="1">IF($D649=1,$H648+1,IF($F649=1,$H648,IF($A649=Config!$A$2,$H648,0)))</f>
        <v>0</v>
      </c>
      <c r="M649" s="109"/>
    </row>
    <row r="650" spans="1:13" x14ac:dyDescent="0.3">
      <c r="A650" s="106">
        <f t="shared" ca="1" si="34"/>
        <v>46228</v>
      </c>
      <c r="B650" s="107">
        <f ca="1">SUMIFS('Daily Writing Log'!$H$5:$H$34,'Daily Writing Log'!$A$5:$A$34,$A650)</f>
        <v>0</v>
      </c>
      <c r="C650" s="107">
        <f ca="1">SUMIFS('Daily Writing Log'!$I$5:$I$34,'Daily Writing Log'!$A$5:$A$34,$A650)</f>
        <v>0</v>
      </c>
      <c r="D650" s="108">
        <f ca="1">IF($C650&gt;=Config!$B$5,1,0)</f>
        <v>0</v>
      </c>
      <c r="E650" s="108">
        <f t="shared" ca="1" si="35"/>
        <v>0</v>
      </c>
      <c r="F650" s="108">
        <f ca="1">IF(AND($D650=0,$H649&gt;0,$E650&lt;Config!$B$8,$A650&lt;Config!$A$2),1,0)</f>
        <v>0</v>
      </c>
      <c r="G650" s="108">
        <f t="shared" ca="1" si="36"/>
        <v>0</v>
      </c>
      <c r="H650" s="108">
        <f ca="1">IF($D650=1,$H649+1,IF($F650=1,$H649,IF($A650=Config!$A$2,$H649,0)))</f>
        <v>0</v>
      </c>
      <c r="M650" s="109"/>
    </row>
    <row r="651" spans="1:13" x14ac:dyDescent="0.3">
      <c r="A651" s="106">
        <f t="shared" ca="1" si="34"/>
        <v>46229</v>
      </c>
      <c r="B651" s="107">
        <f ca="1">SUMIFS('Daily Writing Log'!$H$5:$H$34,'Daily Writing Log'!$A$5:$A$34,$A651)</f>
        <v>0</v>
      </c>
      <c r="C651" s="107">
        <f ca="1">SUMIFS('Daily Writing Log'!$I$5:$I$34,'Daily Writing Log'!$A$5:$A$34,$A651)</f>
        <v>0</v>
      </c>
      <c r="D651" s="108">
        <f ca="1">IF($C651&gt;=Config!$B$5,1,0)</f>
        <v>0</v>
      </c>
      <c r="E651" s="108">
        <f t="shared" ca="1" si="35"/>
        <v>0</v>
      </c>
      <c r="F651" s="108">
        <f ca="1">IF(AND($D651=0,$H650&gt;0,$E651&lt;Config!$B$8,$A651&lt;Config!$A$2),1,0)</f>
        <v>0</v>
      </c>
      <c r="G651" s="108">
        <f t="shared" ca="1" si="36"/>
        <v>0</v>
      </c>
      <c r="H651" s="108">
        <f ca="1">IF($D651=1,$H650+1,IF($F651=1,$H650,IF($A651=Config!$A$2,$H650,0)))</f>
        <v>0</v>
      </c>
      <c r="M651" s="109"/>
    </row>
    <row r="652" spans="1:13" x14ac:dyDescent="0.3">
      <c r="A652" s="106">
        <f t="shared" ca="1" si="34"/>
        <v>46230</v>
      </c>
      <c r="B652" s="107">
        <f ca="1">SUMIFS('Daily Writing Log'!$H$5:$H$34,'Daily Writing Log'!$A$5:$A$34,$A652)</f>
        <v>0</v>
      </c>
      <c r="C652" s="107">
        <f ca="1">SUMIFS('Daily Writing Log'!$I$5:$I$34,'Daily Writing Log'!$A$5:$A$34,$A652)</f>
        <v>0</v>
      </c>
      <c r="D652" s="108">
        <f ca="1">IF($C652&gt;=Config!$B$5,1,0)</f>
        <v>0</v>
      </c>
      <c r="E652" s="108">
        <f t="shared" ca="1" si="35"/>
        <v>0</v>
      </c>
      <c r="F652" s="108">
        <f ca="1">IF(AND($D652=0,$H651&gt;0,$E652&lt;Config!$B$8,$A652&lt;Config!$A$2),1,0)</f>
        <v>0</v>
      </c>
      <c r="G652" s="108">
        <f t="shared" ca="1" si="36"/>
        <v>0</v>
      </c>
      <c r="H652" s="108">
        <f ca="1">IF($D652=1,$H651+1,IF($F652=1,$H651,IF($A652=Config!$A$2,$H651,0)))</f>
        <v>0</v>
      </c>
      <c r="M652" s="109"/>
    </row>
    <row r="653" spans="1:13" x14ac:dyDescent="0.3">
      <c r="A653" s="106">
        <f t="shared" ca="1" si="34"/>
        <v>46231</v>
      </c>
      <c r="B653" s="107">
        <f ca="1">SUMIFS('Daily Writing Log'!$H$5:$H$34,'Daily Writing Log'!$A$5:$A$34,$A653)</f>
        <v>0</v>
      </c>
      <c r="C653" s="107">
        <f ca="1">SUMIFS('Daily Writing Log'!$I$5:$I$34,'Daily Writing Log'!$A$5:$A$34,$A653)</f>
        <v>0</v>
      </c>
      <c r="D653" s="108">
        <f ca="1">IF($C653&gt;=Config!$B$5,1,0)</f>
        <v>0</v>
      </c>
      <c r="E653" s="108">
        <f t="shared" ca="1" si="35"/>
        <v>0</v>
      </c>
      <c r="F653" s="108">
        <f ca="1">IF(AND($D653=0,$H652&gt;0,$E653&lt;Config!$B$8,$A653&lt;Config!$A$2),1,0)</f>
        <v>0</v>
      </c>
      <c r="G653" s="108">
        <f t="shared" ca="1" si="36"/>
        <v>0</v>
      </c>
      <c r="H653" s="108">
        <f ca="1">IF($D653=1,$H652+1,IF($F653=1,$H652,IF($A653=Config!$A$2,$H652,0)))</f>
        <v>0</v>
      </c>
      <c r="M653" s="109"/>
    </row>
    <row r="654" spans="1:13" x14ac:dyDescent="0.3">
      <c r="A654" s="106">
        <f t="shared" ca="1" si="34"/>
        <v>46232</v>
      </c>
      <c r="B654" s="107">
        <f ca="1">SUMIFS('Daily Writing Log'!$H$5:$H$34,'Daily Writing Log'!$A$5:$A$34,$A654)</f>
        <v>0</v>
      </c>
      <c r="C654" s="107">
        <f ca="1">SUMIFS('Daily Writing Log'!$I$5:$I$34,'Daily Writing Log'!$A$5:$A$34,$A654)</f>
        <v>0</v>
      </c>
      <c r="D654" s="108">
        <f ca="1">IF($C654&gt;=Config!$B$5,1,0)</f>
        <v>0</v>
      </c>
      <c r="E654" s="108">
        <f t="shared" ca="1" si="35"/>
        <v>0</v>
      </c>
      <c r="F654" s="108">
        <f ca="1">IF(AND($D654=0,$H653&gt;0,$E654&lt;Config!$B$8,$A654&lt;Config!$A$2),1,0)</f>
        <v>0</v>
      </c>
      <c r="G654" s="108">
        <f t="shared" ca="1" si="36"/>
        <v>0</v>
      </c>
      <c r="H654" s="108">
        <f ca="1">IF($D654=1,$H653+1,IF($F654=1,$H653,IF($A654=Config!$A$2,$H653,0)))</f>
        <v>0</v>
      </c>
      <c r="M654" s="109"/>
    </row>
    <row r="655" spans="1:13" x14ac:dyDescent="0.3">
      <c r="A655" s="106">
        <f t="shared" ca="1" si="34"/>
        <v>46233</v>
      </c>
      <c r="B655" s="107">
        <f ca="1">SUMIFS('Daily Writing Log'!$H$5:$H$34,'Daily Writing Log'!$A$5:$A$34,$A655)</f>
        <v>0</v>
      </c>
      <c r="C655" s="107">
        <f ca="1">SUMIFS('Daily Writing Log'!$I$5:$I$34,'Daily Writing Log'!$A$5:$A$34,$A655)</f>
        <v>0</v>
      </c>
      <c r="D655" s="108">
        <f ca="1">IF($C655&gt;=Config!$B$5,1,0)</f>
        <v>0</v>
      </c>
      <c r="E655" s="108">
        <f t="shared" ca="1" si="35"/>
        <v>0</v>
      </c>
      <c r="F655" s="108">
        <f ca="1">IF(AND($D655=0,$H654&gt;0,$E655&lt;Config!$B$8,$A655&lt;Config!$A$2),1,0)</f>
        <v>0</v>
      </c>
      <c r="G655" s="108">
        <f t="shared" ca="1" si="36"/>
        <v>0</v>
      </c>
      <c r="H655" s="108">
        <f ca="1">IF($D655=1,$H654+1,IF($F655=1,$H654,IF($A655=Config!$A$2,$H654,0)))</f>
        <v>0</v>
      </c>
      <c r="M655" s="109"/>
    </row>
    <row r="656" spans="1:13" x14ac:dyDescent="0.3">
      <c r="A656" s="106">
        <f t="shared" ca="1" si="34"/>
        <v>46234</v>
      </c>
      <c r="B656" s="107">
        <f ca="1">SUMIFS('Daily Writing Log'!$H$5:$H$34,'Daily Writing Log'!$A$5:$A$34,$A656)</f>
        <v>0</v>
      </c>
      <c r="C656" s="107">
        <f ca="1">SUMIFS('Daily Writing Log'!$I$5:$I$34,'Daily Writing Log'!$A$5:$A$34,$A656)</f>
        <v>0</v>
      </c>
      <c r="D656" s="108">
        <f ca="1">IF($C656&gt;=Config!$B$5,1,0)</f>
        <v>0</v>
      </c>
      <c r="E656" s="108">
        <f t="shared" ca="1" si="35"/>
        <v>0</v>
      </c>
      <c r="F656" s="108">
        <f ca="1">IF(AND($D656=0,$H655&gt;0,$E656&lt;Config!$B$8,$A656&lt;Config!$A$2),1,0)</f>
        <v>0</v>
      </c>
      <c r="G656" s="108">
        <f t="shared" ca="1" si="36"/>
        <v>0</v>
      </c>
      <c r="H656" s="108">
        <f ca="1">IF($D656=1,$H655+1,IF($F656=1,$H655,IF($A656=Config!$A$2,$H655,0)))</f>
        <v>0</v>
      </c>
      <c r="M656" s="109"/>
    </row>
    <row r="657" spans="1:13" x14ac:dyDescent="0.3">
      <c r="A657" s="106">
        <f t="shared" ca="1" si="34"/>
        <v>46235</v>
      </c>
      <c r="B657" s="107">
        <f ca="1">SUMIFS('Daily Writing Log'!$H$5:$H$34,'Daily Writing Log'!$A$5:$A$34,$A657)</f>
        <v>0</v>
      </c>
      <c r="C657" s="107">
        <f ca="1">SUMIFS('Daily Writing Log'!$I$5:$I$34,'Daily Writing Log'!$A$5:$A$34,$A657)</f>
        <v>0</v>
      </c>
      <c r="D657" s="108">
        <f ca="1">IF($C657&gt;=Config!$B$5,1,0)</f>
        <v>0</v>
      </c>
      <c r="E657" s="108">
        <f t="shared" ca="1" si="35"/>
        <v>0</v>
      </c>
      <c r="F657" s="108">
        <f ca="1">IF(AND($D657=0,$H656&gt;0,$E657&lt;Config!$B$8,$A657&lt;Config!$A$2),1,0)</f>
        <v>0</v>
      </c>
      <c r="G657" s="108">
        <f t="shared" ca="1" si="36"/>
        <v>0</v>
      </c>
      <c r="H657" s="108">
        <f ca="1">IF($D657=1,$H656+1,IF($F657=1,$H656,IF($A657=Config!$A$2,$H656,0)))</f>
        <v>0</v>
      </c>
      <c r="M657" s="109"/>
    </row>
    <row r="658" spans="1:13" x14ac:dyDescent="0.3">
      <c r="A658" s="106">
        <f t="shared" ca="1" si="34"/>
        <v>46236</v>
      </c>
      <c r="B658" s="107">
        <f ca="1">SUMIFS('Daily Writing Log'!$H$5:$H$34,'Daily Writing Log'!$A$5:$A$34,$A658)</f>
        <v>0</v>
      </c>
      <c r="C658" s="107">
        <f ca="1">SUMIFS('Daily Writing Log'!$I$5:$I$34,'Daily Writing Log'!$A$5:$A$34,$A658)</f>
        <v>0</v>
      </c>
      <c r="D658" s="108">
        <f ca="1">IF($C658&gt;=Config!$B$5,1,0)</f>
        <v>0</v>
      </c>
      <c r="E658" s="108">
        <f t="shared" ca="1" si="35"/>
        <v>0</v>
      </c>
      <c r="F658" s="108">
        <f ca="1">IF(AND($D658=0,$H657&gt;0,$E658&lt;Config!$B$8,$A658&lt;Config!$A$2),1,0)</f>
        <v>0</v>
      </c>
      <c r="G658" s="108">
        <f t="shared" ca="1" si="36"/>
        <v>0</v>
      </c>
      <c r="H658" s="108">
        <f ca="1">IF($D658=1,$H657+1,IF($F658=1,$H657,IF($A658=Config!$A$2,$H657,0)))</f>
        <v>0</v>
      </c>
      <c r="M658" s="109"/>
    </row>
    <row r="659" spans="1:13" x14ac:dyDescent="0.3">
      <c r="A659" s="106">
        <f t="shared" ca="1" si="34"/>
        <v>46237</v>
      </c>
      <c r="B659" s="107">
        <f ca="1">SUMIFS('Daily Writing Log'!$H$5:$H$34,'Daily Writing Log'!$A$5:$A$34,$A659)</f>
        <v>0</v>
      </c>
      <c r="C659" s="107">
        <f ca="1">SUMIFS('Daily Writing Log'!$I$5:$I$34,'Daily Writing Log'!$A$5:$A$34,$A659)</f>
        <v>0</v>
      </c>
      <c r="D659" s="108">
        <f ca="1">IF($C659&gt;=Config!$B$5,1,0)</f>
        <v>0</v>
      </c>
      <c r="E659" s="108">
        <f t="shared" ca="1" si="35"/>
        <v>0</v>
      </c>
      <c r="F659" s="108">
        <f ca="1">IF(AND($D659=0,$H658&gt;0,$E659&lt;Config!$B$8,$A659&lt;Config!$A$2),1,0)</f>
        <v>0</v>
      </c>
      <c r="G659" s="108">
        <f t="shared" ca="1" si="36"/>
        <v>0</v>
      </c>
      <c r="H659" s="108">
        <f ca="1">IF($D659=1,$H658+1,IF($F659=1,$H658,IF($A659=Config!$A$2,$H658,0)))</f>
        <v>0</v>
      </c>
      <c r="M659" s="109"/>
    </row>
    <row r="660" spans="1:13" x14ac:dyDescent="0.3">
      <c r="A660" s="106">
        <f t="shared" ca="1" si="34"/>
        <v>46238</v>
      </c>
      <c r="B660" s="107">
        <f ca="1">SUMIFS('Daily Writing Log'!$H$5:$H$34,'Daily Writing Log'!$A$5:$A$34,$A660)</f>
        <v>0</v>
      </c>
      <c r="C660" s="107">
        <f ca="1">SUMIFS('Daily Writing Log'!$I$5:$I$34,'Daily Writing Log'!$A$5:$A$34,$A660)</f>
        <v>0</v>
      </c>
      <c r="D660" s="108">
        <f ca="1">IF($C660&gt;=Config!$B$5,1,0)</f>
        <v>0</v>
      </c>
      <c r="E660" s="108">
        <f t="shared" ca="1" si="35"/>
        <v>0</v>
      </c>
      <c r="F660" s="108">
        <f ca="1">IF(AND($D660=0,$H659&gt;0,$E660&lt;Config!$B$8,$A660&lt;Config!$A$2),1,0)</f>
        <v>0</v>
      </c>
      <c r="G660" s="108">
        <f t="shared" ca="1" si="36"/>
        <v>0</v>
      </c>
      <c r="H660" s="108">
        <f ca="1">IF($D660=1,$H659+1,IF($F660=1,$H659,IF($A660=Config!$A$2,$H659,0)))</f>
        <v>0</v>
      </c>
      <c r="M660" s="109"/>
    </row>
    <row r="661" spans="1:13" x14ac:dyDescent="0.3">
      <c r="A661" s="106">
        <f t="shared" ca="1" si="34"/>
        <v>46239</v>
      </c>
      <c r="B661" s="107">
        <f ca="1">SUMIFS('Daily Writing Log'!$H$5:$H$34,'Daily Writing Log'!$A$5:$A$34,$A661)</f>
        <v>0</v>
      </c>
      <c r="C661" s="107">
        <f ca="1">SUMIFS('Daily Writing Log'!$I$5:$I$34,'Daily Writing Log'!$A$5:$A$34,$A661)</f>
        <v>0</v>
      </c>
      <c r="D661" s="108">
        <f ca="1">IF($C661&gt;=Config!$B$5,1,0)</f>
        <v>0</v>
      </c>
      <c r="E661" s="108">
        <f t="shared" ca="1" si="35"/>
        <v>0</v>
      </c>
      <c r="F661" s="108">
        <f ca="1">IF(AND($D661=0,$H660&gt;0,$E661&lt;Config!$B$8,$A661&lt;Config!$A$2),1,0)</f>
        <v>0</v>
      </c>
      <c r="G661" s="108">
        <f t="shared" ca="1" si="36"/>
        <v>0</v>
      </c>
      <c r="H661" s="108">
        <f ca="1">IF($D661=1,$H660+1,IF($F661=1,$H660,IF($A661=Config!$A$2,$H660,0)))</f>
        <v>0</v>
      </c>
      <c r="M661" s="109"/>
    </row>
    <row r="662" spans="1:13" x14ac:dyDescent="0.3">
      <c r="A662" s="106">
        <f t="shared" ca="1" si="34"/>
        <v>46240</v>
      </c>
      <c r="B662" s="107">
        <f ca="1">SUMIFS('Daily Writing Log'!$H$5:$H$34,'Daily Writing Log'!$A$5:$A$34,$A662)</f>
        <v>0</v>
      </c>
      <c r="C662" s="107">
        <f ca="1">SUMIFS('Daily Writing Log'!$I$5:$I$34,'Daily Writing Log'!$A$5:$A$34,$A662)</f>
        <v>0</v>
      </c>
      <c r="D662" s="108">
        <f ca="1">IF($C662&gt;=Config!$B$5,1,0)</f>
        <v>0</v>
      </c>
      <c r="E662" s="108">
        <f t="shared" ca="1" si="35"/>
        <v>0</v>
      </c>
      <c r="F662" s="108">
        <f ca="1">IF(AND($D662=0,$H661&gt;0,$E662&lt;Config!$B$8,$A662&lt;Config!$A$2),1,0)</f>
        <v>0</v>
      </c>
      <c r="G662" s="108">
        <f t="shared" ca="1" si="36"/>
        <v>0</v>
      </c>
      <c r="H662" s="108">
        <f ca="1">IF($D662=1,$H661+1,IF($F662=1,$H661,IF($A662=Config!$A$2,$H661,0)))</f>
        <v>0</v>
      </c>
      <c r="M662" s="109"/>
    </row>
    <row r="663" spans="1:13" x14ac:dyDescent="0.3">
      <c r="A663" s="106">
        <f t="shared" ca="1" si="34"/>
        <v>46241</v>
      </c>
      <c r="B663" s="107">
        <f ca="1">SUMIFS('Daily Writing Log'!$H$5:$H$34,'Daily Writing Log'!$A$5:$A$34,$A663)</f>
        <v>0</v>
      </c>
      <c r="C663" s="107">
        <f ca="1">SUMIFS('Daily Writing Log'!$I$5:$I$34,'Daily Writing Log'!$A$5:$A$34,$A663)</f>
        <v>0</v>
      </c>
      <c r="D663" s="108">
        <f ca="1">IF($C663&gt;=Config!$B$5,1,0)</f>
        <v>0</v>
      </c>
      <c r="E663" s="108">
        <f t="shared" ca="1" si="35"/>
        <v>0</v>
      </c>
      <c r="F663" s="108">
        <f ca="1">IF(AND($D663=0,$H662&gt;0,$E663&lt;Config!$B$8,$A663&lt;Config!$A$2),1,0)</f>
        <v>0</v>
      </c>
      <c r="G663" s="108">
        <f t="shared" ca="1" si="36"/>
        <v>0</v>
      </c>
      <c r="H663" s="108">
        <f ca="1">IF($D663=1,$H662+1,IF($F663=1,$H662,IF($A663=Config!$A$2,$H662,0)))</f>
        <v>0</v>
      </c>
      <c r="M663" s="109"/>
    </row>
    <row r="664" spans="1:13" x14ac:dyDescent="0.3">
      <c r="A664" s="106">
        <f t="shared" ca="1" si="34"/>
        <v>46242</v>
      </c>
      <c r="B664" s="107">
        <f ca="1">SUMIFS('Daily Writing Log'!$H$5:$H$34,'Daily Writing Log'!$A$5:$A$34,$A664)</f>
        <v>0</v>
      </c>
      <c r="C664" s="107">
        <f ca="1">SUMIFS('Daily Writing Log'!$I$5:$I$34,'Daily Writing Log'!$A$5:$A$34,$A664)</f>
        <v>0</v>
      </c>
      <c r="D664" s="108">
        <f ca="1">IF($C664&gt;=Config!$B$5,1,0)</f>
        <v>0</v>
      </c>
      <c r="E664" s="108">
        <f t="shared" ca="1" si="35"/>
        <v>0</v>
      </c>
      <c r="F664" s="108">
        <f ca="1">IF(AND($D664=0,$H663&gt;0,$E664&lt;Config!$B$8,$A664&lt;Config!$A$2),1,0)</f>
        <v>0</v>
      </c>
      <c r="G664" s="108">
        <f t="shared" ca="1" si="36"/>
        <v>0</v>
      </c>
      <c r="H664" s="108">
        <f ca="1">IF($D664=1,$H663+1,IF($F664=1,$H663,IF($A664=Config!$A$2,$H663,0)))</f>
        <v>0</v>
      </c>
      <c r="M664" s="109"/>
    </row>
    <row r="665" spans="1:13" x14ac:dyDescent="0.3">
      <c r="A665" s="106">
        <f t="shared" ca="1" si="34"/>
        <v>46243</v>
      </c>
      <c r="B665" s="107">
        <f ca="1">SUMIFS('Daily Writing Log'!$H$5:$H$34,'Daily Writing Log'!$A$5:$A$34,$A665)</f>
        <v>0</v>
      </c>
      <c r="C665" s="107">
        <f ca="1">SUMIFS('Daily Writing Log'!$I$5:$I$34,'Daily Writing Log'!$A$5:$A$34,$A665)</f>
        <v>0</v>
      </c>
      <c r="D665" s="108">
        <f ca="1">IF($C665&gt;=Config!$B$5,1,0)</f>
        <v>0</v>
      </c>
      <c r="E665" s="108">
        <f t="shared" ca="1" si="35"/>
        <v>0</v>
      </c>
      <c r="F665" s="108">
        <f ca="1">IF(AND($D665=0,$H664&gt;0,$E665&lt;Config!$B$8,$A665&lt;Config!$A$2),1,0)</f>
        <v>0</v>
      </c>
      <c r="G665" s="108">
        <f t="shared" ca="1" si="36"/>
        <v>0</v>
      </c>
      <c r="H665" s="108">
        <f ca="1">IF($D665=1,$H664+1,IF($F665=1,$H664,IF($A665=Config!$A$2,$H664,0)))</f>
        <v>0</v>
      </c>
      <c r="M665" s="109"/>
    </row>
    <row r="666" spans="1:13" x14ac:dyDescent="0.3">
      <c r="A666" s="106">
        <f t="shared" ca="1" si="34"/>
        <v>46244</v>
      </c>
      <c r="B666" s="107">
        <f ca="1">SUMIFS('Daily Writing Log'!$H$5:$H$34,'Daily Writing Log'!$A$5:$A$34,$A666)</f>
        <v>0</v>
      </c>
      <c r="C666" s="107">
        <f ca="1">SUMIFS('Daily Writing Log'!$I$5:$I$34,'Daily Writing Log'!$A$5:$A$34,$A666)</f>
        <v>0</v>
      </c>
      <c r="D666" s="108">
        <f ca="1">IF($C666&gt;=Config!$B$5,1,0)</f>
        <v>0</v>
      </c>
      <c r="E666" s="108">
        <f t="shared" ca="1" si="35"/>
        <v>0</v>
      </c>
      <c r="F666" s="108">
        <f ca="1">IF(AND($D666=0,$H665&gt;0,$E666&lt;Config!$B$8,$A666&lt;Config!$A$2),1,0)</f>
        <v>0</v>
      </c>
      <c r="G666" s="108">
        <f t="shared" ca="1" si="36"/>
        <v>0</v>
      </c>
      <c r="H666" s="108">
        <f ca="1">IF($D666=1,$H665+1,IF($F666=1,$H665,IF($A666=Config!$A$2,$H665,0)))</f>
        <v>0</v>
      </c>
      <c r="M666" s="109"/>
    </row>
    <row r="667" spans="1:13" x14ac:dyDescent="0.3">
      <c r="A667" s="106">
        <f t="shared" ca="1" si="34"/>
        <v>46245</v>
      </c>
      <c r="B667" s="107">
        <f ca="1">SUMIFS('Daily Writing Log'!$H$5:$H$34,'Daily Writing Log'!$A$5:$A$34,$A667)</f>
        <v>0</v>
      </c>
      <c r="C667" s="107">
        <f ca="1">SUMIFS('Daily Writing Log'!$I$5:$I$34,'Daily Writing Log'!$A$5:$A$34,$A667)</f>
        <v>0</v>
      </c>
      <c r="D667" s="108">
        <f ca="1">IF($C667&gt;=Config!$B$5,1,0)</f>
        <v>0</v>
      </c>
      <c r="E667" s="108">
        <f t="shared" ca="1" si="35"/>
        <v>0</v>
      </c>
      <c r="F667" s="108">
        <f ca="1">IF(AND($D667=0,$H666&gt;0,$E667&lt;Config!$B$8,$A667&lt;Config!$A$2),1,0)</f>
        <v>0</v>
      </c>
      <c r="G667" s="108">
        <f t="shared" ca="1" si="36"/>
        <v>0</v>
      </c>
      <c r="H667" s="108">
        <f ca="1">IF($D667=1,$H666+1,IF($F667=1,$H666,IF($A667=Config!$A$2,$H666,0)))</f>
        <v>0</v>
      </c>
      <c r="M667" s="109"/>
    </row>
    <row r="668" spans="1:13" x14ac:dyDescent="0.3">
      <c r="A668" s="106">
        <f t="shared" ca="1" si="34"/>
        <v>46246</v>
      </c>
      <c r="B668" s="107">
        <f ca="1">SUMIFS('Daily Writing Log'!$H$5:$H$34,'Daily Writing Log'!$A$5:$A$34,$A668)</f>
        <v>0</v>
      </c>
      <c r="C668" s="107">
        <f ca="1">SUMIFS('Daily Writing Log'!$I$5:$I$34,'Daily Writing Log'!$A$5:$A$34,$A668)</f>
        <v>0</v>
      </c>
      <c r="D668" s="108">
        <f ca="1">IF($C668&gt;=Config!$B$5,1,0)</f>
        <v>0</v>
      </c>
      <c r="E668" s="108">
        <f t="shared" ca="1" si="35"/>
        <v>0</v>
      </c>
      <c r="F668" s="108">
        <f ca="1">IF(AND($D668=0,$H667&gt;0,$E668&lt;Config!$B$8,$A668&lt;Config!$A$2),1,0)</f>
        <v>0</v>
      </c>
      <c r="G668" s="108">
        <f t="shared" ca="1" si="36"/>
        <v>0</v>
      </c>
      <c r="H668" s="108">
        <f ca="1">IF($D668=1,$H667+1,IF($F668=1,$H667,IF($A668=Config!$A$2,$H667,0)))</f>
        <v>0</v>
      </c>
      <c r="M668" s="109"/>
    </row>
    <row r="669" spans="1:13" x14ac:dyDescent="0.3">
      <c r="A669" s="106">
        <f t="shared" ca="1" si="34"/>
        <v>46247</v>
      </c>
      <c r="B669" s="107">
        <f ca="1">SUMIFS('Daily Writing Log'!$H$5:$H$34,'Daily Writing Log'!$A$5:$A$34,$A669)</f>
        <v>0</v>
      </c>
      <c r="C669" s="107">
        <f ca="1">SUMIFS('Daily Writing Log'!$I$5:$I$34,'Daily Writing Log'!$A$5:$A$34,$A669)</f>
        <v>0</v>
      </c>
      <c r="D669" s="108">
        <f ca="1">IF($C669&gt;=Config!$B$5,1,0)</f>
        <v>0</v>
      </c>
      <c r="E669" s="108">
        <f t="shared" ca="1" si="35"/>
        <v>0</v>
      </c>
      <c r="F669" s="108">
        <f ca="1">IF(AND($D669=0,$H668&gt;0,$E669&lt;Config!$B$8,$A669&lt;Config!$A$2),1,0)</f>
        <v>0</v>
      </c>
      <c r="G669" s="108">
        <f t="shared" ca="1" si="36"/>
        <v>0</v>
      </c>
      <c r="H669" s="108">
        <f ca="1">IF($D669=1,$H668+1,IF($F669=1,$H668,IF($A669=Config!$A$2,$H668,0)))</f>
        <v>0</v>
      </c>
      <c r="M669" s="109"/>
    </row>
    <row r="670" spans="1:13" x14ac:dyDescent="0.3">
      <c r="A670" s="106">
        <f t="shared" ca="1" si="34"/>
        <v>46248</v>
      </c>
      <c r="B670" s="107">
        <f ca="1">SUMIFS('Daily Writing Log'!$H$5:$H$34,'Daily Writing Log'!$A$5:$A$34,$A670)</f>
        <v>0</v>
      </c>
      <c r="C670" s="107">
        <f ca="1">SUMIFS('Daily Writing Log'!$I$5:$I$34,'Daily Writing Log'!$A$5:$A$34,$A670)</f>
        <v>0</v>
      </c>
      <c r="D670" s="108">
        <f ca="1">IF($C670&gt;=Config!$B$5,1,0)</f>
        <v>0</v>
      </c>
      <c r="E670" s="108">
        <f t="shared" ca="1" si="35"/>
        <v>0</v>
      </c>
      <c r="F670" s="108">
        <f ca="1">IF(AND($D670=0,$H669&gt;0,$E670&lt;Config!$B$8,$A670&lt;Config!$A$2),1,0)</f>
        <v>0</v>
      </c>
      <c r="G670" s="108">
        <f t="shared" ca="1" si="36"/>
        <v>0</v>
      </c>
      <c r="H670" s="108">
        <f ca="1">IF($D670=1,$H669+1,IF($F670=1,$H669,IF($A670=Config!$A$2,$H669,0)))</f>
        <v>0</v>
      </c>
      <c r="M670" s="109"/>
    </row>
    <row r="671" spans="1:13" x14ac:dyDescent="0.3">
      <c r="A671" s="106">
        <f t="shared" ca="1" si="34"/>
        <v>46249</v>
      </c>
      <c r="B671" s="107">
        <f ca="1">SUMIFS('Daily Writing Log'!$H$5:$H$34,'Daily Writing Log'!$A$5:$A$34,$A671)</f>
        <v>0</v>
      </c>
      <c r="C671" s="107">
        <f ca="1">SUMIFS('Daily Writing Log'!$I$5:$I$34,'Daily Writing Log'!$A$5:$A$34,$A671)</f>
        <v>0</v>
      </c>
      <c r="D671" s="108">
        <f ca="1">IF($C671&gt;=Config!$B$5,1,0)</f>
        <v>0</v>
      </c>
      <c r="E671" s="108">
        <f t="shared" ca="1" si="35"/>
        <v>0</v>
      </c>
      <c r="F671" s="108">
        <f ca="1">IF(AND($D671=0,$H670&gt;0,$E671&lt;Config!$B$8,$A671&lt;Config!$A$2),1,0)</f>
        <v>0</v>
      </c>
      <c r="G671" s="108">
        <f t="shared" ca="1" si="36"/>
        <v>0</v>
      </c>
      <c r="H671" s="108">
        <f ca="1">IF($D671=1,$H670+1,IF($F671=1,$H670,IF($A671=Config!$A$2,$H670,0)))</f>
        <v>0</v>
      </c>
      <c r="M671" s="109"/>
    </row>
    <row r="672" spans="1:13" x14ac:dyDescent="0.3">
      <c r="A672" s="106">
        <f t="shared" ca="1" si="34"/>
        <v>46250</v>
      </c>
      <c r="B672" s="107">
        <f ca="1">SUMIFS('Daily Writing Log'!$H$5:$H$34,'Daily Writing Log'!$A$5:$A$34,$A672)</f>
        <v>0</v>
      </c>
      <c r="C672" s="107">
        <f ca="1">SUMIFS('Daily Writing Log'!$I$5:$I$34,'Daily Writing Log'!$A$5:$A$34,$A672)</f>
        <v>0</v>
      </c>
      <c r="D672" s="108">
        <f ca="1">IF($C672&gt;=Config!$B$5,1,0)</f>
        <v>0</v>
      </c>
      <c r="E672" s="108">
        <f t="shared" ca="1" si="35"/>
        <v>0</v>
      </c>
      <c r="F672" s="108">
        <f ca="1">IF(AND($D672=0,$H671&gt;0,$E672&lt;Config!$B$8,$A672&lt;Config!$A$2),1,0)</f>
        <v>0</v>
      </c>
      <c r="G672" s="108">
        <f t="shared" ca="1" si="36"/>
        <v>0</v>
      </c>
      <c r="H672" s="108">
        <f ca="1">IF($D672=1,$H671+1,IF($F672=1,$H671,IF($A672=Config!$A$2,$H671,0)))</f>
        <v>0</v>
      </c>
      <c r="M672" s="109"/>
    </row>
    <row r="673" spans="1:13" x14ac:dyDescent="0.3">
      <c r="A673" s="106">
        <f t="shared" ca="1" si="34"/>
        <v>46251</v>
      </c>
      <c r="B673" s="107">
        <f ca="1">SUMIFS('Daily Writing Log'!$H$5:$H$34,'Daily Writing Log'!$A$5:$A$34,$A673)</f>
        <v>0</v>
      </c>
      <c r="C673" s="107">
        <f ca="1">SUMIFS('Daily Writing Log'!$I$5:$I$34,'Daily Writing Log'!$A$5:$A$34,$A673)</f>
        <v>0</v>
      </c>
      <c r="D673" s="108">
        <f ca="1">IF($C673&gt;=Config!$B$5,1,0)</f>
        <v>0</v>
      </c>
      <c r="E673" s="108">
        <f t="shared" ca="1" si="35"/>
        <v>0</v>
      </c>
      <c r="F673" s="108">
        <f ca="1">IF(AND($D673=0,$H672&gt;0,$E673&lt;Config!$B$8,$A673&lt;Config!$A$2),1,0)</f>
        <v>0</v>
      </c>
      <c r="G673" s="108">
        <f t="shared" ca="1" si="36"/>
        <v>0</v>
      </c>
      <c r="H673" s="108">
        <f ca="1">IF($D673=1,$H672+1,IF($F673=1,$H672,IF($A673=Config!$A$2,$H672,0)))</f>
        <v>0</v>
      </c>
      <c r="M673" s="109"/>
    </row>
    <row r="674" spans="1:13" x14ac:dyDescent="0.3">
      <c r="A674" s="106">
        <f t="shared" ca="1" si="34"/>
        <v>46252</v>
      </c>
      <c r="B674" s="107">
        <f ca="1">SUMIFS('Daily Writing Log'!$H$5:$H$34,'Daily Writing Log'!$A$5:$A$34,$A674)</f>
        <v>0</v>
      </c>
      <c r="C674" s="107">
        <f ca="1">SUMIFS('Daily Writing Log'!$I$5:$I$34,'Daily Writing Log'!$A$5:$A$34,$A674)</f>
        <v>0</v>
      </c>
      <c r="D674" s="108">
        <f ca="1">IF($C674&gt;=Config!$B$5,1,0)</f>
        <v>0</v>
      </c>
      <c r="E674" s="108">
        <f t="shared" ca="1" si="35"/>
        <v>0</v>
      </c>
      <c r="F674" s="108">
        <f ca="1">IF(AND($D674=0,$H673&gt;0,$E674&lt;Config!$B$8,$A674&lt;Config!$A$2),1,0)</f>
        <v>0</v>
      </c>
      <c r="G674" s="108">
        <f t="shared" ca="1" si="36"/>
        <v>0</v>
      </c>
      <c r="H674" s="108">
        <f ca="1">IF($D674=1,$H673+1,IF($F674=1,$H673,IF($A674=Config!$A$2,$H673,0)))</f>
        <v>0</v>
      </c>
      <c r="M674" s="109"/>
    </row>
    <row r="675" spans="1:13" x14ac:dyDescent="0.3">
      <c r="A675" s="106">
        <f t="shared" ca="1" si="34"/>
        <v>46253</v>
      </c>
      <c r="B675" s="107">
        <f ca="1">SUMIFS('Daily Writing Log'!$H$5:$H$34,'Daily Writing Log'!$A$5:$A$34,$A675)</f>
        <v>0</v>
      </c>
      <c r="C675" s="107">
        <f ca="1">SUMIFS('Daily Writing Log'!$I$5:$I$34,'Daily Writing Log'!$A$5:$A$34,$A675)</f>
        <v>0</v>
      </c>
      <c r="D675" s="108">
        <f ca="1">IF($C675&gt;=Config!$B$5,1,0)</f>
        <v>0</v>
      </c>
      <c r="E675" s="108">
        <f t="shared" ca="1" si="35"/>
        <v>0</v>
      </c>
      <c r="F675" s="108">
        <f ca="1">IF(AND($D675=0,$H674&gt;0,$E675&lt;Config!$B$8,$A675&lt;Config!$A$2),1,0)</f>
        <v>0</v>
      </c>
      <c r="G675" s="108">
        <f t="shared" ca="1" si="36"/>
        <v>0</v>
      </c>
      <c r="H675" s="108">
        <f ca="1">IF($D675=1,$H674+1,IF($F675=1,$H674,IF($A675=Config!$A$2,$H674,0)))</f>
        <v>0</v>
      </c>
      <c r="M675" s="109"/>
    </row>
    <row r="676" spans="1:13" x14ac:dyDescent="0.3">
      <c r="A676" s="106">
        <f t="shared" ca="1" si="34"/>
        <v>46254</v>
      </c>
      <c r="B676" s="107">
        <f ca="1">SUMIFS('Daily Writing Log'!$H$5:$H$34,'Daily Writing Log'!$A$5:$A$34,$A676)</f>
        <v>0</v>
      </c>
      <c r="C676" s="107">
        <f ca="1">SUMIFS('Daily Writing Log'!$I$5:$I$34,'Daily Writing Log'!$A$5:$A$34,$A676)</f>
        <v>0</v>
      </c>
      <c r="D676" s="108">
        <f ca="1">IF($C676&gt;=Config!$B$5,1,0)</f>
        <v>0</v>
      </c>
      <c r="E676" s="108">
        <f t="shared" ca="1" si="35"/>
        <v>0</v>
      </c>
      <c r="F676" s="108">
        <f ca="1">IF(AND($D676=0,$H675&gt;0,$E676&lt;Config!$B$8,$A676&lt;Config!$A$2),1,0)</f>
        <v>0</v>
      </c>
      <c r="G676" s="108">
        <f t="shared" ca="1" si="36"/>
        <v>0</v>
      </c>
      <c r="H676" s="108">
        <f ca="1">IF($D676=1,$H675+1,IF($F676=1,$H675,IF($A676=Config!$A$2,$H675,0)))</f>
        <v>0</v>
      </c>
      <c r="M676" s="109"/>
    </row>
    <row r="677" spans="1:13" x14ac:dyDescent="0.3">
      <c r="A677" s="106">
        <f t="shared" ca="1" si="34"/>
        <v>46255</v>
      </c>
      <c r="B677" s="107">
        <f ca="1">SUMIFS('Daily Writing Log'!$H$5:$H$34,'Daily Writing Log'!$A$5:$A$34,$A677)</f>
        <v>0</v>
      </c>
      <c r="C677" s="107">
        <f ca="1">SUMIFS('Daily Writing Log'!$I$5:$I$34,'Daily Writing Log'!$A$5:$A$34,$A677)</f>
        <v>0</v>
      </c>
      <c r="D677" s="108">
        <f ca="1">IF($C677&gt;=Config!$B$5,1,0)</f>
        <v>0</v>
      </c>
      <c r="E677" s="108">
        <f t="shared" ca="1" si="35"/>
        <v>0</v>
      </c>
      <c r="F677" s="108">
        <f ca="1">IF(AND($D677=0,$H676&gt;0,$E677&lt;Config!$B$8,$A677&lt;Config!$A$2),1,0)</f>
        <v>0</v>
      </c>
      <c r="G677" s="108">
        <f t="shared" ca="1" si="36"/>
        <v>0</v>
      </c>
      <c r="H677" s="108">
        <f ca="1">IF($D677=1,$H676+1,IF($F677=1,$H676,IF($A677=Config!$A$2,$H676,0)))</f>
        <v>0</v>
      </c>
      <c r="M677" s="109"/>
    </row>
    <row r="678" spans="1:13" x14ac:dyDescent="0.3">
      <c r="A678" s="106">
        <f t="shared" ca="1" si="34"/>
        <v>46256</v>
      </c>
      <c r="B678" s="107">
        <f ca="1">SUMIFS('Daily Writing Log'!$H$5:$H$34,'Daily Writing Log'!$A$5:$A$34,$A678)</f>
        <v>0</v>
      </c>
      <c r="C678" s="107">
        <f ca="1">SUMIFS('Daily Writing Log'!$I$5:$I$34,'Daily Writing Log'!$A$5:$A$34,$A678)</f>
        <v>0</v>
      </c>
      <c r="D678" s="108">
        <f ca="1">IF($C678&gt;=Config!$B$5,1,0)</f>
        <v>0</v>
      </c>
      <c r="E678" s="108">
        <f t="shared" ca="1" si="35"/>
        <v>0</v>
      </c>
      <c r="F678" s="108">
        <f ca="1">IF(AND($D678=0,$H677&gt;0,$E678&lt;Config!$B$8,$A678&lt;Config!$A$2),1,0)</f>
        <v>0</v>
      </c>
      <c r="G678" s="108">
        <f t="shared" ca="1" si="36"/>
        <v>0</v>
      </c>
      <c r="H678" s="108">
        <f ca="1">IF($D678=1,$H677+1,IF($F678=1,$H677,IF($A678=Config!$A$2,$H677,0)))</f>
        <v>0</v>
      </c>
      <c r="M678" s="109"/>
    </row>
    <row r="679" spans="1:13" x14ac:dyDescent="0.3">
      <c r="A679" s="106">
        <f t="shared" ca="1" si="34"/>
        <v>46257</v>
      </c>
      <c r="B679" s="107">
        <f ca="1">SUMIFS('Daily Writing Log'!$H$5:$H$34,'Daily Writing Log'!$A$5:$A$34,$A679)</f>
        <v>0</v>
      </c>
      <c r="C679" s="107">
        <f ca="1">SUMIFS('Daily Writing Log'!$I$5:$I$34,'Daily Writing Log'!$A$5:$A$34,$A679)</f>
        <v>0</v>
      </c>
      <c r="D679" s="108">
        <f ca="1">IF($C679&gt;=Config!$B$5,1,0)</f>
        <v>0</v>
      </c>
      <c r="E679" s="108">
        <f t="shared" ca="1" si="35"/>
        <v>0</v>
      </c>
      <c r="F679" s="108">
        <f ca="1">IF(AND($D679=0,$H678&gt;0,$E679&lt;Config!$B$8,$A679&lt;Config!$A$2),1,0)</f>
        <v>0</v>
      </c>
      <c r="G679" s="108">
        <f t="shared" ca="1" si="36"/>
        <v>0</v>
      </c>
      <c r="H679" s="108">
        <f ca="1">IF($D679=1,$H678+1,IF($F679=1,$H678,IF($A679=Config!$A$2,$H678,0)))</f>
        <v>0</v>
      </c>
      <c r="M679" s="109"/>
    </row>
    <row r="680" spans="1:13" x14ac:dyDescent="0.3">
      <c r="A680" s="106">
        <f t="shared" ca="1" si="34"/>
        <v>46258</v>
      </c>
      <c r="B680" s="107">
        <f ca="1">SUMIFS('Daily Writing Log'!$H$5:$H$34,'Daily Writing Log'!$A$5:$A$34,$A680)</f>
        <v>0</v>
      </c>
      <c r="C680" s="107">
        <f ca="1">SUMIFS('Daily Writing Log'!$I$5:$I$34,'Daily Writing Log'!$A$5:$A$34,$A680)</f>
        <v>0</v>
      </c>
      <c r="D680" s="108">
        <f ca="1">IF($C680&gt;=Config!$B$5,1,0)</f>
        <v>0</v>
      </c>
      <c r="E680" s="108">
        <f t="shared" ca="1" si="35"/>
        <v>0</v>
      </c>
      <c r="F680" s="108">
        <f ca="1">IF(AND($D680=0,$H679&gt;0,$E680&lt;Config!$B$8,$A680&lt;Config!$A$2),1,0)</f>
        <v>0</v>
      </c>
      <c r="G680" s="108">
        <f t="shared" ca="1" si="36"/>
        <v>0</v>
      </c>
      <c r="H680" s="108">
        <f ca="1">IF($D680=1,$H679+1,IF($F680=1,$H679,IF($A680=Config!$A$2,$H679,0)))</f>
        <v>0</v>
      </c>
      <c r="M680" s="109"/>
    </row>
    <row r="681" spans="1:13" x14ac:dyDescent="0.3">
      <c r="A681" s="106">
        <f t="shared" ca="1" si="34"/>
        <v>46259</v>
      </c>
      <c r="B681" s="107">
        <f ca="1">SUMIFS('Daily Writing Log'!$H$5:$H$34,'Daily Writing Log'!$A$5:$A$34,$A681)</f>
        <v>0</v>
      </c>
      <c r="C681" s="107">
        <f ca="1">SUMIFS('Daily Writing Log'!$I$5:$I$34,'Daily Writing Log'!$A$5:$A$34,$A681)</f>
        <v>0</v>
      </c>
      <c r="D681" s="108">
        <f ca="1">IF($C681&gt;=Config!$B$5,1,0)</f>
        <v>0</v>
      </c>
      <c r="E681" s="108">
        <f t="shared" ca="1" si="35"/>
        <v>0</v>
      </c>
      <c r="F681" s="108">
        <f ca="1">IF(AND($D681=0,$H680&gt;0,$E681&lt;Config!$B$8,$A681&lt;Config!$A$2),1,0)</f>
        <v>0</v>
      </c>
      <c r="G681" s="108">
        <f t="shared" ca="1" si="36"/>
        <v>0</v>
      </c>
      <c r="H681" s="108">
        <f ca="1">IF($D681=1,$H680+1,IF($F681=1,$H680,IF($A681=Config!$A$2,$H680,0)))</f>
        <v>0</v>
      </c>
      <c r="M681" s="109"/>
    </row>
    <row r="682" spans="1:13" x14ac:dyDescent="0.3">
      <c r="A682" s="106">
        <f t="shared" ca="1" si="34"/>
        <v>46260</v>
      </c>
      <c r="B682" s="107">
        <f ca="1">SUMIFS('Daily Writing Log'!$H$5:$H$34,'Daily Writing Log'!$A$5:$A$34,$A682)</f>
        <v>0</v>
      </c>
      <c r="C682" s="107">
        <f ca="1">SUMIFS('Daily Writing Log'!$I$5:$I$34,'Daily Writing Log'!$A$5:$A$34,$A682)</f>
        <v>0</v>
      </c>
      <c r="D682" s="108">
        <f ca="1">IF($C682&gt;=Config!$B$5,1,0)</f>
        <v>0</v>
      </c>
      <c r="E682" s="108">
        <f t="shared" ca="1" si="35"/>
        <v>0</v>
      </c>
      <c r="F682" s="108">
        <f ca="1">IF(AND($D682=0,$H681&gt;0,$E682&lt;Config!$B$8,$A682&lt;Config!$A$2),1,0)</f>
        <v>0</v>
      </c>
      <c r="G682" s="108">
        <f t="shared" ca="1" si="36"/>
        <v>0</v>
      </c>
      <c r="H682" s="108">
        <f ca="1">IF($D682=1,$H681+1,IF($F682=1,$H681,IF($A682=Config!$A$2,$H681,0)))</f>
        <v>0</v>
      </c>
      <c r="M682" s="109"/>
    </row>
    <row r="683" spans="1:13" x14ac:dyDescent="0.3">
      <c r="A683" s="106">
        <f t="shared" ca="1" si="34"/>
        <v>46261</v>
      </c>
      <c r="B683" s="107">
        <f ca="1">SUMIFS('Daily Writing Log'!$H$5:$H$34,'Daily Writing Log'!$A$5:$A$34,$A683)</f>
        <v>0</v>
      </c>
      <c r="C683" s="107">
        <f ca="1">SUMIFS('Daily Writing Log'!$I$5:$I$34,'Daily Writing Log'!$A$5:$A$34,$A683)</f>
        <v>0</v>
      </c>
      <c r="D683" s="108">
        <f ca="1">IF($C683&gt;=Config!$B$5,1,0)</f>
        <v>0</v>
      </c>
      <c r="E683" s="108">
        <f t="shared" ca="1" si="35"/>
        <v>0</v>
      </c>
      <c r="F683" s="108">
        <f ca="1">IF(AND($D683=0,$H682&gt;0,$E683&lt;Config!$B$8,$A683&lt;Config!$A$2),1,0)</f>
        <v>0</v>
      </c>
      <c r="G683" s="108">
        <f t="shared" ca="1" si="36"/>
        <v>0</v>
      </c>
      <c r="H683" s="108">
        <f ca="1">IF($D683=1,$H682+1,IF($F683=1,$H682,IF($A683=Config!$A$2,$H682,0)))</f>
        <v>0</v>
      </c>
      <c r="M683" s="109"/>
    </row>
    <row r="684" spans="1:13" x14ac:dyDescent="0.3">
      <c r="A684" s="106">
        <f t="shared" ca="1" si="34"/>
        <v>46262</v>
      </c>
      <c r="B684" s="107">
        <f ca="1">SUMIFS('Daily Writing Log'!$H$5:$H$34,'Daily Writing Log'!$A$5:$A$34,$A684)</f>
        <v>0</v>
      </c>
      <c r="C684" s="107">
        <f ca="1">SUMIFS('Daily Writing Log'!$I$5:$I$34,'Daily Writing Log'!$A$5:$A$34,$A684)</f>
        <v>0</v>
      </c>
      <c r="D684" s="108">
        <f ca="1">IF($C684&gt;=Config!$B$5,1,0)</f>
        <v>0</v>
      </c>
      <c r="E684" s="108">
        <f t="shared" ca="1" si="35"/>
        <v>0</v>
      </c>
      <c r="F684" s="108">
        <f ca="1">IF(AND($D684=0,$H683&gt;0,$E684&lt;Config!$B$8,$A684&lt;Config!$A$2),1,0)</f>
        <v>0</v>
      </c>
      <c r="G684" s="108">
        <f t="shared" ca="1" si="36"/>
        <v>0</v>
      </c>
      <c r="H684" s="108">
        <f ca="1">IF($D684=1,$H683+1,IF($F684=1,$H683,IF($A684=Config!$A$2,$H683,0)))</f>
        <v>0</v>
      </c>
      <c r="M684" s="109"/>
    </row>
    <row r="685" spans="1:13" x14ac:dyDescent="0.3">
      <c r="A685" s="106">
        <f t="shared" ca="1" si="34"/>
        <v>46263</v>
      </c>
      <c r="B685" s="107">
        <f ca="1">SUMIFS('Daily Writing Log'!$H$5:$H$34,'Daily Writing Log'!$A$5:$A$34,$A685)</f>
        <v>0</v>
      </c>
      <c r="C685" s="107">
        <f ca="1">SUMIFS('Daily Writing Log'!$I$5:$I$34,'Daily Writing Log'!$A$5:$A$34,$A685)</f>
        <v>0</v>
      </c>
      <c r="D685" s="108">
        <f ca="1">IF($C685&gt;=Config!$B$5,1,0)</f>
        <v>0</v>
      </c>
      <c r="E685" s="108">
        <f t="shared" ca="1" si="35"/>
        <v>0</v>
      </c>
      <c r="F685" s="108">
        <f ca="1">IF(AND($D685=0,$H684&gt;0,$E685&lt;Config!$B$8,$A685&lt;Config!$A$2),1,0)</f>
        <v>0</v>
      </c>
      <c r="G685" s="108">
        <f t="shared" ca="1" si="36"/>
        <v>0</v>
      </c>
      <c r="H685" s="108">
        <f ca="1">IF($D685=1,$H684+1,IF($F685=1,$H684,IF($A685=Config!$A$2,$H684,0)))</f>
        <v>0</v>
      </c>
      <c r="M685" s="109"/>
    </row>
    <row r="686" spans="1:13" x14ac:dyDescent="0.3">
      <c r="A686" s="106">
        <f t="shared" ca="1" si="34"/>
        <v>46264</v>
      </c>
      <c r="B686" s="107">
        <f ca="1">SUMIFS('Daily Writing Log'!$H$5:$H$34,'Daily Writing Log'!$A$5:$A$34,$A686)</f>
        <v>0</v>
      </c>
      <c r="C686" s="107">
        <f ca="1">SUMIFS('Daily Writing Log'!$I$5:$I$34,'Daily Writing Log'!$A$5:$A$34,$A686)</f>
        <v>0</v>
      </c>
      <c r="D686" s="108">
        <f ca="1">IF($C686&gt;=Config!$B$5,1,0)</f>
        <v>0</v>
      </c>
      <c r="E686" s="108">
        <f t="shared" ca="1" si="35"/>
        <v>0</v>
      </c>
      <c r="F686" s="108">
        <f ca="1">IF(AND($D686=0,$H685&gt;0,$E686&lt;Config!$B$8,$A686&lt;Config!$A$2),1,0)</f>
        <v>0</v>
      </c>
      <c r="G686" s="108">
        <f t="shared" ca="1" si="36"/>
        <v>0</v>
      </c>
      <c r="H686" s="108">
        <f ca="1">IF($D686=1,$H685+1,IF($F686=1,$H685,IF($A686=Config!$A$2,$H685,0)))</f>
        <v>0</v>
      </c>
      <c r="M686" s="109"/>
    </row>
    <row r="687" spans="1:13" x14ac:dyDescent="0.3">
      <c r="A687" s="106">
        <f t="shared" ca="1" si="34"/>
        <v>46265</v>
      </c>
      <c r="B687" s="107">
        <f ca="1">SUMIFS('Daily Writing Log'!$H$5:$H$34,'Daily Writing Log'!$A$5:$A$34,$A687)</f>
        <v>0</v>
      </c>
      <c r="C687" s="107">
        <f ca="1">SUMIFS('Daily Writing Log'!$I$5:$I$34,'Daily Writing Log'!$A$5:$A$34,$A687)</f>
        <v>0</v>
      </c>
      <c r="D687" s="108">
        <f ca="1">IF($C687&gt;=Config!$B$5,1,0)</f>
        <v>0</v>
      </c>
      <c r="E687" s="108">
        <f t="shared" ca="1" si="35"/>
        <v>0</v>
      </c>
      <c r="F687" s="108">
        <f ca="1">IF(AND($D687=0,$H686&gt;0,$E687&lt;Config!$B$8,$A687&lt;Config!$A$2),1,0)</f>
        <v>0</v>
      </c>
      <c r="G687" s="108">
        <f t="shared" ca="1" si="36"/>
        <v>0</v>
      </c>
      <c r="H687" s="108">
        <f ca="1">IF($D687=1,$H686+1,IF($F687=1,$H686,IF($A687=Config!$A$2,$H686,0)))</f>
        <v>0</v>
      </c>
      <c r="M687" s="109"/>
    </row>
    <row r="688" spans="1:13" x14ac:dyDescent="0.3">
      <c r="A688" s="106">
        <f t="shared" ca="1" si="34"/>
        <v>46266</v>
      </c>
      <c r="B688" s="107">
        <f ca="1">SUMIFS('Daily Writing Log'!$H$5:$H$34,'Daily Writing Log'!$A$5:$A$34,$A688)</f>
        <v>0</v>
      </c>
      <c r="C688" s="107">
        <f ca="1">SUMIFS('Daily Writing Log'!$I$5:$I$34,'Daily Writing Log'!$A$5:$A$34,$A688)</f>
        <v>0</v>
      </c>
      <c r="D688" s="108">
        <f ca="1">IF($C688&gt;=Config!$B$5,1,0)</f>
        <v>0</v>
      </c>
      <c r="E688" s="108">
        <f t="shared" ca="1" si="35"/>
        <v>0</v>
      </c>
      <c r="F688" s="108">
        <f ca="1">IF(AND($D688=0,$H687&gt;0,$E688&lt;Config!$B$8,$A688&lt;Config!$A$2),1,0)</f>
        <v>0</v>
      </c>
      <c r="G688" s="108">
        <f t="shared" ca="1" si="36"/>
        <v>0</v>
      </c>
      <c r="H688" s="108">
        <f ca="1">IF($D688=1,$H687+1,IF($F688=1,$H687,IF($A688=Config!$A$2,$H687,0)))</f>
        <v>0</v>
      </c>
      <c r="M688" s="109"/>
    </row>
    <row r="689" spans="1:13" x14ac:dyDescent="0.3">
      <c r="A689" s="106">
        <f t="shared" ca="1" si="34"/>
        <v>46267</v>
      </c>
      <c r="B689" s="107">
        <f ca="1">SUMIFS('Daily Writing Log'!$H$5:$H$34,'Daily Writing Log'!$A$5:$A$34,$A689)</f>
        <v>0</v>
      </c>
      <c r="C689" s="107">
        <f ca="1">SUMIFS('Daily Writing Log'!$I$5:$I$34,'Daily Writing Log'!$A$5:$A$34,$A689)</f>
        <v>0</v>
      </c>
      <c r="D689" s="108">
        <f ca="1">IF($C689&gt;=Config!$B$5,1,0)</f>
        <v>0</v>
      </c>
      <c r="E689" s="108">
        <f t="shared" ca="1" si="35"/>
        <v>0</v>
      </c>
      <c r="F689" s="108">
        <f ca="1">IF(AND($D689=0,$H688&gt;0,$E689&lt;Config!$B$8,$A689&lt;Config!$A$2),1,0)</f>
        <v>0</v>
      </c>
      <c r="G689" s="108">
        <f t="shared" ca="1" si="36"/>
        <v>0</v>
      </c>
      <c r="H689" s="108">
        <f ca="1">IF($D689=1,$H688+1,IF($F689=1,$H688,IF($A689=Config!$A$2,$H688,0)))</f>
        <v>0</v>
      </c>
      <c r="M689" s="109"/>
    </row>
    <row r="690" spans="1:13" x14ac:dyDescent="0.3">
      <c r="A690" s="106">
        <f t="shared" ca="1" si="34"/>
        <v>46268</v>
      </c>
      <c r="B690" s="107">
        <f ca="1">SUMIFS('Daily Writing Log'!$H$5:$H$34,'Daily Writing Log'!$A$5:$A$34,$A690)</f>
        <v>0</v>
      </c>
      <c r="C690" s="107">
        <f ca="1">SUMIFS('Daily Writing Log'!$I$5:$I$34,'Daily Writing Log'!$A$5:$A$34,$A690)</f>
        <v>0</v>
      </c>
      <c r="D690" s="108">
        <f ca="1">IF($C690&gt;=Config!$B$5,1,0)</f>
        <v>0</v>
      </c>
      <c r="E690" s="108">
        <f t="shared" ca="1" si="35"/>
        <v>0</v>
      </c>
      <c r="F690" s="108">
        <f ca="1">IF(AND($D690=0,$H689&gt;0,$E690&lt;Config!$B$8,$A690&lt;Config!$A$2),1,0)</f>
        <v>0</v>
      </c>
      <c r="G690" s="108">
        <f t="shared" ca="1" si="36"/>
        <v>0</v>
      </c>
      <c r="H690" s="108">
        <f ca="1">IF($D690=1,$H689+1,IF($F690=1,$H689,IF($A690=Config!$A$2,$H689,0)))</f>
        <v>0</v>
      </c>
      <c r="M690" s="109"/>
    </row>
    <row r="691" spans="1:13" x14ac:dyDescent="0.3">
      <c r="A691" s="106">
        <f t="shared" ca="1" si="34"/>
        <v>46269</v>
      </c>
      <c r="B691" s="107">
        <f ca="1">SUMIFS('Daily Writing Log'!$H$5:$H$34,'Daily Writing Log'!$A$5:$A$34,$A691)</f>
        <v>0</v>
      </c>
      <c r="C691" s="107">
        <f ca="1">SUMIFS('Daily Writing Log'!$I$5:$I$34,'Daily Writing Log'!$A$5:$A$34,$A691)</f>
        <v>0</v>
      </c>
      <c r="D691" s="108">
        <f ca="1">IF($C691&gt;=Config!$B$5,1,0)</f>
        <v>0</v>
      </c>
      <c r="E691" s="108">
        <f t="shared" ca="1" si="35"/>
        <v>0</v>
      </c>
      <c r="F691" s="108">
        <f ca="1">IF(AND($D691=0,$H690&gt;0,$E691&lt;Config!$B$8,$A691&lt;Config!$A$2),1,0)</f>
        <v>0</v>
      </c>
      <c r="G691" s="108">
        <f t="shared" ca="1" si="36"/>
        <v>0</v>
      </c>
      <c r="H691" s="108">
        <f ca="1">IF($D691=1,$H690+1,IF($F691=1,$H690,IF($A691=Config!$A$2,$H690,0)))</f>
        <v>0</v>
      </c>
      <c r="M691" s="109"/>
    </row>
    <row r="692" spans="1:13" x14ac:dyDescent="0.3">
      <c r="A692" s="106">
        <f t="shared" ca="1" si="34"/>
        <v>46270</v>
      </c>
      <c r="B692" s="107">
        <f ca="1">SUMIFS('Daily Writing Log'!$H$5:$H$34,'Daily Writing Log'!$A$5:$A$34,$A692)</f>
        <v>0</v>
      </c>
      <c r="C692" s="107">
        <f ca="1">SUMIFS('Daily Writing Log'!$I$5:$I$34,'Daily Writing Log'!$A$5:$A$34,$A692)</f>
        <v>0</v>
      </c>
      <c r="D692" s="108">
        <f ca="1">IF($C692&gt;=Config!$B$5,1,0)</f>
        <v>0</v>
      </c>
      <c r="E692" s="108">
        <f t="shared" ca="1" si="35"/>
        <v>0</v>
      </c>
      <c r="F692" s="108">
        <f ca="1">IF(AND($D692=0,$H691&gt;0,$E692&lt;Config!$B$8,$A692&lt;Config!$A$2),1,0)</f>
        <v>0</v>
      </c>
      <c r="G692" s="108">
        <f t="shared" ca="1" si="36"/>
        <v>0</v>
      </c>
      <c r="H692" s="108">
        <f ca="1">IF($D692=1,$H691+1,IF($F692=1,$H691,IF($A692=Config!$A$2,$H691,0)))</f>
        <v>0</v>
      </c>
      <c r="M692" s="109"/>
    </row>
    <row r="693" spans="1:13" x14ac:dyDescent="0.3">
      <c r="A693" s="106">
        <f t="shared" ca="1" si="34"/>
        <v>46271</v>
      </c>
      <c r="B693" s="107">
        <f ca="1">SUMIFS('Daily Writing Log'!$H$5:$H$34,'Daily Writing Log'!$A$5:$A$34,$A693)</f>
        <v>0</v>
      </c>
      <c r="C693" s="107">
        <f ca="1">SUMIFS('Daily Writing Log'!$I$5:$I$34,'Daily Writing Log'!$A$5:$A$34,$A693)</f>
        <v>0</v>
      </c>
      <c r="D693" s="108">
        <f ca="1">IF($C693&gt;=Config!$B$5,1,0)</f>
        <v>0</v>
      </c>
      <c r="E693" s="108">
        <f t="shared" ca="1" si="35"/>
        <v>0</v>
      </c>
      <c r="F693" s="108">
        <f ca="1">IF(AND($D693=0,$H692&gt;0,$E693&lt;Config!$B$8,$A693&lt;Config!$A$2),1,0)</f>
        <v>0</v>
      </c>
      <c r="G693" s="108">
        <f t="shared" ca="1" si="36"/>
        <v>0</v>
      </c>
      <c r="H693" s="108">
        <f ca="1">IF($D693=1,$H692+1,IF($F693=1,$H692,IF($A693=Config!$A$2,$H692,0)))</f>
        <v>0</v>
      </c>
      <c r="M693" s="109"/>
    </row>
    <row r="694" spans="1:13" x14ac:dyDescent="0.3">
      <c r="A694" s="106">
        <f t="shared" ca="1" si="34"/>
        <v>46272</v>
      </c>
      <c r="B694" s="107">
        <f ca="1">SUMIFS('Daily Writing Log'!$H$5:$H$34,'Daily Writing Log'!$A$5:$A$34,$A694)</f>
        <v>0</v>
      </c>
      <c r="C694" s="107">
        <f ca="1">SUMIFS('Daily Writing Log'!$I$5:$I$34,'Daily Writing Log'!$A$5:$A$34,$A694)</f>
        <v>0</v>
      </c>
      <c r="D694" s="108">
        <f ca="1">IF($C694&gt;=Config!$B$5,1,0)</f>
        <v>0</v>
      </c>
      <c r="E694" s="108">
        <f t="shared" ca="1" si="35"/>
        <v>0</v>
      </c>
      <c r="F694" s="108">
        <f ca="1">IF(AND($D694=0,$H693&gt;0,$E694&lt;Config!$B$8,$A694&lt;Config!$A$2),1,0)</f>
        <v>0</v>
      </c>
      <c r="G694" s="108">
        <f t="shared" ca="1" si="36"/>
        <v>0</v>
      </c>
      <c r="H694" s="108">
        <f ca="1">IF($D694=1,$H693+1,IF($F694=1,$H693,IF($A694=Config!$A$2,$H693,0)))</f>
        <v>0</v>
      </c>
      <c r="M694" s="109"/>
    </row>
    <row r="695" spans="1:13" x14ac:dyDescent="0.3">
      <c r="A695" s="106">
        <f t="shared" ca="1" si="34"/>
        <v>46273</v>
      </c>
      <c r="B695" s="107">
        <f ca="1">SUMIFS('Daily Writing Log'!$H$5:$H$34,'Daily Writing Log'!$A$5:$A$34,$A695)</f>
        <v>0</v>
      </c>
      <c r="C695" s="107">
        <f ca="1">SUMIFS('Daily Writing Log'!$I$5:$I$34,'Daily Writing Log'!$A$5:$A$34,$A695)</f>
        <v>0</v>
      </c>
      <c r="D695" s="108">
        <f ca="1">IF($C695&gt;=Config!$B$5,1,0)</f>
        <v>0</v>
      </c>
      <c r="E695" s="108">
        <f t="shared" ca="1" si="35"/>
        <v>0</v>
      </c>
      <c r="F695" s="108">
        <f ca="1">IF(AND($D695=0,$H694&gt;0,$E695&lt;Config!$B$8,$A695&lt;Config!$A$2),1,0)</f>
        <v>0</v>
      </c>
      <c r="G695" s="108">
        <f t="shared" ca="1" si="36"/>
        <v>0</v>
      </c>
      <c r="H695" s="108">
        <f ca="1">IF($D695=1,$H694+1,IF($F695=1,$H694,IF($A695=Config!$A$2,$H694,0)))</f>
        <v>0</v>
      </c>
      <c r="M695" s="109"/>
    </row>
    <row r="696" spans="1:13" x14ac:dyDescent="0.3">
      <c r="A696" s="106">
        <f t="shared" ca="1" si="34"/>
        <v>46274</v>
      </c>
      <c r="B696" s="107">
        <f ca="1">SUMIFS('Daily Writing Log'!$H$5:$H$34,'Daily Writing Log'!$A$5:$A$34,$A696)</f>
        <v>0</v>
      </c>
      <c r="C696" s="107">
        <f ca="1">SUMIFS('Daily Writing Log'!$I$5:$I$34,'Daily Writing Log'!$A$5:$A$34,$A696)</f>
        <v>0</v>
      </c>
      <c r="D696" s="108">
        <f ca="1">IF($C696&gt;=Config!$B$5,1,0)</f>
        <v>0</v>
      </c>
      <c r="E696" s="108">
        <f t="shared" ca="1" si="35"/>
        <v>0</v>
      </c>
      <c r="F696" s="108">
        <f ca="1">IF(AND($D696=0,$H695&gt;0,$E696&lt;Config!$B$8,$A696&lt;Config!$A$2),1,0)</f>
        <v>0</v>
      </c>
      <c r="G696" s="108">
        <f t="shared" ca="1" si="36"/>
        <v>0</v>
      </c>
      <c r="H696" s="108">
        <f ca="1">IF($D696=1,$H695+1,IF($F696=1,$H695,IF($A696=Config!$A$2,$H695,0)))</f>
        <v>0</v>
      </c>
      <c r="M696" s="109"/>
    </row>
    <row r="697" spans="1:13" x14ac:dyDescent="0.3">
      <c r="A697" s="106">
        <f t="shared" ca="1" si="34"/>
        <v>46275</v>
      </c>
      <c r="B697" s="107">
        <f ca="1">SUMIFS('Daily Writing Log'!$H$5:$H$34,'Daily Writing Log'!$A$5:$A$34,$A697)</f>
        <v>0</v>
      </c>
      <c r="C697" s="107">
        <f ca="1">SUMIFS('Daily Writing Log'!$I$5:$I$34,'Daily Writing Log'!$A$5:$A$34,$A697)</f>
        <v>0</v>
      </c>
      <c r="D697" s="108">
        <f ca="1">IF($C697&gt;=Config!$B$5,1,0)</f>
        <v>0</v>
      </c>
      <c r="E697" s="108">
        <f t="shared" ca="1" si="35"/>
        <v>0</v>
      </c>
      <c r="F697" s="108">
        <f ca="1">IF(AND($D697=0,$H696&gt;0,$E697&lt;Config!$B$8,$A697&lt;Config!$A$2),1,0)</f>
        <v>0</v>
      </c>
      <c r="G697" s="108">
        <f t="shared" ca="1" si="36"/>
        <v>0</v>
      </c>
      <c r="H697" s="108">
        <f ca="1">IF($D697=1,$H696+1,IF($F697=1,$H696,IF($A697=Config!$A$2,$H696,0)))</f>
        <v>0</v>
      </c>
      <c r="M697" s="109"/>
    </row>
    <row r="698" spans="1:13" x14ac:dyDescent="0.3">
      <c r="A698" s="106">
        <f t="shared" ca="1" si="34"/>
        <v>46276</v>
      </c>
      <c r="B698" s="107">
        <f ca="1">SUMIFS('Daily Writing Log'!$H$5:$H$34,'Daily Writing Log'!$A$5:$A$34,$A698)</f>
        <v>0</v>
      </c>
      <c r="C698" s="107">
        <f ca="1">SUMIFS('Daily Writing Log'!$I$5:$I$34,'Daily Writing Log'!$A$5:$A$34,$A698)</f>
        <v>0</v>
      </c>
      <c r="D698" s="108">
        <f ca="1">IF($C698&gt;=Config!$B$5,1,0)</f>
        <v>0</v>
      </c>
      <c r="E698" s="108">
        <f t="shared" ca="1" si="35"/>
        <v>0</v>
      </c>
      <c r="F698" s="108">
        <f ca="1">IF(AND($D698=0,$H697&gt;0,$E698&lt;Config!$B$8,$A698&lt;Config!$A$2),1,0)</f>
        <v>0</v>
      </c>
      <c r="G698" s="108">
        <f t="shared" ca="1" si="36"/>
        <v>0</v>
      </c>
      <c r="H698" s="108">
        <f ca="1">IF($D698=1,$H697+1,IF($F698=1,$H697,IF($A698=Config!$A$2,$H697,0)))</f>
        <v>0</v>
      </c>
      <c r="M698" s="109"/>
    </row>
    <row r="699" spans="1:13" x14ac:dyDescent="0.3">
      <c r="A699" s="106">
        <f t="shared" ca="1" si="34"/>
        <v>46277</v>
      </c>
      <c r="B699" s="107">
        <f ca="1">SUMIFS('Daily Writing Log'!$H$5:$H$34,'Daily Writing Log'!$A$5:$A$34,$A699)</f>
        <v>0</v>
      </c>
      <c r="C699" s="107">
        <f ca="1">SUMIFS('Daily Writing Log'!$I$5:$I$34,'Daily Writing Log'!$A$5:$A$34,$A699)</f>
        <v>0</v>
      </c>
      <c r="D699" s="108">
        <f ca="1">IF($C699&gt;=Config!$B$5,1,0)</f>
        <v>0</v>
      </c>
      <c r="E699" s="108">
        <f t="shared" ca="1" si="35"/>
        <v>0</v>
      </c>
      <c r="F699" s="108">
        <f ca="1">IF(AND($D699=0,$H698&gt;0,$E699&lt;Config!$B$8,$A699&lt;Config!$A$2),1,0)</f>
        <v>0</v>
      </c>
      <c r="G699" s="108">
        <f t="shared" ca="1" si="36"/>
        <v>0</v>
      </c>
      <c r="H699" s="108">
        <f ca="1">IF($D699=1,$H698+1,IF($F699=1,$H698,IF($A699=Config!$A$2,$H698,0)))</f>
        <v>0</v>
      </c>
      <c r="M699" s="109"/>
    </row>
    <row r="700" spans="1:13" x14ac:dyDescent="0.3">
      <c r="A700" s="106">
        <f t="shared" ca="1" si="34"/>
        <v>46278</v>
      </c>
      <c r="B700" s="107">
        <f ca="1">SUMIFS('Daily Writing Log'!$H$5:$H$34,'Daily Writing Log'!$A$5:$A$34,$A700)</f>
        <v>0</v>
      </c>
      <c r="C700" s="107">
        <f ca="1">SUMIFS('Daily Writing Log'!$I$5:$I$34,'Daily Writing Log'!$A$5:$A$34,$A700)</f>
        <v>0</v>
      </c>
      <c r="D700" s="108">
        <f ca="1">IF($C700&gt;=Config!$B$5,1,0)</f>
        <v>0</v>
      </c>
      <c r="E700" s="108">
        <f t="shared" ca="1" si="35"/>
        <v>0</v>
      </c>
      <c r="F700" s="108">
        <f ca="1">IF(AND($D700=0,$H699&gt;0,$E700&lt;Config!$B$8,$A700&lt;Config!$A$2),1,0)</f>
        <v>0</v>
      </c>
      <c r="G700" s="108">
        <f t="shared" ca="1" si="36"/>
        <v>0</v>
      </c>
      <c r="H700" s="108">
        <f ca="1">IF($D700=1,$H699+1,IF($F700=1,$H699,IF($A700=Config!$A$2,$H699,0)))</f>
        <v>0</v>
      </c>
      <c r="M700" s="109"/>
    </row>
    <row r="701" spans="1:13" x14ac:dyDescent="0.3">
      <c r="A701" s="106">
        <f t="shared" ca="1" si="34"/>
        <v>46279</v>
      </c>
      <c r="B701" s="107">
        <f ca="1">SUMIFS('Daily Writing Log'!$H$5:$H$34,'Daily Writing Log'!$A$5:$A$34,$A701)</f>
        <v>0</v>
      </c>
      <c r="C701" s="107">
        <f ca="1">SUMIFS('Daily Writing Log'!$I$5:$I$34,'Daily Writing Log'!$A$5:$A$34,$A701)</f>
        <v>0</v>
      </c>
      <c r="D701" s="108">
        <f ca="1">IF($C701&gt;=Config!$B$5,1,0)</f>
        <v>0</v>
      </c>
      <c r="E701" s="108">
        <f t="shared" ca="1" si="35"/>
        <v>0</v>
      </c>
      <c r="F701" s="108">
        <f ca="1">IF(AND($D701=0,$H700&gt;0,$E701&lt;Config!$B$8,$A701&lt;Config!$A$2),1,0)</f>
        <v>0</v>
      </c>
      <c r="G701" s="108">
        <f t="shared" ca="1" si="36"/>
        <v>0</v>
      </c>
      <c r="H701" s="108">
        <f ca="1">IF($D701=1,$H700+1,IF($F701=1,$H700,IF($A701=Config!$A$2,$H700,0)))</f>
        <v>0</v>
      </c>
      <c r="M701" s="109"/>
    </row>
    <row r="702" spans="1:13" x14ac:dyDescent="0.3">
      <c r="A702" s="106">
        <f t="shared" ca="1" si="34"/>
        <v>46280</v>
      </c>
      <c r="B702" s="107">
        <f ca="1">SUMIFS('Daily Writing Log'!$H$5:$H$34,'Daily Writing Log'!$A$5:$A$34,$A702)</f>
        <v>0</v>
      </c>
      <c r="C702" s="107">
        <f ca="1">SUMIFS('Daily Writing Log'!$I$5:$I$34,'Daily Writing Log'!$A$5:$A$34,$A702)</f>
        <v>0</v>
      </c>
      <c r="D702" s="108">
        <f ca="1">IF($C702&gt;=Config!$B$5,1,0)</f>
        <v>0</v>
      </c>
      <c r="E702" s="108">
        <f t="shared" ca="1" si="35"/>
        <v>0</v>
      </c>
      <c r="F702" s="108">
        <f ca="1">IF(AND($D702=0,$H701&gt;0,$E702&lt;Config!$B$8,$A702&lt;Config!$A$2),1,0)</f>
        <v>0</v>
      </c>
      <c r="G702" s="108">
        <f t="shared" ca="1" si="36"/>
        <v>0</v>
      </c>
      <c r="H702" s="108">
        <f ca="1">IF($D702=1,$H701+1,IF($F702=1,$H701,IF($A702=Config!$A$2,$H701,0)))</f>
        <v>0</v>
      </c>
      <c r="M702" s="109"/>
    </row>
    <row r="703" spans="1:13" x14ac:dyDescent="0.3">
      <c r="A703" s="106">
        <f t="shared" ca="1" si="34"/>
        <v>46281</v>
      </c>
      <c r="B703" s="107">
        <f ca="1">SUMIFS('Daily Writing Log'!$H$5:$H$34,'Daily Writing Log'!$A$5:$A$34,$A703)</f>
        <v>0</v>
      </c>
      <c r="C703" s="107">
        <f ca="1">SUMIFS('Daily Writing Log'!$I$5:$I$34,'Daily Writing Log'!$A$5:$A$34,$A703)</f>
        <v>0</v>
      </c>
      <c r="D703" s="108">
        <f ca="1">IF($C703&gt;=Config!$B$5,1,0)</f>
        <v>0</v>
      </c>
      <c r="E703" s="108">
        <f t="shared" ca="1" si="35"/>
        <v>0</v>
      </c>
      <c r="F703" s="108">
        <f ca="1">IF(AND($D703=0,$H702&gt;0,$E703&lt;Config!$B$8,$A703&lt;Config!$A$2),1,0)</f>
        <v>0</v>
      </c>
      <c r="G703" s="108">
        <f t="shared" ca="1" si="36"/>
        <v>0</v>
      </c>
      <c r="H703" s="108">
        <f ca="1">IF($D703=1,$H702+1,IF($F703=1,$H702,IF($A703=Config!$A$2,$H702,0)))</f>
        <v>0</v>
      </c>
      <c r="M703" s="109"/>
    </row>
    <row r="704" spans="1:13" x14ac:dyDescent="0.3">
      <c r="A704" s="106">
        <f t="shared" ca="1" si="34"/>
        <v>46282</v>
      </c>
      <c r="B704" s="107">
        <f ca="1">SUMIFS('Daily Writing Log'!$H$5:$H$34,'Daily Writing Log'!$A$5:$A$34,$A704)</f>
        <v>0</v>
      </c>
      <c r="C704" s="107">
        <f ca="1">SUMIFS('Daily Writing Log'!$I$5:$I$34,'Daily Writing Log'!$A$5:$A$34,$A704)</f>
        <v>0</v>
      </c>
      <c r="D704" s="108">
        <f ca="1">IF($C704&gt;=Config!$B$5,1,0)</f>
        <v>0</v>
      </c>
      <c r="E704" s="108">
        <f t="shared" ca="1" si="35"/>
        <v>0</v>
      </c>
      <c r="F704" s="108">
        <f ca="1">IF(AND($D704=0,$H703&gt;0,$E704&lt;Config!$B$8,$A704&lt;Config!$A$2),1,0)</f>
        <v>0</v>
      </c>
      <c r="G704" s="108">
        <f t="shared" ca="1" si="36"/>
        <v>0</v>
      </c>
      <c r="H704" s="108">
        <f ca="1">IF($D704=1,$H703+1,IF($F704=1,$H703,IF($A704=Config!$A$2,$H703,0)))</f>
        <v>0</v>
      </c>
      <c r="M704" s="109"/>
    </row>
    <row r="705" spans="1:13" x14ac:dyDescent="0.3">
      <c r="A705" s="106">
        <f t="shared" ca="1" si="34"/>
        <v>46283</v>
      </c>
      <c r="B705" s="107">
        <f ca="1">SUMIFS('Daily Writing Log'!$H$5:$H$34,'Daily Writing Log'!$A$5:$A$34,$A705)</f>
        <v>0</v>
      </c>
      <c r="C705" s="107">
        <f ca="1">SUMIFS('Daily Writing Log'!$I$5:$I$34,'Daily Writing Log'!$A$5:$A$34,$A705)</f>
        <v>0</v>
      </c>
      <c r="D705" s="108">
        <f ca="1">IF($C705&gt;=Config!$B$5,1,0)</f>
        <v>0</v>
      </c>
      <c r="E705" s="108">
        <f t="shared" ca="1" si="35"/>
        <v>0</v>
      </c>
      <c r="F705" s="108">
        <f ca="1">IF(AND($D705=0,$H704&gt;0,$E705&lt;Config!$B$8,$A705&lt;Config!$A$2),1,0)</f>
        <v>0</v>
      </c>
      <c r="G705" s="108">
        <f t="shared" ca="1" si="36"/>
        <v>0</v>
      </c>
      <c r="H705" s="108">
        <f ca="1">IF($D705=1,$H704+1,IF($F705=1,$H704,IF($A705=Config!$A$2,$H704,0)))</f>
        <v>0</v>
      </c>
      <c r="M705" s="109"/>
    </row>
    <row r="706" spans="1:13" x14ac:dyDescent="0.3">
      <c r="A706" s="106">
        <f t="shared" ca="1" si="34"/>
        <v>46284</v>
      </c>
      <c r="B706" s="107">
        <f ca="1">SUMIFS('Daily Writing Log'!$H$5:$H$34,'Daily Writing Log'!$A$5:$A$34,$A706)</f>
        <v>0</v>
      </c>
      <c r="C706" s="107">
        <f ca="1">SUMIFS('Daily Writing Log'!$I$5:$I$34,'Daily Writing Log'!$A$5:$A$34,$A706)</f>
        <v>0</v>
      </c>
      <c r="D706" s="108">
        <f ca="1">IF($C706&gt;=Config!$B$5,1,0)</f>
        <v>0</v>
      </c>
      <c r="E706" s="108">
        <f t="shared" ca="1" si="35"/>
        <v>0</v>
      </c>
      <c r="F706" s="108">
        <f ca="1">IF(AND($D706=0,$H705&gt;0,$E706&lt;Config!$B$8,$A706&lt;Config!$A$2),1,0)</f>
        <v>0</v>
      </c>
      <c r="G706" s="108">
        <f t="shared" ca="1" si="36"/>
        <v>0</v>
      </c>
      <c r="H706" s="108">
        <f ca="1">IF($D706=1,$H705+1,IF($F706=1,$H705,IF($A706=Config!$A$2,$H705,0)))</f>
        <v>0</v>
      </c>
      <c r="M706" s="109"/>
    </row>
    <row r="707" spans="1:13" x14ac:dyDescent="0.3">
      <c r="A707" s="106">
        <f t="shared" ca="1" si="34"/>
        <v>46285</v>
      </c>
      <c r="B707" s="107">
        <f ca="1">SUMIFS('Daily Writing Log'!$H$5:$H$34,'Daily Writing Log'!$A$5:$A$34,$A707)</f>
        <v>0</v>
      </c>
      <c r="C707" s="107">
        <f ca="1">SUMIFS('Daily Writing Log'!$I$5:$I$34,'Daily Writing Log'!$A$5:$A$34,$A707)</f>
        <v>0</v>
      </c>
      <c r="D707" s="108">
        <f ca="1">IF($C707&gt;=Config!$B$5,1,0)</f>
        <v>0</v>
      </c>
      <c r="E707" s="108">
        <f t="shared" ca="1" si="35"/>
        <v>0</v>
      </c>
      <c r="F707" s="108">
        <f ca="1">IF(AND($D707=0,$H706&gt;0,$E707&lt;Config!$B$8,$A707&lt;Config!$A$2),1,0)</f>
        <v>0</v>
      </c>
      <c r="G707" s="108">
        <f t="shared" ca="1" si="36"/>
        <v>0</v>
      </c>
      <c r="H707" s="108">
        <f ca="1">IF($D707=1,$H706+1,IF($F707=1,$H706,IF($A707=Config!$A$2,$H706,0)))</f>
        <v>0</v>
      </c>
      <c r="M707" s="109"/>
    </row>
    <row r="708" spans="1:13" x14ac:dyDescent="0.3">
      <c r="A708" s="106">
        <f t="shared" ca="1" si="34"/>
        <v>46286</v>
      </c>
      <c r="B708" s="107">
        <f ca="1">SUMIFS('Daily Writing Log'!$H$5:$H$34,'Daily Writing Log'!$A$5:$A$34,$A708)</f>
        <v>0</v>
      </c>
      <c r="C708" s="107">
        <f ca="1">SUMIFS('Daily Writing Log'!$I$5:$I$34,'Daily Writing Log'!$A$5:$A$34,$A708)</f>
        <v>0</v>
      </c>
      <c r="D708" s="108">
        <f ca="1">IF($C708&gt;=Config!$B$5,1,0)</f>
        <v>0</v>
      </c>
      <c r="E708" s="108">
        <f t="shared" ca="1" si="35"/>
        <v>0</v>
      </c>
      <c r="F708" s="108">
        <f ca="1">IF(AND($D708=0,$H707&gt;0,$E708&lt;Config!$B$8,$A708&lt;Config!$A$2),1,0)</f>
        <v>0</v>
      </c>
      <c r="G708" s="108">
        <f t="shared" ca="1" si="36"/>
        <v>0</v>
      </c>
      <c r="H708" s="108">
        <f ca="1">IF($D708=1,$H707+1,IF($F708=1,$H707,IF($A708=Config!$A$2,$H707,0)))</f>
        <v>0</v>
      </c>
      <c r="M708" s="109"/>
    </row>
    <row r="709" spans="1:13" x14ac:dyDescent="0.3">
      <c r="A709" s="106">
        <f t="shared" ca="1" si="34"/>
        <v>46287</v>
      </c>
      <c r="B709" s="107">
        <f ca="1">SUMIFS('Daily Writing Log'!$H$5:$H$34,'Daily Writing Log'!$A$5:$A$34,$A709)</f>
        <v>0</v>
      </c>
      <c r="C709" s="107">
        <f ca="1">SUMIFS('Daily Writing Log'!$I$5:$I$34,'Daily Writing Log'!$A$5:$A$34,$A709)</f>
        <v>0</v>
      </c>
      <c r="D709" s="108">
        <f ca="1">IF($C709&gt;=Config!$B$5,1,0)</f>
        <v>0</v>
      </c>
      <c r="E709" s="108">
        <f t="shared" ca="1" si="35"/>
        <v>0</v>
      </c>
      <c r="F709" s="108">
        <f ca="1">IF(AND($D709=0,$H708&gt;0,$E709&lt;Config!$B$8,$A709&lt;Config!$A$2),1,0)</f>
        <v>0</v>
      </c>
      <c r="G709" s="108">
        <f t="shared" ca="1" si="36"/>
        <v>0</v>
      </c>
      <c r="H709" s="108">
        <f ca="1">IF($D709=1,$H708+1,IF($F709=1,$H708,IF($A709=Config!$A$2,$H708,0)))</f>
        <v>0</v>
      </c>
      <c r="M709" s="109"/>
    </row>
    <row r="710" spans="1:13" x14ac:dyDescent="0.3">
      <c r="A710" s="106">
        <f t="shared" ref="A710:A734" ca="1" si="37">A709+1</f>
        <v>46288</v>
      </c>
      <c r="B710" s="107">
        <f ca="1">SUMIFS('Daily Writing Log'!$H$5:$H$34,'Daily Writing Log'!$A$5:$A$34,$A710)</f>
        <v>0</v>
      </c>
      <c r="C710" s="107">
        <f ca="1">SUMIFS('Daily Writing Log'!$I$5:$I$34,'Daily Writing Log'!$A$5:$A$34,$A710)</f>
        <v>0</v>
      </c>
      <c r="D710" s="108">
        <f ca="1">IF($C710&gt;=Config!$B$5,1,0)</f>
        <v>0</v>
      </c>
      <c r="E710" s="108">
        <f t="shared" ref="E710:E734" ca="1" si="38">IF(MONTH($A710)&lt;&gt;MONTH($A709),0,$G709)</f>
        <v>0</v>
      </c>
      <c r="F710" s="108">
        <f ca="1">IF(AND($D710=0,$H709&gt;0,$E710&lt;Config!$B$8,$A710&lt;Config!$A$2),1,0)</f>
        <v>0</v>
      </c>
      <c r="G710" s="108">
        <f t="shared" ref="G710:G734" ca="1" si="39">$E710+$F710</f>
        <v>0</v>
      </c>
      <c r="H710" s="108">
        <f ca="1">IF($D710=1,$H709+1,IF($F710=1,$H709,IF($A710=Config!$A$2,$H709,0)))</f>
        <v>0</v>
      </c>
      <c r="M710" s="109"/>
    </row>
    <row r="711" spans="1:13" x14ac:dyDescent="0.3">
      <c r="A711" s="106">
        <f t="shared" ca="1" si="37"/>
        <v>46289</v>
      </c>
      <c r="B711" s="107">
        <f ca="1">SUMIFS('Daily Writing Log'!$H$5:$H$34,'Daily Writing Log'!$A$5:$A$34,$A711)</f>
        <v>0</v>
      </c>
      <c r="C711" s="107">
        <f ca="1">SUMIFS('Daily Writing Log'!$I$5:$I$34,'Daily Writing Log'!$A$5:$A$34,$A711)</f>
        <v>0</v>
      </c>
      <c r="D711" s="108">
        <f ca="1">IF($C711&gt;=Config!$B$5,1,0)</f>
        <v>0</v>
      </c>
      <c r="E711" s="108">
        <f t="shared" ca="1" si="38"/>
        <v>0</v>
      </c>
      <c r="F711" s="108">
        <f ca="1">IF(AND($D711=0,$H710&gt;0,$E711&lt;Config!$B$8,$A711&lt;Config!$A$2),1,0)</f>
        <v>0</v>
      </c>
      <c r="G711" s="108">
        <f t="shared" ca="1" si="39"/>
        <v>0</v>
      </c>
      <c r="H711" s="108">
        <f ca="1">IF($D711=1,$H710+1,IF($F711=1,$H710,IF($A711=Config!$A$2,$H710,0)))</f>
        <v>0</v>
      </c>
      <c r="M711" s="109"/>
    </row>
    <row r="712" spans="1:13" x14ac:dyDescent="0.3">
      <c r="A712" s="106">
        <f t="shared" ca="1" si="37"/>
        <v>46290</v>
      </c>
      <c r="B712" s="107">
        <f ca="1">SUMIFS('Daily Writing Log'!$H$5:$H$34,'Daily Writing Log'!$A$5:$A$34,$A712)</f>
        <v>0</v>
      </c>
      <c r="C712" s="107">
        <f ca="1">SUMIFS('Daily Writing Log'!$I$5:$I$34,'Daily Writing Log'!$A$5:$A$34,$A712)</f>
        <v>0</v>
      </c>
      <c r="D712" s="108">
        <f ca="1">IF($C712&gt;=Config!$B$5,1,0)</f>
        <v>0</v>
      </c>
      <c r="E712" s="108">
        <f t="shared" ca="1" si="38"/>
        <v>0</v>
      </c>
      <c r="F712" s="108">
        <f ca="1">IF(AND($D712=0,$H711&gt;0,$E712&lt;Config!$B$8,$A712&lt;Config!$A$2),1,0)</f>
        <v>0</v>
      </c>
      <c r="G712" s="108">
        <f t="shared" ca="1" si="39"/>
        <v>0</v>
      </c>
      <c r="H712" s="108">
        <f ca="1">IF($D712=1,$H711+1,IF($F712=1,$H711,IF($A712=Config!$A$2,$H711,0)))</f>
        <v>0</v>
      </c>
      <c r="M712" s="109"/>
    </row>
    <row r="713" spans="1:13" x14ac:dyDescent="0.3">
      <c r="A713" s="106">
        <f t="shared" ca="1" si="37"/>
        <v>46291</v>
      </c>
      <c r="B713" s="107">
        <f ca="1">SUMIFS('Daily Writing Log'!$H$5:$H$34,'Daily Writing Log'!$A$5:$A$34,$A713)</f>
        <v>0</v>
      </c>
      <c r="C713" s="107">
        <f ca="1">SUMIFS('Daily Writing Log'!$I$5:$I$34,'Daily Writing Log'!$A$5:$A$34,$A713)</f>
        <v>0</v>
      </c>
      <c r="D713" s="108">
        <f ca="1">IF($C713&gt;=Config!$B$5,1,0)</f>
        <v>0</v>
      </c>
      <c r="E713" s="108">
        <f t="shared" ca="1" si="38"/>
        <v>0</v>
      </c>
      <c r="F713" s="108">
        <f ca="1">IF(AND($D713=0,$H712&gt;0,$E713&lt;Config!$B$8,$A713&lt;Config!$A$2),1,0)</f>
        <v>0</v>
      </c>
      <c r="G713" s="108">
        <f t="shared" ca="1" si="39"/>
        <v>0</v>
      </c>
      <c r="H713" s="108">
        <f ca="1">IF($D713=1,$H712+1,IF($F713=1,$H712,IF($A713=Config!$A$2,$H712,0)))</f>
        <v>0</v>
      </c>
      <c r="M713" s="109"/>
    </row>
    <row r="714" spans="1:13" x14ac:dyDescent="0.3">
      <c r="A714" s="106">
        <f t="shared" ca="1" si="37"/>
        <v>46292</v>
      </c>
      <c r="B714" s="107">
        <f ca="1">SUMIFS('Daily Writing Log'!$H$5:$H$34,'Daily Writing Log'!$A$5:$A$34,$A714)</f>
        <v>0</v>
      </c>
      <c r="C714" s="107">
        <f ca="1">SUMIFS('Daily Writing Log'!$I$5:$I$34,'Daily Writing Log'!$A$5:$A$34,$A714)</f>
        <v>0</v>
      </c>
      <c r="D714" s="108">
        <f ca="1">IF($C714&gt;=Config!$B$5,1,0)</f>
        <v>0</v>
      </c>
      <c r="E714" s="108">
        <f t="shared" ca="1" si="38"/>
        <v>0</v>
      </c>
      <c r="F714" s="108">
        <f ca="1">IF(AND($D714=0,$H713&gt;0,$E714&lt;Config!$B$8,$A714&lt;Config!$A$2),1,0)</f>
        <v>0</v>
      </c>
      <c r="G714" s="108">
        <f t="shared" ca="1" si="39"/>
        <v>0</v>
      </c>
      <c r="H714" s="108">
        <f ca="1">IF($D714=1,$H713+1,IF($F714=1,$H713,IF($A714=Config!$A$2,$H713,0)))</f>
        <v>0</v>
      </c>
      <c r="M714" s="109"/>
    </row>
    <row r="715" spans="1:13" x14ac:dyDescent="0.3">
      <c r="A715" s="106">
        <f t="shared" ca="1" si="37"/>
        <v>46293</v>
      </c>
      <c r="B715" s="107">
        <f ca="1">SUMIFS('Daily Writing Log'!$H$5:$H$34,'Daily Writing Log'!$A$5:$A$34,$A715)</f>
        <v>0</v>
      </c>
      <c r="C715" s="107">
        <f ca="1">SUMIFS('Daily Writing Log'!$I$5:$I$34,'Daily Writing Log'!$A$5:$A$34,$A715)</f>
        <v>0</v>
      </c>
      <c r="D715" s="108">
        <f ca="1">IF($C715&gt;=Config!$B$5,1,0)</f>
        <v>0</v>
      </c>
      <c r="E715" s="108">
        <f t="shared" ca="1" si="38"/>
        <v>0</v>
      </c>
      <c r="F715" s="108">
        <f ca="1">IF(AND($D715=0,$H714&gt;0,$E715&lt;Config!$B$8,$A715&lt;Config!$A$2),1,0)</f>
        <v>0</v>
      </c>
      <c r="G715" s="108">
        <f t="shared" ca="1" si="39"/>
        <v>0</v>
      </c>
      <c r="H715" s="108">
        <f ca="1">IF($D715=1,$H714+1,IF($F715=1,$H714,IF($A715=Config!$A$2,$H714,0)))</f>
        <v>0</v>
      </c>
      <c r="M715" s="109"/>
    </row>
    <row r="716" spans="1:13" x14ac:dyDescent="0.3">
      <c r="A716" s="106">
        <f t="shared" ca="1" si="37"/>
        <v>46294</v>
      </c>
      <c r="B716" s="107">
        <f ca="1">SUMIFS('Daily Writing Log'!$H$5:$H$34,'Daily Writing Log'!$A$5:$A$34,$A716)</f>
        <v>0</v>
      </c>
      <c r="C716" s="107">
        <f ca="1">SUMIFS('Daily Writing Log'!$I$5:$I$34,'Daily Writing Log'!$A$5:$A$34,$A716)</f>
        <v>0</v>
      </c>
      <c r="D716" s="108">
        <f ca="1">IF($C716&gt;=Config!$B$5,1,0)</f>
        <v>0</v>
      </c>
      <c r="E716" s="108">
        <f t="shared" ca="1" si="38"/>
        <v>0</v>
      </c>
      <c r="F716" s="108">
        <f ca="1">IF(AND($D716=0,$H715&gt;0,$E716&lt;Config!$B$8,$A716&lt;Config!$A$2),1,0)</f>
        <v>0</v>
      </c>
      <c r="G716" s="108">
        <f t="shared" ca="1" si="39"/>
        <v>0</v>
      </c>
      <c r="H716" s="108">
        <f ca="1">IF($D716=1,$H715+1,IF($F716=1,$H715,IF($A716=Config!$A$2,$H715,0)))</f>
        <v>0</v>
      </c>
      <c r="M716" s="109"/>
    </row>
    <row r="717" spans="1:13" x14ac:dyDescent="0.3">
      <c r="A717" s="106">
        <f t="shared" ca="1" si="37"/>
        <v>46295</v>
      </c>
      <c r="B717" s="107">
        <f ca="1">SUMIFS('Daily Writing Log'!$H$5:$H$34,'Daily Writing Log'!$A$5:$A$34,$A717)</f>
        <v>0</v>
      </c>
      <c r="C717" s="107">
        <f ca="1">SUMIFS('Daily Writing Log'!$I$5:$I$34,'Daily Writing Log'!$A$5:$A$34,$A717)</f>
        <v>0</v>
      </c>
      <c r="D717" s="108">
        <f ca="1">IF($C717&gt;=Config!$B$5,1,0)</f>
        <v>0</v>
      </c>
      <c r="E717" s="108">
        <f t="shared" ca="1" si="38"/>
        <v>0</v>
      </c>
      <c r="F717" s="108">
        <f ca="1">IF(AND($D717=0,$H716&gt;0,$E717&lt;Config!$B$8,$A717&lt;Config!$A$2),1,0)</f>
        <v>0</v>
      </c>
      <c r="G717" s="108">
        <f t="shared" ca="1" si="39"/>
        <v>0</v>
      </c>
      <c r="H717" s="108">
        <f ca="1">IF($D717=1,$H716+1,IF($F717=1,$H716,IF($A717=Config!$A$2,$H716,0)))</f>
        <v>0</v>
      </c>
      <c r="M717" s="109"/>
    </row>
    <row r="718" spans="1:13" x14ac:dyDescent="0.3">
      <c r="A718" s="106">
        <f t="shared" ca="1" si="37"/>
        <v>46296</v>
      </c>
      <c r="B718" s="107">
        <f ca="1">SUMIFS('Daily Writing Log'!$H$5:$H$34,'Daily Writing Log'!$A$5:$A$34,$A718)</f>
        <v>0</v>
      </c>
      <c r="C718" s="107">
        <f ca="1">SUMIFS('Daily Writing Log'!$I$5:$I$34,'Daily Writing Log'!$A$5:$A$34,$A718)</f>
        <v>0</v>
      </c>
      <c r="D718" s="108">
        <f ca="1">IF($C718&gt;=Config!$B$5,1,0)</f>
        <v>0</v>
      </c>
      <c r="E718" s="108">
        <f t="shared" ca="1" si="38"/>
        <v>0</v>
      </c>
      <c r="F718" s="108">
        <f ca="1">IF(AND($D718=0,$H717&gt;0,$E718&lt;Config!$B$8,$A718&lt;Config!$A$2),1,0)</f>
        <v>0</v>
      </c>
      <c r="G718" s="108">
        <f t="shared" ca="1" si="39"/>
        <v>0</v>
      </c>
      <c r="H718" s="108">
        <f ca="1">IF($D718=1,$H717+1,IF($F718=1,$H717,IF($A718=Config!$A$2,$H717,0)))</f>
        <v>0</v>
      </c>
      <c r="M718" s="109"/>
    </row>
    <row r="719" spans="1:13" x14ac:dyDescent="0.3">
      <c r="A719" s="106">
        <f t="shared" ca="1" si="37"/>
        <v>46297</v>
      </c>
      <c r="B719" s="107">
        <f ca="1">SUMIFS('Daily Writing Log'!$H$5:$H$34,'Daily Writing Log'!$A$5:$A$34,$A719)</f>
        <v>0</v>
      </c>
      <c r="C719" s="107">
        <f ca="1">SUMIFS('Daily Writing Log'!$I$5:$I$34,'Daily Writing Log'!$A$5:$A$34,$A719)</f>
        <v>0</v>
      </c>
      <c r="D719" s="108">
        <f ca="1">IF($C719&gt;=Config!$B$5,1,0)</f>
        <v>0</v>
      </c>
      <c r="E719" s="108">
        <f t="shared" ca="1" si="38"/>
        <v>0</v>
      </c>
      <c r="F719" s="108">
        <f ca="1">IF(AND($D719=0,$H718&gt;0,$E719&lt;Config!$B$8,$A719&lt;Config!$A$2),1,0)</f>
        <v>0</v>
      </c>
      <c r="G719" s="108">
        <f t="shared" ca="1" si="39"/>
        <v>0</v>
      </c>
      <c r="H719" s="108">
        <f ca="1">IF($D719=1,$H718+1,IF($F719=1,$H718,IF($A719=Config!$A$2,$H718,0)))</f>
        <v>0</v>
      </c>
      <c r="M719" s="109"/>
    </row>
    <row r="720" spans="1:13" x14ac:dyDescent="0.3">
      <c r="A720" s="106">
        <f t="shared" ca="1" si="37"/>
        <v>46298</v>
      </c>
      <c r="B720" s="107">
        <f ca="1">SUMIFS('Daily Writing Log'!$H$5:$H$34,'Daily Writing Log'!$A$5:$A$34,$A720)</f>
        <v>0</v>
      </c>
      <c r="C720" s="107">
        <f ca="1">SUMIFS('Daily Writing Log'!$I$5:$I$34,'Daily Writing Log'!$A$5:$A$34,$A720)</f>
        <v>0</v>
      </c>
      <c r="D720" s="108">
        <f ca="1">IF($C720&gt;=Config!$B$5,1,0)</f>
        <v>0</v>
      </c>
      <c r="E720" s="108">
        <f t="shared" ca="1" si="38"/>
        <v>0</v>
      </c>
      <c r="F720" s="108">
        <f ca="1">IF(AND($D720=0,$H719&gt;0,$E720&lt;Config!$B$8,$A720&lt;Config!$A$2),1,0)</f>
        <v>0</v>
      </c>
      <c r="G720" s="108">
        <f t="shared" ca="1" si="39"/>
        <v>0</v>
      </c>
      <c r="H720" s="108">
        <f ca="1">IF($D720=1,$H719+1,IF($F720=1,$H719,IF($A720=Config!$A$2,$H719,0)))</f>
        <v>0</v>
      </c>
      <c r="M720" s="109"/>
    </row>
    <row r="721" spans="1:13" x14ac:dyDescent="0.3">
      <c r="A721" s="106">
        <f t="shared" ca="1" si="37"/>
        <v>46299</v>
      </c>
      <c r="B721" s="107">
        <f ca="1">SUMIFS('Daily Writing Log'!$H$5:$H$34,'Daily Writing Log'!$A$5:$A$34,$A721)</f>
        <v>0</v>
      </c>
      <c r="C721" s="107">
        <f ca="1">SUMIFS('Daily Writing Log'!$I$5:$I$34,'Daily Writing Log'!$A$5:$A$34,$A721)</f>
        <v>0</v>
      </c>
      <c r="D721" s="108">
        <f ca="1">IF($C721&gt;=Config!$B$5,1,0)</f>
        <v>0</v>
      </c>
      <c r="E721" s="108">
        <f t="shared" ca="1" si="38"/>
        <v>0</v>
      </c>
      <c r="F721" s="108">
        <f ca="1">IF(AND($D721=0,$H720&gt;0,$E721&lt;Config!$B$8,$A721&lt;Config!$A$2),1,0)</f>
        <v>0</v>
      </c>
      <c r="G721" s="108">
        <f t="shared" ca="1" si="39"/>
        <v>0</v>
      </c>
      <c r="H721" s="108">
        <f ca="1">IF($D721=1,$H720+1,IF($F721=1,$H720,IF($A721=Config!$A$2,$H720,0)))</f>
        <v>0</v>
      </c>
      <c r="M721" s="109"/>
    </row>
    <row r="722" spans="1:13" x14ac:dyDescent="0.3">
      <c r="A722" s="106">
        <f t="shared" ca="1" si="37"/>
        <v>46300</v>
      </c>
      <c r="B722" s="107">
        <f ca="1">SUMIFS('Daily Writing Log'!$H$5:$H$34,'Daily Writing Log'!$A$5:$A$34,$A722)</f>
        <v>0</v>
      </c>
      <c r="C722" s="107">
        <f ca="1">SUMIFS('Daily Writing Log'!$I$5:$I$34,'Daily Writing Log'!$A$5:$A$34,$A722)</f>
        <v>0</v>
      </c>
      <c r="D722" s="108">
        <f ca="1">IF($C722&gt;=Config!$B$5,1,0)</f>
        <v>0</v>
      </c>
      <c r="E722" s="108">
        <f t="shared" ca="1" si="38"/>
        <v>0</v>
      </c>
      <c r="F722" s="108">
        <f ca="1">IF(AND($D722=0,$H721&gt;0,$E722&lt;Config!$B$8,$A722&lt;Config!$A$2),1,0)</f>
        <v>0</v>
      </c>
      <c r="G722" s="108">
        <f t="shared" ca="1" si="39"/>
        <v>0</v>
      </c>
      <c r="H722" s="108">
        <f ca="1">IF($D722=1,$H721+1,IF($F722=1,$H721,IF($A722=Config!$A$2,$H721,0)))</f>
        <v>0</v>
      </c>
      <c r="M722" s="109"/>
    </row>
    <row r="723" spans="1:13" x14ac:dyDescent="0.3">
      <c r="A723" s="106">
        <f t="shared" ca="1" si="37"/>
        <v>46301</v>
      </c>
      <c r="B723" s="107">
        <f ca="1">SUMIFS('Daily Writing Log'!$H$5:$H$34,'Daily Writing Log'!$A$5:$A$34,$A723)</f>
        <v>0</v>
      </c>
      <c r="C723" s="107">
        <f ca="1">SUMIFS('Daily Writing Log'!$I$5:$I$34,'Daily Writing Log'!$A$5:$A$34,$A723)</f>
        <v>0</v>
      </c>
      <c r="D723" s="108">
        <f ca="1">IF($C723&gt;=Config!$B$5,1,0)</f>
        <v>0</v>
      </c>
      <c r="E723" s="108">
        <f t="shared" ca="1" si="38"/>
        <v>0</v>
      </c>
      <c r="F723" s="108">
        <f ca="1">IF(AND($D723=0,$H722&gt;0,$E723&lt;Config!$B$8,$A723&lt;Config!$A$2),1,0)</f>
        <v>0</v>
      </c>
      <c r="G723" s="108">
        <f t="shared" ca="1" si="39"/>
        <v>0</v>
      </c>
      <c r="H723" s="108">
        <f ca="1">IF($D723=1,$H722+1,IF($F723=1,$H722,IF($A723=Config!$A$2,$H722,0)))</f>
        <v>0</v>
      </c>
      <c r="M723" s="109"/>
    </row>
    <row r="724" spans="1:13" x14ac:dyDescent="0.3">
      <c r="A724" s="106">
        <f t="shared" ca="1" si="37"/>
        <v>46302</v>
      </c>
      <c r="B724" s="107">
        <f ca="1">SUMIFS('Daily Writing Log'!$H$5:$H$34,'Daily Writing Log'!$A$5:$A$34,$A724)</f>
        <v>0</v>
      </c>
      <c r="C724" s="107">
        <f ca="1">SUMIFS('Daily Writing Log'!$I$5:$I$34,'Daily Writing Log'!$A$5:$A$34,$A724)</f>
        <v>0</v>
      </c>
      <c r="D724" s="108">
        <f ca="1">IF($C724&gt;=Config!$B$5,1,0)</f>
        <v>0</v>
      </c>
      <c r="E724" s="108">
        <f t="shared" ca="1" si="38"/>
        <v>0</v>
      </c>
      <c r="F724" s="108">
        <f ca="1">IF(AND($D724=0,$H723&gt;0,$E724&lt;Config!$B$8,$A724&lt;Config!$A$2),1,0)</f>
        <v>0</v>
      </c>
      <c r="G724" s="108">
        <f t="shared" ca="1" si="39"/>
        <v>0</v>
      </c>
      <c r="H724" s="108">
        <f ca="1">IF($D724=1,$H723+1,IF($F724=1,$H723,IF($A724=Config!$A$2,$H723,0)))</f>
        <v>0</v>
      </c>
      <c r="M724" s="109"/>
    </row>
    <row r="725" spans="1:13" x14ac:dyDescent="0.3">
      <c r="A725" s="106">
        <f t="shared" ca="1" si="37"/>
        <v>46303</v>
      </c>
      <c r="B725" s="107">
        <f ca="1">SUMIFS('Daily Writing Log'!$H$5:$H$34,'Daily Writing Log'!$A$5:$A$34,$A725)</f>
        <v>0</v>
      </c>
      <c r="C725" s="107">
        <f ca="1">SUMIFS('Daily Writing Log'!$I$5:$I$34,'Daily Writing Log'!$A$5:$A$34,$A725)</f>
        <v>0</v>
      </c>
      <c r="D725" s="108">
        <f ca="1">IF($C725&gt;=Config!$B$5,1,0)</f>
        <v>0</v>
      </c>
      <c r="E725" s="108">
        <f t="shared" ca="1" si="38"/>
        <v>0</v>
      </c>
      <c r="F725" s="108">
        <f ca="1">IF(AND($D725=0,$H724&gt;0,$E725&lt;Config!$B$8,$A725&lt;Config!$A$2),1,0)</f>
        <v>0</v>
      </c>
      <c r="G725" s="108">
        <f t="shared" ca="1" si="39"/>
        <v>0</v>
      </c>
      <c r="H725" s="108">
        <f ca="1">IF($D725=1,$H724+1,IF($F725=1,$H724,IF($A725=Config!$A$2,$H724,0)))</f>
        <v>0</v>
      </c>
      <c r="M725" s="109"/>
    </row>
    <row r="726" spans="1:13" x14ac:dyDescent="0.3">
      <c r="A726" s="106">
        <f t="shared" ca="1" si="37"/>
        <v>46304</v>
      </c>
      <c r="B726" s="107">
        <f ca="1">SUMIFS('Daily Writing Log'!$H$5:$H$34,'Daily Writing Log'!$A$5:$A$34,$A726)</f>
        <v>0</v>
      </c>
      <c r="C726" s="107">
        <f ca="1">SUMIFS('Daily Writing Log'!$I$5:$I$34,'Daily Writing Log'!$A$5:$A$34,$A726)</f>
        <v>0</v>
      </c>
      <c r="D726" s="108">
        <f ca="1">IF($C726&gt;=Config!$B$5,1,0)</f>
        <v>0</v>
      </c>
      <c r="E726" s="108">
        <f t="shared" ca="1" si="38"/>
        <v>0</v>
      </c>
      <c r="F726" s="108">
        <f ca="1">IF(AND($D726=0,$H725&gt;0,$E726&lt;Config!$B$8,$A726&lt;Config!$A$2),1,0)</f>
        <v>0</v>
      </c>
      <c r="G726" s="108">
        <f t="shared" ca="1" si="39"/>
        <v>0</v>
      </c>
      <c r="H726" s="108">
        <f ca="1">IF($D726=1,$H725+1,IF($F726=1,$H725,IF($A726=Config!$A$2,$H725,0)))</f>
        <v>0</v>
      </c>
      <c r="M726" s="109"/>
    </row>
    <row r="727" spans="1:13" x14ac:dyDescent="0.3">
      <c r="A727" s="106">
        <f t="shared" ca="1" si="37"/>
        <v>46305</v>
      </c>
      <c r="B727" s="107">
        <f ca="1">SUMIFS('Daily Writing Log'!$H$5:$H$34,'Daily Writing Log'!$A$5:$A$34,$A727)</f>
        <v>0</v>
      </c>
      <c r="C727" s="107">
        <f ca="1">SUMIFS('Daily Writing Log'!$I$5:$I$34,'Daily Writing Log'!$A$5:$A$34,$A727)</f>
        <v>0</v>
      </c>
      <c r="D727" s="108">
        <f ca="1">IF($C727&gt;=Config!$B$5,1,0)</f>
        <v>0</v>
      </c>
      <c r="E727" s="108">
        <f t="shared" ca="1" si="38"/>
        <v>0</v>
      </c>
      <c r="F727" s="108">
        <f ca="1">IF(AND($D727=0,$H726&gt;0,$E727&lt;Config!$B$8,$A727&lt;Config!$A$2),1,0)</f>
        <v>0</v>
      </c>
      <c r="G727" s="108">
        <f t="shared" ca="1" si="39"/>
        <v>0</v>
      </c>
      <c r="H727" s="108">
        <f ca="1">IF($D727=1,$H726+1,IF($F727=1,$H726,IF($A727=Config!$A$2,$H726,0)))</f>
        <v>0</v>
      </c>
      <c r="M727" s="109"/>
    </row>
    <row r="728" spans="1:13" x14ac:dyDescent="0.3">
      <c r="A728" s="106">
        <f t="shared" ca="1" si="37"/>
        <v>46306</v>
      </c>
      <c r="B728" s="107">
        <f ca="1">SUMIFS('Daily Writing Log'!$H$5:$H$34,'Daily Writing Log'!$A$5:$A$34,$A728)</f>
        <v>0</v>
      </c>
      <c r="C728" s="107">
        <f ca="1">SUMIFS('Daily Writing Log'!$I$5:$I$34,'Daily Writing Log'!$A$5:$A$34,$A728)</f>
        <v>0</v>
      </c>
      <c r="D728" s="108">
        <f ca="1">IF($C728&gt;=Config!$B$5,1,0)</f>
        <v>0</v>
      </c>
      <c r="E728" s="108">
        <f t="shared" ca="1" si="38"/>
        <v>0</v>
      </c>
      <c r="F728" s="108">
        <f ca="1">IF(AND($D728=0,$H727&gt;0,$E728&lt;Config!$B$8,$A728&lt;Config!$A$2),1,0)</f>
        <v>0</v>
      </c>
      <c r="G728" s="108">
        <f t="shared" ca="1" si="39"/>
        <v>0</v>
      </c>
      <c r="H728" s="108">
        <f ca="1">IF($D728=1,$H727+1,IF($F728=1,$H727,IF($A728=Config!$A$2,$H727,0)))</f>
        <v>0</v>
      </c>
      <c r="M728" s="109"/>
    </row>
    <row r="729" spans="1:13" x14ac:dyDescent="0.3">
      <c r="A729" s="106">
        <f t="shared" ca="1" si="37"/>
        <v>46307</v>
      </c>
      <c r="B729" s="107">
        <f ca="1">SUMIFS('Daily Writing Log'!$H$5:$H$34,'Daily Writing Log'!$A$5:$A$34,$A729)</f>
        <v>2450</v>
      </c>
      <c r="C729" s="107">
        <f ca="1">SUMIFS('Daily Writing Log'!$I$5:$I$34,'Daily Writing Log'!$A$5:$A$34,$A729)</f>
        <v>2000</v>
      </c>
      <c r="D729" s="108">
        <f ca="1">IF($C729&gt;=Config!$B$5,1,0)</f>
        <v>1</v>
      </c>
      <c r="E729" s="108">
        <f t="shared" ca="1" si="38"/>
        <v>0</v>
      </c>
      <c r="F729" s="108">
        <f ca="1">IF(AND($D729=0,$H728&gt;0,$E729&lt;Config!$B$8,$A729&lt;Config!$A$2),1,0)</f>
        <v>0</v>
      </c>
      <c r="G729" s="108">
        <f t="shared" ca="1" si="39"/>
        <v>0</v>
      </c>
      <c r="H729" s="108">
        <f ca="1">IF($D729=1,$H728+1,IF($F729=1,$H728,IF($A729=Config!$A$2,$H728,0)))</f>
        <v>1</v>
      </c>
      <c r="M729" s="109"/>
    </row>
    <row r="730" spans="1:13" x14ac:dyDescent="0.3">
      <c r="A730" s="106">
        <f t="shared" ca="1" si="37"/>
        <v>46308</v>
      </c>
      <c r="B730" s="107">
        <f ca="1">SUMIFS('Daily Writing Log'!$H$5:$H$34,'Daily Writing Log'!$A$5:$A$34,$A730)</f>
        <v>2400</v>
      </c>
      <c r="C730" s="107">
        <f ca="1">SUMIFS('Daily Writing Log'!$I$5:$I$34,'Daily Writing Log'!$A$5:$A$34,$A730)</f>
        <v>2000</v>
      </c>
      <c r="D730" s="108">
        <f ca="1">IF($C730&gt;=Config!$B$5,1,0)</f>
        <v>1</v>
      </c>
      <c r="E730" s="108">
        <f t="shared" ca="1" si="38"/>
        <v>0</v>
      </c>
      <c r="F730" s="108">
        <f ca="1">IF(AND($D730=0,$H729&gt;0,$E730&lt;Config!$B$8,$A730&lt;Config!$A$2),1,0)</f>
        <v>0</v>
      </c>
      <c r="G730" s="108">
        <f t="shared" ca="1" si="39"/>
        <v>0</v>
      </c>
      <c r="H730" s="108">
        <f ca="1">IF($D730=1,$H729+1,IF($F730=1,$H729,IF($A730=Config!$A$2,$H729,0)))</f>
        <v>2</v>
      </c>
      <c r="M730" s="109"/>
    </row>
    <row r="731" spans="1:13" x14ac:dyDescent="0.3">
      <c r="A731" s="106">
        <f t="shared" ca="1" si="37"/>
        <v>46309</v>
      </c>
      <c r="B731" s="107">
        <f ca="1">SUMIFS('Daily Writing Log'!$H$5:$H$34,'Daily Writing Log'!$A$5:$A$34,$A731)</f>
        <v>0</v>
      </c>
      <c r="C731" s="107">
        <f ca="1">SUMIFS('Daily Writing Log'!$I$5:$I$34,'Daily Writing Log'!$A$5:$A$34,$A731)</f>
        <v>0</v>
      </c>
      <c r="D731" s="108">
        <f ca="1">IF($C731&gt;=Config!$B$5,1,0)</f>
        <v>0</v>
      </c>
      <c r="E731" s="108">
        <f t="shared" ca="1" si="38"/>
        <v>0</v>
      </c>
      <c r="F731" s="108">
        <f ca="1">IF(AND($D731=0,$H730&gt;0,$E731&lt;Config!$B$8,$A731&lt;Config!$A$2),1,0)</f>
        <v>1</v>
      </c>
      <c r="G731" s="108">
        <f t="shared" ca="1" si="39"/>
        <v>1</v>
      </c>
      <c r="H731" s="108">
        <f ca="1">IF($D731=1,$H730+1,IF($F731=1,$H730,IF($A731=Config!$A$2,$H730,0)))</f>
        <v>2</v>
      </c>
      <c r="M731" s="109"/>
    </row>
    <row r="732" spans="1:13" x14ac:dyDescent="0.3">
      <c r="A732" s="106">
        <f t="shared" ca="1" si="37"/>
        <v>46310</v>
      </c>
      <c r="B732" s="107">
        <f ca="1">SUMIFS('Daily Writing Log'!$H$5:$H$34,'Daily Writing Log'!$A$5:$A$34,$A732)</f>
        <v>0</v>
      </c>
      <c r="C732" s="107">
        <f ca="1">SUMIFS('Daily Writing Log'!$I$5:$I$34,'Daily Writing Log'!$A$5:$A$34,$A732)</f>
        <v>0</v>
      </c>
      <c r="D732" s="108">
        <f ca="1">IF($C732&gt;=Config!$B$5,1,0)</f>
        <v>0</v>
      </c>
      <c r="E732" s="108">
        <f t="shared" ca="1" si="38"/>
        <v>1</v>
      </c>
      <c r="F732" s="108">
        <f ca="1">IF(AND($D732=0,$H731&gt;0,$E732&lt;Config!$B$8,$A732&lt;Config!$A$2),1,0)</f>
        <v>1</v>
      </c>
      <c r="G732" s="108">
        <f t="shared" ca="1" si="39"/>
        <v>2</v>
      </c>
      <c r="H732" s="108">
        <f ca="1">IF($D732=1,$H731+1,IF($F732=1,$H731,IF($A732=Config!$A$2,$H731,0)))</f>
        <v>2</v>
      </c>
      <c r="M732" s="109"/>
    </row>
    <row r="733" spans="1:13" x14ac:dyDescent="0.3">
      <c r="A733" s="106">
        <f t="shared" ca="1" si="37"/>
        <v>46311</v>
      </c>
      <c r="B733" s="107">
        <f ca="1">SUMIFS('Daily Writing Log'!$H$5:$H$34,'Daily Writing Log'!$A$5:$A$34,$A733)</f>
        <v>0</v>
      </c>
      <c r="C733" s="107">
        <f ca="1">SUMIFS('Daily Writing Log'!$I$5:$I$34,'Daily Writing Log'!$A$5:$A$34,$A733)</f>
        <v>0</v>
      </c>
      <c r="D733" s="108">
        <f ca="1">IF($C733&gt;=Config!$B$5,1,0)</f>
        <v>0</v>
      </c>
      <c r="E733" s="108">
        <f t="shared" ca="1" si="38"/>
        <v>2</v>
      </c>
      <c r="F733" s="108">
        <f ca="1">IF(AND($D733=0,$H732&gt;0,$E733&lt;Config!$B$8,$A733&lt;Config!$A$2),1,0)</f>
        <v>1</v>
      </c>
      <c r="G733" s="108">
        <f t="shared" ca="1" si="39"/>
        <v>3</v>
      </c>
      <c r="H733" s="108">
        <f ca="1">IF($D733=1,$H732+1,IF($F733=1,$H732,IF($A733=Config!$A$2,$H732,0)))</f>
        <v>2</v>
      </c>
      <c r="M733" s="109"/>
    </row>
    <row r="734" spans="1:13" x14ac:dyDescent="0.3">
      <c r="A734" s="106">
        <f t="shared" ca="1" si="37"/>
        <v>46312</v>
      </c>
      <c r="B734" s="107">
        <f ca="1">SUMIFS('Daily Writing Log'!$H$5:$H$34,'Daily Writing Log'!$A$5:$A$34,$A734)</f>
        <v>0</v>
      </c>
      <c r="C734" s="107">
        <f ca="1">SUMIFS('Daily Writing Log'!$I$5:$I$34,'Daily Writing Log'!$A$5:$A$34,$A734)</f>
        <v>0</v>
      </c>
      <c r="D734" s="108">
        <f ca="1">IF($C734&gt;=Config!$B$5,1,0)</f>
        <v>0</v>
      </c>
      <c r="E734" s="108">
        <f t="shared" ca="1" si="38"/>
        <v>3</v>
      </c>
      <c r="F734" s="108">
        <f ca="1">IF(AND($D734=0,$H733&gt;0,$E734&lt;Config!$B$8,$A734&lt;Config!$A$2),1,0)</f>
        <v>0</v>
      </c>
      <c r="G734" s="108">
        <f t="shared" ca="1" si="39"/>
        <v>3</v>
      </c>
      <c r="H734" s="108">
        <f ca="1">IF($D734=1,$H733+1,IF($F734=1,$H733,IF($A734=Config!$A$2,$H733,0)))</f>
        <v>2</v>
      </c>
      <c r="M734" s="109"/>
    </row>
  </sheetData>
  <mergeCells count="2">
    <mergeCell ref="A2:S2"/>
    <mergeCell ref="A1:S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workbookViewId="0">
      <pane ySplit="9" topLeftCell="A30" activePane="bottomLeft" state="frozen"/>
      <selection pane="bottomLeft" sqref="A1:M1"/>
    </sheetView>
  </sheetViews>
  <sheetFormatPr defaultRowHeight="14.4" x14ac:dyDescent="0.3"/>
  <cols>
    <col min="1" max="1" width="24" customWidth="1"/>
    <col min="2" max="3" width="16" customWidth="1"/>
    <col min="4" max="4" width="14" customWidth="1"/>
    <col min="5" max="9" width="15" customWidth="1"/>
    <col min="10" max="10" width="16" customWidth="1"/>
    <col min="11" max="12" width="14" customWidth="1"/>
    <col min="13" max="13" width="24" customWidth="1"/>
  </cols>
  <sheetData>
    <row r="1" spans="1:13" ht="28.05" customHeight="1" x14ac:dyDescent="0.3">
      <c r="A1" s="178" t="s">
        <v>259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3" ht="19.95" customHeight="1" x14ac:dyDescent="0.3">
      <c r="A2" s="179" t="s">
        <v>260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4" spans="1:13" ht="19.95" customHeight="1" x14ac:dyDescent="0.3">
      <c r="A4" s="177" t="s">
        <v>261</v>
      </c>
      <c r="B4" s="177"/>
      <c r="C4" s="177"/>
      <c r="D4" s="177" t="s">
        <v>262</v>
      </c>
      <c r="E4" s="177"/>
      <c r="F4" s="177"/>
      <c r="G4" s="177" t="s">
        <v>263</v>
      </c>
      <c r="H4" s="177"/>
      <c r="I4" s="177"/>
      <c r="J4" s="177" t="s">
        <v>264</v>
      </c>
      <c r="K4" s="177"/>
      <c r="L4" s="177"/>
      <c r="M4" s="177"/>
    </row>
    <row r="5" spans="1:13" ht="25.95" customHeight="1" x14ac:dyDescent="0.3">
      <c r="A5" s="175" t="str">
        <f>IF(G5=0,"PASS (CLEAN)","NEEDS ATTENTION")</f>
        <v>PASS (CLEAN)</v>
      </c>
      <c r="B5" s="175"/>
      <c r="C5" s="175"/>
      <c r="D5" s="176">
        <f>SUM(D10:D29)</f>
        <v>28</v>
      </c>
      <c r="E5" s="176"/>
      <c r="F5" s="176"/>
      <c r="G5" s="176">
        <f>SUM(J10:J29)</f>
        <v>0</v>
      </c>
      <c r="H5" s="176"/>
      <c r="I5" s="176"/>
      <c r="J5" s="176">
        <f>SUM(L10:L29)</f>
        <v>1</v>
      </c>
      <c r="K5" s="176"/>
      <c r="L5" s="176"/>
      <c r="M5" s="176"/>
    </row>
    <row r="6" spans="1:13" ht="18" customHeight="1" x14ac:dyDescent="0.3">
      <c r="A6" s="172" t="s">
        <v>265</v>
      </c>
      <c r="B6" s="172"/>
      <c r="C6" s="172"/>
      <c r="D6" s="172" t="str">
        <f>"(" &amp; COUNTIF(D10:D29,"&gt;0") &amp; " Vaults Indexed)"</f>
        <v>(6 Vaults Indexed)</v>
      </c>
      <c r="E6" s="172"/>
      <c r="F6" s="172"/>
      <c r="G6" s="172" t="s">
        <v>266</v>
      </c>
      <c r="H6" s="172"/>
      <c r="I6" s="172"/>
      <c r="J6" s="172" t="str">
        <f>"Avg Churn: " &amp; TEXT(IF(COUNT(K10:K29)&gt;0,AVERAGE(K10:K29),0),"0.0%")</f>
        <v>Avg Churn: 3.1%</v>
      </c>
      <c r="K6" s="172"/>
      <c r="L6" s="172"/>
      <c r="M6" s="172"/>
    </row>
    <row r="7" spans="1:13" ht="19.95" customHeight="1" x14ac:dyDescent="0.3">
      <c r="A7" s="174" t="s">
        <v>267</v>
      </c>
      <c r="B7" s="174"/>
      <c r="C7" s="174"/>
      <c r="D7" s="174" t="s">
        <v>268</v>
      </c>
      <c r="E7" s="174"/>
      <c r="F7" s="174"/>
      <c r="G7" s="174" t="str">
        <f>IF(G5=0,"✅ 0 Spoiler / Physics Leaks","⚠️ Review Actionable Findings")</f>
        <v>✅ 0 Spoiler / Physics Leaks</v>
      </c>
      <c r="H7" s="174"/>
      <c r="I7" s="174"/>
      <c r="J7" s="174" t="s">
        <v>269</v>
      </c>
      <c r="K7" s="174"/>
      <c r="L7" s="174"/>
      <c r="M7" s="174"/>
    </row>
    <row r="8" spans="1:13" ht="22.05" customHeight="1" x14ac:dyDescent="0.3">
      <c r="A8" s="173" t="s">
        <v>270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</row>
    <row r="9" spans="1:13" ht="24" customHeight="1" x14ac:dyDescent="0.3">
      <c r="A9" s="117" t="s">
        <v>271</v>
      </c>
      <c r="B9" s="117" t="s">
        <v>272</v>
      </c>
      <c r="C9" s="118" t="s">
        <v>273</v>
      </c>
      <c r="D9" s="118" t="s">
        <v>274</v>
      </c>
      <c r="E9" s="118" t="s">
        <v>275</v>
      </c>
      <c r="F9" s="118" t="s">
        <v>276</v>
      </c>
      <c r="G9" s="118" t="s">
        <v>277</v>
      </c>
      <c r="H9" s="118" t="s">
        <v>278</v>
      </c>
      <c r="I9" s="118" t="s">
        <v>279</v>
      </c>
      <c r="J9" s="118" t="s">
        <v>280</v>
      </c>
      <c r="K9" s="118" t="s">
        <v>281</v>
      </c>
      <c r="L9" s="118" t="s">
        <v>282</v>
      </c>
      <c r="M9" s="118" t="s">
        <v>283</v>
      </c>
    </row>
    <row r="10" spans="1:13" ht="19.95" customHeight="1" x14ac:dyDescent="0.3">
      <c r="A10" s="119" t="str">
        <f>IF('My Books'!$B5="","",'My Books'!$B5)</f>
        <v>Prisoner of Sand Sea</v>
      </c>
      <c r="B10" s="120" t="str">
        <f>IF($A10="","",'My Books'!$D5)</f>
        <v>Reliquary</v>
      </c>
      <c r="C10" s="121" t="str">
        <f>IF($A10="","",'My Books'!$F5)</f>
        <v>Concept</v>
      </c>
      <c r="D10" s="122">
        <v>3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3">
        <f t="shared" ref="J10:J29" si="0">IF($A10="","",SUM(E10:I10))</f>
        <v>0</v>
      </c>
      <c r="K10" s="124">
        <v>0</v>
      </c>
      <c r="L10" s="122">
        <v>0</v>
      </c>
      <c r="M10" s="121" t="str">
        <f t="shared" ref="M10:M29" si="1">IF($A10="","",IF(N(D10)=0,"⚪ Pending Vault Scan",IF(N(J10)=0,"✅ PASS (0 Findings)","⚠️ "&amp;J10&amp;" Finding(s)")))</f>
        <v>✅ PASS (0 Findings)</v>
      </c>
    </row>
    <row r="11" spans="1:13" ht="19.95" customHeight="1" x14ac:dyDescent="0.3">
      <c r="A11" s="125" t="str">
        <f>IF('My Books'!$B6="","",'My Books'!$B6)</f>
        <v>Gothic Fantasy 1</v>
      </c>
      <c r="B11" s="126" t="str">
        <f>IF($A11="","",'My Books'!$D6)</f>
        <v>Reliquary</v>
      </c>
      <c r="C11" s="127" t="str">
        <f>IF($A11="","",'My Books'!$F6)</f>
        <v>Concept</v>
      </c>
      <c r="D11" s="128">
        <v>2</v>
      </c>
      <c r="E11" s="128">
        <v>0</v>
      </c>
      <c r="F11" s="128">
        <v>0</v>
      </c>
      <c r="G11" s="128">
        <v>0</v>
      </c>
      <c r="H11" s="128">
        <v>0</v>
      </c>
      <c r="I11" s="128">
        <v>0</v>
      </c>
      <c r="J11" s="129">
        <f t="shared" si="0"/>
        <v>0</v>
      </c>
      <c r="K11" s="130">
        <v>0</v>
      </c>
      <c r="L11" s="128">
        <v>0</v>
      </c>
      <c r="M11" s="127" t="str">
        <f t="shared" si="1"/>
        <v>✅ PASS (0 Findings)</v>
      </c>
    </row>
    <row r="12" spans="1:13" ht="19.95" customHeight="1" x14ac:dyDescent="0.3">
      <c r="A12" s="119" t="str">
        <f>IF('My Books'!$B7="","",'My Books'!$B7)</f>
        <v>Quest Fantasy 1</v>
      </c>
      <c r="B12" s="120" t="str">
        <f>IF($A12="","",'My Books'!$D7)</f>
        <v>Reliquary</v>
      </c>
      <c r="C12" s="121" t="str">
        <f>IF($A12="","",'My Books'!$F7)</f>
        <v>Concept</v>
      </c>
      <c r="D12" s="122">
        <v>1</v>
      </c>
      <c r="E12" s="122">
        <v>0</v>
      </c>
      <c r="F12" s="122">
        <v>0</v>
      </c>
      <c r="G12" s="122">
        <v>0</v>
      </c>
      <c r="H12" s="122">
        <v>0</v>
      </c>
      <c r="I12" s="122">
        <v>0</v>
      </c>
      <c r="J12" s="123">
        <f t="shared" si="0"/>
        <v>0</v>
      </c>
      <c r="K12" s="124">
        <v>0</v>
      </c>
      <c r="L12" s="122">
        <v>0</v>
      </c>
      <c r="M12" s="121" t="str">
        <f t="shared" si="1"/>
        <v>✅ PASS (0 Findings)</v>
      </c>
    </row>
    <row r="13" spans="1:13" ht="19.95" customHeight="1" x14ac:dyDescent="0.3">
      <c r="A13" s="125" t="str">
        <f>IF('My Books'!$B8="","",'My Books'!$B8)</f>
        <v>Ruler of Sand Sea</v>
      </c>
      <c r="B13" s="126" t="str">
        <f>IF($A13="","",'My Books'!$D8)</f>
        <v>Reliquary</v>
      </c>
      <c r="C13" s="127" t="str">
        <f>IF($A13="","",'My Books'!$F8)</f>
        <v>Concept</v>
      </c>
      <c r="D13" s="128">
        <v>1</v>
      </c>
      <c r="E13" s="128">
        <v>0</v>
      </c>
      <c r="F13" s="128">
        <v>0</v>
      </c>
      <c r="G13" s="128">
        <v>0</v>
      </c>
      <c r="H13" s="128">
        <v>0</v>
      </c>
      <c r="I13" s="128">
        <v>0</v>
      </c>
      <c r="J13" s="129">
        <f t="shared" si="0"/>
        <v>0</v>
      </c>
      <c r="K13" s="130">
        <v>0</v>
      </c>
      <c r="L13" s="128">
        <v>0</v>
      </c>
      <c r="M13" s="127" t="str">
        <f t="shared" si="1"/>
        <v>✅ PASS (0 Findings)</v>
      </c>
    </row>
    <row r="14" spans="1:13" ht="19.95" customHeight="1" x14ac:dyDescent="0.3">
      <c r="A14" s="119" t="str">
        <f>IF('My Books'!$B9="","",'My Books'!$B9)</f>
        <v>Company of the Storm</v>
      </c>
      <c r="B14" s="120" t="str">
        <f>IF($A14="","",'My Books'!$D9)</f>
        <v>Reliquary</v>
      </c>
      <c r="C14" s="121" t="str">
        <f>IF($A14="","",'My Books'!$F9)</f>
        <v>Concept</v>
      </c>
      <c r="D14" s="122">
        <v>1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3">
        <f t="shared" si="0"/>
        <v>0</v>
      </c>
      <c r="K14" s="124">
        <v>0</v>
      </c>
      <c r="L14" s="122">
        <v>0</v>
      </c>
      <c r="M14" s="121" t="str">
        <f t="shared" si="1"/>
        <v>✅ PASS (0 Findings)</v>
      </c>
    </row>
    <row r="15" spans="1:13" ht="19.95" customHeight="1" x14ac:dyDescent="0.3">
      <c r="A15" s="125" t="str">
        <f>IF('My Books'!$B10="","",'My Books'!$B10)</f>
        <v>The Silver Chronicles</v>
      </c>
      <c r="B15" s="126" t="str">
        <f>IF($A15="","",'My Books'!$D10)</f>
        <v>Eldoria-Cosmos</v>
      </c>
      <c r="C15" s="127" t="str">
        <f>IF($A15="","",'My Books'!$F10)</f>
        <v>Drafting</v>
      </c>
      <c r="D15" s="128">
        <v>20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9">
        <f t="shared" si="0"/>
        <v>0</v>
      </c>
      <c r="K15" s="130">
        <v>0.184</v>
      </c>
      <c r="L15" s="128">
        <v>1</v>
      </c>
      <c r="M15" s="127" t="str">
        <f t="shared" si="1"/>
        <v>✅ PASS (0 Findings)</v>
      </c>
    </row>
    <row r="16" spans="1:13" ht="19.95" customHeight="1" x14ac:dyDescent="0.3">
      <c r="A16" s="119" t="str">
        <f>IF('My Books'!$B11="","",'My Books'!$B11)</f>
        <v/>
      </c>
      <c r="B16" s="120" t="str">
        <f>IF($A16="","",'My Books'!$D11)</f>
        <v/>
      </c>
      <c r="C16" s="121" t="str">
        <f>IF($A16="","",'My Books'!$F11)</f>
        <v/>
      </c>
      <c r="D16" s="122"/>
      <c r="E16" s="122"/>
      <c r="F16" s="122"/>
      <c r="G16" s="122"/>
      <c r="H16" s="122"/>
      <c r="I16" s="122"/>
      <c r="J16" s="123" t="str">
        <f t="shared" si="0"/>
        <v/>
      </c>
      <c r="K16" s="124"/>
      <c r="L16" s="122"/>
      <c r="M16" s="121" t="str">
        <f t="shared" si="1"/>
        <v/>
      </c>
    </row>
    <row r="17" spans="1:13" ht="19.95" customHeight="1" x14ac:dyDescent="0.3">
      <c r="A17" s="125" t="str">
        <f>IF('My Books'!$B12="","",'My Books'!$B12)</f>
        <v/>
      </c>
      <c r="B17" s="126" t="str">
        <f>IF($A17="","",'My Books'!$D12)</f>
        <v/>
      </c>
      <c r="C17" s="127" t="str">
        <f>IF($A17="","",'My Books'!$F12)</f>
        <v/>
      </c>
      <c r="D17" s="128"/>
      <c r="E17" s="128"/>
      <c r="F17" s="128"/>
      <c r="G17" s="128"/>
      <c r="H17" s="128"/>
      <c r="I17" s="128"/>
      <c r="J17" s="129" t="str">
        <f t="shared" si="0"/>
        <v/>
      </c>
      <c r="K17" s="130"/>
      <c r="L17" s="128"/>
      <c r="M17" s="127" t="str">
        <f t="shared" si="1"/>
        <v/>
      </c>
    </row>
    <row r="18" spans="1:13" ht="19.95" customHeight="1" x14ac:dyDescent="0.3">
      <c r="A18" s="119" t="str">
        <f>IF('My Books'!$B13="","",'My Books'!$B13)</f>
        <v/>
      </c>
      <c r="B18" s="120" t="str">
        <f>IF($A18="","",'My Books'!$D13)</f>
        <v/>
      </c>
      <c r="C18" s="121" t="str">
        <f>IF($A18="","",'My Books'!$F13)</f>
        <v/>
      </c>
      <c r="D18" s="122"/>
      <c r="E18" s="122"/>
      <c r="F18" s="122"/>
      <c r="G18" s="122"/>
      <c r="H18" s="122"/>
      <c r="I18" s="122"/>
      <c r="J18" s="123" t="str">
        <f t="shared" si="0"/>
        <v/>
      </c>
      <c r="K18" s="124"/>
      <c r="L18" s="122"/>
      <c r="M18" s="121" t="str">
        <f t="shared" si="1"/>
        <v/>
      </c>
    </row>
    <row r="19" spans="1:13" ht="19.95" customHeight="1" x14ac:dyDescent="0.3">
      <c r="A19" s="125" t="str">
        <f>IF('My Books'!$B14="","",'My Books'!$B14)</f>
        <v/>
      </c>
      <c r="B19" s="126" t="str">
        <f>IF($A19="","",'My Books'!$D14)</f>
        <v/>
      </c>
      <c r="C19" s="127" t="str">
        <f>IF($A19="","",'My Books'!$F14)</f>
        <v/>
      </c>
      <c r="D19" s="128"/>
      <c r="E19" s="128"/>
      <c r="F19" s="128"/>
      <c r="G19" s="128"/>
      <c r="H19" s="128"/>
      <c r="I19" s="128"/>
      <c r="J19" s="129" t="str">
        <f t="shared" si="0"/>
        <v/>
      </c>
      <c r="K19" s="130"/>
      <c r="L19" s="128"/>
      <c r="M19" s="127" t="str">
        <f t="shared" si="1"/>
        <v/>
      </c>
    </row>
    <row r="20" spans="1:13" ht="19.95" customHeight="1" x14ac:dyDescent="0.3">
      <c r="A20" s="119" t="str">
        <f>IF('My Books'!$B15="","",'My Books'!$B15)</f>
        <v/>
      </c>
      <c r="B20" s="120" t="str">
        <f>IF($A20="","",'My Books'!$D15)</f>
        <v/>
      </c>
      <c r="C20" s="121" t="str">
        <f>IF($A20="","",'My Books'!$F15)</f>
        <v/>
      </c>
      <c r="D20" s="122"/>
      <c r="E20" s="122"/>
      <c r="F20" s="122"/>
      <c r="G20" s="122"/>
      <c r="H20" s="122"/>
      <c r="I20" s="122"/>
      <c r="J20" s="123" t="str">
        <f t="shared" si="0"/>
        <v/>
      </c>
      <c r="K20" s="124"/>
      <c r="L20" s="122"/>
      <c r="M20" s="121" t="str">
        <f t="shared" si="1"/>
        <v/>
      </c>
    </row>
    <row r="21" spans="1:13" ht="19.95" customHeight="1" x14ac:dyDescent="0.3">
      <c r="A21" s="125" t="str">
        <f>IF('My Books'!$B16="","",'My Books'!$B16)</f>
        <v/>
      </c>
      <c r="B21" s="126" t="str">
        <f>IF($A21="","",'My Books'!$D16)</f>
        <v/>
      </c>
      <c r="C21" s="127" t="str">
        <f>IF($A21="","",'My Books'!$F16)</f>
        <v/>
      </c>
      <c r="D21" s="128"/>
      <c r="E21" s="128"/>
      <c r="F21" s="128"/>
      <c r="G21" s="128"/>
      <c r="H21" s="128"/>
      <c r="I21" s="128"/>
      <c r="J21" s="129" t="str">
        <f t="shared" si="0"/>
        <v/>
      </c>
      <c r="K21" s="130"/>
      <c r="L21" s="128"/>
      <c r="M21" s="127" t="str">
        <f t="shared" si="1"/>
        <v/>
      </c>
    </row>
    <row r="22" spans="1:13" ht="19.95" customHeight="1" x14ac:dyDescent="0.3">
      <c r="A22" s="119" t="str">
        <f>IF('My Books'!$B17="","",'My Books'!$B17)</f>
        <v/>
      </c>
      <c r="B22" s="120" t="str">
        <f>IF($A22="","",'My Books'!$D17)</f>
        <v/>
      </c>
      <c r="C22" s="121" t="str">
        <f>IF($A22="","",'My Books'!$F17)</f>
        <v/>
      </c>
      <c r="D22" s="122"/>
      <c r="E22" s="122"/>
      <c r="F22" s="122"/>
      <c r="G22" s="122"/>
      <c r="H22" s="122"/>
      <c r="I22" s="122"/>
      <c r="J22" s="123" t="str">
        <f t="shared" si="0"/>
        <v/>
      </c>
      <c r="K22" s="124"/>
      <c r="L22" s="122"/>
      <c r="M22" s="121" t="str">
        <f t="shared" si="1"/>
        <v/>
      </c>
    </row>
    <row r="23" spans="1:13" ht="19.95" customHeight="1" x14ac:dyDescent="0.3">
      <c r="A23" s="125" t="str">
        <f>IF('My Books'!$B18="","",'My Books'!$B18)</f>
        <v/>
      </c>
      <c r="B23" s="126" t="str">
        <f>IF($A23="","",'My Books'!$D18)</f>
        <v/>
      </c>
      <c r="C23" s="127" t="str">
        <f>IF($A23="","",'My Books'!$F18)</f>
        <v/>
      </c>
      <c r="D23" s="128"/>
      <c r="E23" s="128"/>
      <c r="F23" s="128"/>
      <c r="G23" s="128"/>
      <c r="H23" s="128"/>
      <c r="I23" s="128"/>
      <c r="J23" s="129" t="str">
        <f t="shared" si="0"/>
        <v/>
      </c>
      <c r="K23" s="130"/>
      <c r="L23" s="128"/>
      <c r="M23" s="127" t="str">
        <f t="shared" si="1"/>
        <v/>
      </c>
    </row>
    <row r="24" spans="1:13" ht="19.95" customHeight="1" x14ac:dyDescent="0.3">
      <c r="A24" s="119" t="str">
        <f>IF('My Books'!$B19="","",'My Books'!$B19)</f>
        <v/>
      </c>
      <c r="B24" s="120" t="str">
        <f>IF($A24="","",'My Books'!$D19)</f>
        <v/>
      </c>
      <c r="C24" s="121" t="str">
        <f>IF($A24="","",'My Books'!$F19)</f>
        <v/>
      </c>
      <c r="D24" s="122"/>
      <c r="E24" s="122"/>
      <c r="F24" s="122"/>
      <c r="G24" s="122"/>
      <c r="H24" s="122"/>
      <c r="I24" s="122"/>
      <c r="J24" s="123" t="str">
        <f t="shared" si="0"/>
        <v/>
      </c>
      <c r="K24" s="124"/>
      <c r="L24" s="122"/>
      <c r="M24" s="121" t="str">
        <f t="shared" si="1"/>
        <v/>
      </c>
    </row>
    <row r="25" spans="1:13" ht="19.95" customHeight="1" x14ac:dyDescent="0.3">
      <c r="A25" s="125" t="str">
        <f>IF('My Books'!$B20="","",'My Books'!$B20)</f>
        <v/>
      </c>
      <c r="B25" s="126" t="str">
        <f>IF($A25="","",'My Books'!$D20)</f>
        <v/>
      </c>
      <c r="C25" s="127" t="str">
        <f>IF($A25="","",'My Books'!$F20)</f>
        <v/>
      </c>
      <c r="D25" s="128"/>
      <c r="E25" s="128"/>
      <c r="F25" s="128"/>
      <c r="G25" s="128"/>
      <c r="H25" s="128"/>
      <c r="I25" s="128"/>
      <c r="J25" s="129" t="str">
        <f t="shared" si="0"/>
        <v/>
      </c>
      <c r="K25" s="130"/>
      <c r="L25" s="128"/>
      <c r="M25" s="127" t="str">
        <f t="shared" si="1"/>
        <v/>
      </c>
    </row>
    <row r="26" spans="1:13" ht="19.95" customHeight="1" x14ac:dyDescent="0.3">
      <c r="A26" s="119" t="str">
        <f>IF('My Books'!$B21="","",'My Books'!$B21)</f>
        <v/>
      </c>
      <c r="B26" s="120" t="str">
        <f>IF($A26="","",'My Books'!$D21)</f>
        <v/>
      </c>
      <c r="C26" s="121" t="str">
        <f>IF($A26="","",'My Books'!$F21)</f>
        <v/>
      </c>
      <c r="D26" s="122"/>
      <c r="E26" s="122"/>
      <c r="F26" s="122"/>
      <c r="G26" s="122"/>
      <c r="H26" s="122"/>
      <c r="I26" s="122"/>
      <c r="J26" s="123" t="str">
        <f t="shared" si="0"/>
        <v/>
      </c>
      <c r="K26" s="124"/>
      <c r="L26" s="122"/>
      <c r="M26" s="121" t="str">
        <f t="shared" si="1"/>
        <v/>
      </c>
    </row>
    <row r="27" spans="1:13" ht="19.95" customHeight="1" x14ac:dyDescent="0.3">
      <c r="A27" s="125" t="str">
        <f>IF('My Books'!$B22="","",'My Books'!$B22)</f>
        <v/>
      </c>
      <c r="B27" s="126" t="str">
        <f>IF($A27="","",'My Books'!$D22)</f>
        <v/>
      </c>
      <c r="C27" s="127" t="str">
        <f>IF($A27="","",'My Books'!$F22)</f>
        <v/>
      </c>
      <c r="D27" s="128"/>
      <c r="E27" s="128"/>
      <c r="F27" s="128"/>
      <c r="G27" s="128"/>
      <c r="H27" s="128"/>
      <c r="I27" s="128"/>
      <c r="J27" s="129" t="str">
        <f t="shared" si="0"/>
        <v/>
      </c>
      <c r="K27" s="130"/>
      <c r="L27" s="128"/>
      <c r="M27" s="127" t="str">
        <f t="shared" si="1"/>
        <v/>
      </c>
    </row>
    <row r="28" spans="1:13" ht="19.95" customHeight="1" x14ac:dyDescent="0.3">
      <c r="A28" s="119" t="str">
        <f>IF('My Books'!$B23="","",'My Books'!$B23)</f>
        <v/>
      </c>
      <c r="B28" s="120" t="str">
        <f>IF($A28="","",'My Books'!$D23)</f>
        <v/>
      </c>
      <c r="C28" s="121" t="str">
        <f>IF($A28="","",'My Books'!$F23)</f>
        <v/>
      </c>
      <c r="D28" s="122"/>
      <c r="E28" s="122"/>
      <c r="F28" s="122"/>
      <c r="G28" s="122"/>
      <c r="H28" s="122"/>
      <c r="I28" s="122"/>
      <c r="J28" s="123" t="str">
        <f t="shared" si="0"/>
        <v/>
      </c>
      <c r="K28" s="124"/>
      <c r="L28" s="122"/>
      <c r="M28" s="121" t="str">
        <f t="shared" si="1"/>
        <v/>
      </c>
    </row>
    <row r="29" spans="1:13" ht="19.95" customHeight="1" x14ac:dyDescent="0.3">
      <c r="A29" s="125" t="str">
        <f>IF('My Books'!$B24="","",'My Books'!$B24)</f>
        <v/>
      </c>
      <c r="B29" s="126" t="str">
        <f>IF($A29="","",'My Books'!$D24)</f>
        <v/>
      </c>
      <c r="C29" s="127" t="str">
        <f>IF($A29="","",'My Books'!$F24)</f>
        <v/>
      </c>
      <c r="D29" s="128"/>
      <c r="E29" s="128"/>
      <c r="F29" s="128"/>
      <c r="G29" s="128"/>
      <c r="H29" s="128"/>
      <c r="I29" s="128"/>
      <c r="J29" s="129" t="str">
        <f t="shared" si="0"/>
        <v/>
      </c>
      <c r="K29" s="130"/>
      <c r="L29" s="128"/>
      <c r="M29" s="127" t="str">
        <f t="shared" si="1"/>
        <v/>
      </c>
    </row>
    <row r="30" spans="1:13" ht="22.05" customHeight="1" x14ac:dyDescent="0.3">
      <c r="A30" s="131" t="s">
        <v>284</v>
      </c>
      <c r="B30" s="131"/>
      <c r="C30" s="131"/>
      <c r="D30" s="132">
        <f t="shared" ref="D30:J30" si="2">SUM(D10:D29)</f>
        <v>28</v>
      </c>
      <c r="E30" s="132">
        <f t="shared" si="2"/>
        <v>0</v>
      </c>
      <c r="F30" s="132">
        <f t="shared" si="2"/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 t="shared" si="2"/>
        <v>0</v>
      </c>
      <c r="K30" s="133">
        <f>IF(COUNT(K10:K29)&gt;0,AVERAGE(K10:K29),0)</f>
        <v>3.0666666666666665E-2</v>
      </c>
      <c r="L30" s="132">
        <f>SUM(L10:L29)</f>
        <v>1</v>
      </c>
      <c r="M30" s="134" t="str">
        <f>IF(J30=0,"✅ All Audited Vaults Clean","⚠️ "&amp;J30&amp;" Total Findings")</f>
        <v>✅ All Audited Vaults Clean</v>
      </c>
    </row>
    <row r="32" spans="1:13" ht="22.05" customHeight="1" x14ac:dyDescent="0.3">
      <c r="A32" s="173" t="s">
        <v>285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</row>
  </sheetData>
  <mergeCells count="20">
    <mergeCell ref="D4:F4"/>
    <mergeCell ref="G4:I4"/>
    <mergeCell ref="A4:C4"/>
    <mergeCell ref="J5:M5"/>
    <mergeCell ref="A1:M1"/>
    <mergeCell ref="D5:F5"/>
    <mergeCell ref="J4:M4"/>
    <mergeCell ref="A2:M2"/>
    <mergeCell ref="G6:I6"/>
    <mergeCell ref="A32:M32"/>
    <mergeCell ref="A8:M8"/>
    <mergeCell ref="D7:F7"/>
    <mergeCell ref="A5:C5"/>
    <mergeCell ref="G5:I5"/>
    <mergeCell ref="J6:M6"/>
    <mergeCell ref="J7:M7"/>
    <mergeCell ref="A6:C6"/>
    <mergeCell ref="D6:F6"/>
    <mergeCell ref="A7:C7"/>
    <mergeCell ref="G7:I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tabSelected="1" topLeftCell="B1" workbookViewId="0">
      <pane ySplit="9" topLeftCell="A10" activePane="bottomLeft" state="frozen"/>
      <selection pane="bottomLeft" sqref="A1:L1"/>
    </sheetView>
  </sheetViews>
  <sheetFormatPr defaultRowHeight="14.4" x14ac:dyDescent="0.3"/>
  <cols>
    <col min="1" max="1" width="24" customWidth="1"/>
    <col min="2" max="2" width="16" customWidth="1"/>
    <col min="3" max="3" width="13" customWidth="1"/>
    <col min="4" max="4" width="16" customWidth="1"/>
    <col min="5" max="5" width="14" customWidth="1"/>
    <col min="6" max="6" width="15" customWidth="1"/>
    <col min="7" max="9" width="16" customWidth="1"/>
    <col min="10" max="10" width="15" customWidth="1"/>
    <col min="11" max="11" width="28" customWidth="1"/>
    <col min="12" max="12" width="24" customWidth="1"/>
  </cols>
  <sheetData>
    <row r="1" spans="1:12" ht="28.05" customHeight="1" x14ac:dyDescent="0.3">
      <c r="A1" s="185" t="s">
        <v>286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19.95" customHeight="1" x14ac:dyDescent="0.3">
      <c r="A2" s="179" t="s">
        <v>287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</row>
    <row r="4" spans="1:12" ht="19.95" customHeight="1" x14ac:dyDescent="0.3">
      <c r="A4" s="181" t="s">
        <v>288</v>
      </c>
      <c r="B4" s="181"/>
      <c r="C4" s="181"/>
      <c r="D4" s="181" t="s">
        <v>289</v>
      </c>
      <c r="E4" s="181"/>
      <c r="F4" s="181"/>
      <c r="G4" s="181" t="s">
        <v>290</v>
      </c>
      <c r="H4" s="181"/>
      <c r="I4" s="181"/>
      <c r="J4" s="181" t="s">
        <v>291</v>
      </c>
      <c r="K4" s="181"/>
      <c r="L4" s="181"/>
    </row>
    <row r="5" spans="1:12" ht="25.95" customHeight="1" x14ac:dyDescent="0.3">
      <c r="A5" s="183">
        <f>SUM(C10:I29)</f>
        <v>106</v>
      </c>
      <c r="B5" s="183"/>
      <c r="C5" s="183"/>
      <c r="D5" s="183">
        <f>SUM(F10:F29)</f>
        <v>15</v>
      </c>
      <c r="E5" s="183"/>
      <c r="F5" s="183"/>
      <c r="G5" s="183">
        <f>SUM(J10:J29)</f>
        <v>163</v>
      </c>
      <c r="H5" s="183"/>
      <c r="I5" s="183"/>
      <c r="J5" s="183">
        <f>COUNTIF(A10:A29,"?*")</f>
        <v>6</v>
      </c>
      <c r="K5" s="183"/>
      <c r="L5" s="183"/>
    </row>
    <row r="6" spans="1:12" ht="18" customHeight="1" x14ac:dyDescent="0.3">
      <c r="A6" s="180" t="s">
        <v>292</v>
      </c>
      <c r="B6" s="180"/>
      <c r="C6" s="180"/>
      <c r="D6" s="180" t="s">
        <v>293</v>
      </c>
      <c r="E6" s="180"/>
      <c r="F6" s="180"/>
      <c r="G6" s="180" t="s">
        <v>294</v>
      </c>
      <c r="H6" s="180"/>
      <c r="I6" s="180"/>
      <c r="J6" s="180" t="s">
        <v>295</v>
      </c>
      <c r="K6" s="180"/>
      <c r="L6" s="180"/>
    </row>
    <row r="7" spans="1:12" ht="19.95" customHeight="1" x14ac:dyDescent="0.3">
      <c r="A7" s="182" t="s">
        <v>296</v>
      </c>
      <c r="B7" s="182"/>
      <c r="C7" s="182"/>
      <c r="D7" s="182" t="s">
        <v>297</v>
      </c>
      <c r="E7" s="182"/>
      <c r="F7" s="182"/>
      <c r="G7" s="182" t="s">
        <v>298</v>
      </c>
      <c r="H7" s="182"/>
      <c r="I7" s="182"/>
      <c r="J7" s="182" t="s">
        <v>299</v>
      </c>
      <c r="K7" s="182"/>
      <c r="L7" s="182"/>
    </row>
    <row r="8" spans="1:12" ht="22.05" customHeight="1" x14ac:dyDescent="0.3">
      <c r="A8" s="184" t="s">
        <v>300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</row>
    <row r="9" spans="1:12" ht="24" customHeight="1" x14ac:dyDescent="0.3">
      <c r="A9" s="135" t="s">
        <v>301</v>
      </c>
      <c r="B9" s="135" t="s">
        <v>272</v>
      </c>
      <c r="C9" s="136" t="s">
        <v>234</v>
      </c>
      <c r="D9" s="136" t="s">
        <v>235</v>
      </c>
      <c r="E9" s="136" t="s">
        <v>302</v>
      </c>
      <c r="F9" s="136" t="s">
        <v>240</v>
      </c>
      <c r="G9" s="136" t="s">
        <v>242</v>
      </c>
      <c r="H9" s="136" t="s">
        <v>244</v>
      </c>
      <c r="I9" s="136" t="s">
        <v>246</v>
      </c>
      <c r="J9" s="136" t="s">
        <v>303</v>
      </c>
      <c r="K9" s="135" t="s">
        <v>304</v>
      </c>
      <c r="L9" s="136" t="s">
        <v>305</v>
      </c>
    </row>
    <row r="10" spans="1:12" ht="19.95" customHeight="1" x14ac:dyDescent="0.3">
      <c r="A10" s="137" t="str">
        <f>IF('Universes &amp; Series'!$A5="","",'Universes &amp; Series'!$A5)</f>
        <v>Sand Sea Saga</v>
      </c>
      <c r="B10" s="138" t="str">
        <f>IF($A10="","",'Universes &amp; Series'!$B5)</f>
        <v>Reliquary</v>
      </c>
      <c r="C10" s="139">
        <v>4</v>
      </c>
      <c r="D10" s="139">
        <v>5</v>
      </c>
      <c r="E10" s="139">
        <v>3</v>
      </c>
      <c r="F10" s="139">
        <v>12</v>
      </c>
      <c r="G10" s="139">
        <v>3</v>
      </c>
      <c r="H10" s="139">
        <v>4</v>
      </c>
      <c r="I10" s="139">
        <v>3</v>
      </c>
      <c r="J10" s="139">
        <v>28</v>
      </c>
      <c r="K10" s="138" t="s">
        <v>306</v>
      </c>
      <c r="L10" s="140" t="str">
        <f t="shared" ref="L10:L29" si="0">IF($A10="","",IF(SUM(C10:I10)=0,"⚪ Empty Lore Vault",IF(J10&gt;=SUM(C10:I10),"🟢 Richly Linked ("&amp;SUM(C10:I10)&amp;" entities)","🟡 Growing Lore ("&amp;SUM(C10:I10)&amp;" entities)")))</f>
        <v>🟡 Growing Lore (34 entities)</v>
      </c>
    </row>
    <row r="11" spans="1:12" ht="19.95" customHeight="1" x14ac:dyDescent="0.3">
      <c r="A11" s="125" t="str">
        <f>IF('Universes &amp; Series'!$A6="","",'Universes &amp; Series'!$A6)</f>
        <v>Gothic Fantasy Series</v>
      </c>
      <c r="B11" s="126" t="str">
        <f>IF($A11="","",'Universes &amp; Series'!$B6)</f>
        <v>Reliquary</v>
      </c>
      <c r="C11" s="128">
        <v>3</v>
      </c>
      <c r="D11" s="128">
        <v>3</v>
      </c>
      <c r="E11" s="128">
        <v>2</v>
      </c>
      <c r="F11" s="128">
        <v>0</v>
      </c>
      <c r="G11" s="128">
        <v>2</v>
      </c>
      <c r="H11" s="128">
        <v>3</v>
      </c>
      <c r="I11" s="128">
        <v>2</v>
      </c>
      <c r="J11" s="128">
        <v>16</v>
      </c>
      <c r="K11" s="126" t="s">
        <v>307</v>
      </c>
      <c r="L11" s="127" t="str">
        <f t="shared" si="0"/>
        <v>🟢 Richly Linked (15 entities)</v>
      </c>
    </row>
    <row r="12" spans="1:12" ht="19.95" customHeight="1" x14ac:dyDescent="0.3">
      <c r="A12" s="137" t="str">
        <f>IF('Universes &amp; Series'!$A7="","",'Universes &amp; Series'!$A7)</f>
        <v>Classic Quest Fantasy</v>
      </c>
      <c r="B12" s="138" t="str">
        <f>IF($A12="","",'Universes &amp; Series'!$B7)</f>
        <v>Reliquary</v>
      </c>
      <c r="C12" s="139">
        <v>3</v>
      </c>
      <c r="D12" s="139">
        <v>4</v>
      </c>
      <c r="E12" s="139">
        <v>2</v>
      </c>
      <c r="F12" s="139">
        <v>0</v>
      </c>
      <c r="G12" s="139">
        <v>2</v>
      </c>
      <c r="H12" s="139">
        <v>2</v>
      </c>
      <c r="I12" s="139">
        <v>2</v>
      </c>
      <c r="J12" s="139">
        <v>15</v>
      </c>
      <c r="K12" s="138" t="s">
        <v>308</v>
      </c>
      <c r="L12" s="140" t="str">
        <f t="shared" si="0"/>
        <v>🟢 Richly Linked (15 entities)</v>
      </c>
    </row>
    <row r="13" spans="1:12" ht="19.95" customHeight="1" x14ac:dyDescent="0.3">
      <c r="A13" s="125" t="str">
        <f>IF('Universes &amp; Series'!$A8="","",'Universes &amp; Series'!$A8)</f>
        <v>Stormbreaker Chronicles</v>
      </c>
      <c r="B13" s="126" t="str">
        <f>IF($A13="","",'Universes &amp; Series'!$B8)</f>
        <v>Reliquary</v>
      </c>
      <c r="C13" s="128">
        <v>5</v>
      </c>
      <c r="D13" s="128">
        <v>4</v>
      </c>
      <c r="E13" s="128">
        <v>1</v>
      </c>
      <c r="F13" s="128">
        <v>0</v>
      </c>
      <c r="G13" s="128">
        <v>4</v>
      </c>
      <c r="H13" s="128">
        <v>2</v>
      </c>
      <c r="I13" s="128">
        <v>2</v>
      </c>
      <c r="J13" s="128">
        <v>19</v>
      </c>
      <c r="K13" s="126" t="s">
        <v>309</v>
      </c>
      <c r="L13" s="127" t="str">
        <f t="shared" si="0"/>
        <v>🟢 Richly Linked (18 entities)</v>
      </c>
    </row>
    <row r="14" spans="1:12" ht="19.95" customHeight="1" x14ac:dyDescent="0.3">
      <c r="A14" s="137" t="str">
        <f>IF('Universes &amp; Series'!$A9="","",'Universes &amp; Series'!$A9)</f>
        <v>The Silver Chronicles</v>
      </c>
      <c r="B14" s="138" t="str">
        <f>IF($A14="","",'Universes &amp; Series'!$B9)</f>
        <v>Eldoria-Cosmos</v>
      </c>
      <c r="C14" s="139">
        <v>3</v>
      </c>
      <c r="D14" s="139">
        <v>3</v>
      </c>
      <c r="E14" s="139">
        <v>1</v>
      </c>
      <c r="F14" s="139">
        <v>3</v>
      </c>
      <c r="G14" s="139">
        <v>1</v>
      </c>
      <c r="H14" s="139">
        <v>2</v>
      </c>
      <c r="I14" s="139">
        <v>3</v>
      </c>
      <c r="J14" s="139">
        <v>75</v>
      </c>
      <c r="K14" s="138" t="s">
        <v>310</v>
      </c>
      <c r="L14" s="140" t="str">
        <f t="shared" si="0"/>
        <v>🟢 Richly Linked (16 entities)</v>
      </c>
    </row>
    <row r="15" spans="1:12" ht="19.95" customHeight="1" x14ac:dyDescent="0.3">
      <c r="A15" s="125" t="str">
        <f>IF('Universes &amp; Series'!$A10="","",'Universes &amp; Series'!$A10)</f>
        <v>Silver Chronicles</v>
      </c>
      <c r="B15" s="126" t="str">
        <f>IF($A15="","",'Universes &amp; Series'!$B10)</f>
        <v>Eldoria-Cosmos</v>
      </c>
      <c r="C15" s="128">
        <v>2</v>
      </c>
      <c r="D15" s="128">
        <v>2</v>
      </c>
      <c r="E15" s="128">
        <v>1</v>
      </c>
      <c r="F15" s="128">
        <v>0</v>
      </c>
      <c r="G15" s="128">
        <v>1</v>
      </c>
      <c r="H15" s="128">
        <v>1</v>
      </c>
      <c r="I15" s="128">
        <v>1</v>
      </c>
      <c r="J15" s="128">
        <v>10</v>
      </c>
      <c r="K15" s="126" t="s">
        <v>311</v>
      </c>
      <c r="L15" s="127" t="str">
        <f t="shared" si="0"/>
        <v>🟢 Richly Linked (8 entities)</v>
      </c>
    </row>
    <row r="16" spans="1:12" ht="19.95" customHeight="1" x14ac:dyDescent="0.3">
      <c r="A16" s="137" t="str">
        <f>IF('Universes &amp; Series'!$A11="","",'Universes &amp; Series'!$A11)</f>
        <v/>
      </c>
      <c r="B16" s="138" t="str">
        <f>IF($A16="","",'Universes &amp; Series'!$B11)</f>
        <v/>
      </c>
      <c r="C16" s="139"/>
      <c r="D16" s="139"/>
      <c r="E16" s="139"/>
      <c r="F16" s="139"/>
      <c r="G16" s="139"/>
      <c r="H16" s="139"/>
      <c r="I16" s="139"/>
      <c r="J16" s="139"/>
      <c r="K16" s="138"/>
      <c r="L16" s="140" t="str">
        <f t="shared" si="0"/>
        <v/>
      </c>
    </row>
    <row r="17" spans="1:12" ht="19.95" customHeight="1" x14ac:dyDescent="0.3">
      <c r="A17" s="125" t="str">
        <f>IF('Universes &amp; Series'!$A12="","",'Universes &amp; Series'!$A12)</f>
        <v/>
      </c>
      <c r="B17" s="126" t="str">
        <f>IF($A17="","",'Universes &amp; Series'!$B12)</f>
        <v/>
      </c>
      <c r="C17" s="128"/>
      <c r="D17" s="128"/>
      <c r="E17" s="128"/>
      <c r="F17" s="128"/>
      <c r="G17" s="128"/>
      <c r="H17" s="128"/>
      <c r="I17" s="128"/>
      <c r="J17" s="128"/>
      <c r="K17" s="126"/>
      <c r="L17" s="127" t="str">
        <f t="shared" si="0"/>
        <v/>
      </c>
    </row>
    <row r="18" spans="1:12" ht="19.95" customHeight="1" x14ac:dyDescent="0.3">
      <c r="A18" s="137" t="str">
        <f>IF('Universes &amp; Series'!$A13="","",'Universes &amp; Series'!$A13)</f>
        <v/>
      </c>
      <c r="B18" s="138" t="str">
        <f>IF($A18="","",'Universes &amp; Series'!$B13)</f>
        <v/>
      </c>
      <c r="C18" s="139"/>
      <c r="D18" s="139"/>
      <c r="E18" s="139"/>
      <c r="F18" s="139"/>
      <c r="G18" s="139"/>
      <c r="H18" s="139"/>
      <c r="I18" s="139"/>
      <c r="J18" s="139"/>
      <c r="K18" s="138"/>
      <c r="L18" s="140" t="str">
        <f t="shared" si="0"/>
        <v/>
      </c>
    </row>
    <row r="19" spans="1:12" ht="19.95" customHeight="1" x14ac:dyDescent="0.3">
      <c r="A19" s="125" t="str">
        <f>IF('Universes &amp; Series'!$A14="","",'Universes &amp; Series'!$A14)</f>
        <v/>
      </c>
      <c r="B19" s="126" t="str">
        <f>IF($A19="","",'Universes &amp; Series'!$B14)</f>
        <v/>
      </c>
      <c r="C19" s="128"/>
      <c r="D19" s="128"/>
      <c r="E19" s="128"/>
      <c r="F19" s="128"/>
      <c r="G19" s="128"/>
      <c r="H19" s="128"/>
      <c r="I19" s="128"/>
      <c r="J19" s="128"/>
      <c r="K19" s="126"/>
      <c r="L19" s="127" t="str">
        <f t="shared" si="0"/>
        <v/>
      </c>
    </row>
    <row r="20" spans="1:12" ht="19.95" customHeight="1" x14ac:dyDescent="0.3">
      <c r="A20" s="137" t="str">
        <f>IF('Universes &amp; Series'!$A15="","",'Universes &amp; Series'!$A15)</f>
        <v/>
      </c>
      <c r="B20" s="138" t="str">
        <f>IF($A20="","",'Universes &amp; Series'!$B15)</f>
        <v/>
      </c>
      <c r="C20" s="139"/>
      <c r="D20" s="139"/>
      <c r="E20" s="139"/>
      <c r="F20" s="139"/>
      <c r="G20" s="139"/>
      <c r="H20" s="139"/>
      <c r="I20" s="139"/>
      <c r="J20" s="139"/>
      <c r="K20" s="138"/>
      <c r="L20" s="140" t="str">
        <f t="shared" si="0"/>
        <v/>
      </c>
    </row>
    <row r="21" spans="1:12" ht="19.95" customHeight="1" x14ac:dyDescent="0.3">
      <c r="A21" s="125" t="str">
        <f>IF('Universes &amp; Series'!$A16="","",'Universes &amp; Series'!$A16)</f>
        <v/>
      </c>
      <c r="B21" s="126" t="str">
        <f>IF($A21="","",'Universes &amp; Series'!$B16)</f>
        <v/>
      </c>
      <c r="C21" s="128"/>
      <c r="D21" s="128"/>
      <c r="E21" s="128"/>
      <c r="F21" s="128"/>
      <c r="G21" s="128"/>
      <c r="H21" s="128"/>
      <c r="I21" s="128"/>
      <c r="J21" s="128"/>
      <c r="K21" s="126"/>
      <c r="L21" s="127" t="str">
        <f t="shared" si="0"/>
        <v/>
      </c>
    </row>
    <row r="22" spans="1:12" ht="19.95" customHeight="1" x14ac:dyDescent="0.3">
      <c r="A22" s="137" t="str">
        <f>IF('Universes &amp; Series'!$A17="","",'Universes &amp; Series'!$A17)</f>
        <v/>
      </c>
      <c r="B22" s="138" t="str">
        <f>IF($A22="","",'Universes &amp; Series'!$B17)</f>
        <v/>
      </c>
      <c r="C22" s="139"/>
      <c r="D22" s="139"/>
      <c r="E22" s="139"/>
      <c r="F22" s="139"/>
      <c r="G22" s="139"/>
      <c r="H22" s="139"/>
      <c r="I22" s="139"/>
      <c r="J22" s="139"/>
      <c r="K22" s="138"/>
      <c r="L22" s="140" t="str">
        <f t="shared" si="0"/>
        <v/>
      </c>
    </row>
    <row r="23" spans="1:12" ht="19.95" customHeight="1" x14ac:dyDescent="0.3">
      <c r="A23" s="125" t="str">
        <f>IF('Universes &amp; Series'!$A18="","",'Universes &amp; Series'!$A18)</f>
        <v/>
      </c>
      <c r="B23" s="126" t="str">
        <f>IF($A23="","",'Universes &amp; Series'!$B18)</f>
        <v/>
      </c>
      <c r="C23" s="128"/>
      <c r="D23" s="128"/>
      <c r="E23" s="128"/>
      <c r="F23" s="128"/>
      <c r="G23" s="128"/>
      <c r="H23" s="128"/>
      <c r="I23" s="128"/>
      <c r="J23" s="128"/>
      <c r="K23" s="126"/>
      <c r="L23" s="127" t="str">
        <f t="shared" si="0"/>
        <v/>
      </c>
    </row>
    <row r="24" spans="1:12" ht="19.95" customHeight="1" x14ac:dyDescent="0.3">
      <c r="A24" s="137" t="str">
        <f>IF('Universes &amp; Series'!$A19="","",'Universes &amp; Series'!$A19)</f>
        <v/>
      </c>
      <c r="B24" s="138" t="str">
        <f>IF($A24="","",'Universes &amp; Series'!$B19)</f>
        <v/>
      </c>
      <c r="C24" s="139"/>
      <c r="D24" s="139"/>
      <c r="E24" s="139"/>
      <c r="F24" s="139"/>
      <c r="G24" s="139"/>
      <c r="H24" s="139"/>
      <c r="I24" s="139"/>
      <c r="J24" s="139"/>
      <c r="K24" s="138"/>
      <c r="L24" s="140" t="str">
        <f t="shared" si="0"/>
        <v/>
      </c>
    </row>
    <row r="25" spans="1:12" ht="19.95" customHeight="1" x14ac:dyDescent="0.3">
      <c r="A25" s="125" t="str">
        <f>IF('Universes &amp; Series'!$A20="","",'Universes &amp; Series'!$A20)</f>
        <v/>
      </c>
      <c r="B25" s="126" t="str">
        <f>IF($A25="","",'Universes &amp; Series'!$B20)</f>
        <v/>
      </c>
      <c r="C25" s="128"/>
      <c r="D25" s="128"/>
      <c r="E25" s="128"/>
      <c r="F25" s="128"/>
      <c r="G25" s="128"/>
      <c r="H25" s="128"/>
      <c r="I25" s="128"/>
      <c r="J25" s="128"/>
      <c r="K25" s="126"/>
      <c r="L25" s="127" t="str">
        <f t="shared" si="0"/>
        <v/>
      </c>
    </row>
    <row r="26" spans="1:12" ht="19.95" customHeight="1" x14ac:dyDescent="0.3">
      <c r="A26" s="137" t="str">
        <f>IF('Universes &amp; Series'!$A21="","",'Universes &amp; Series'!$A21)</f>
        <v/>
      </c>
      <c r="B26" s="138" t="str">
        <f>IF($A26="","",'Universes &amp; Series'!$B21)</f>
        <v/>
      </c>
      <c r="C26" s="139"/>
      <c r="D26" s="139"/>
      <c r="E26" s="139"/>
      <c r="F26" s="139"/>
      <c r="G26" s="139"/>
      <c r="H26" s="139"/>
      <c r="I26" s="139"/>
      <c r="J26" s="139"/>
      <c r="K26" s="138"/>
      <c r="L26" s="140" t="str">
        <f t="shared" si="0"/>
        <v/>
      </c>
    </row>
    <row r="27" spans="1:12" ht="19.95" customHeight="1" x14ac:dyDescent="0.3">
      <c r="A27" s="125" t="str">
        <f>IF('Universes &amp; Series'!$A22="","",'Universes &amp; Series'!$A22)</f>
        <v/>
      </c>
      <c r="B27" s="126" t="str">
        <f>IF($A27="","",'Universes &amp; Series'!$B22)</f>
        <v/>
      </c>
      <c r="C27" s="128"/>
      <c r="D27" s="128"/>
      <c r="E27" s="128"/>
      <c r="F27" s="128"/>
      <c r="G27" s="128"/>
      <c r="H27" s="128"/>
      <c r="I27" s="128"/>
      <c r="J27" s="128"/>
      <c r="K27" s="126"/>
      <c r="L27" s="127" t="str">
        <f t="shared" si="0"/>
        <v/>
      </c>
    </row>
    <row r="28" spans="1:12" ht="19.95" customHeight="1" x14ac:dyDescent="0.3">
      <c r="A28" s="137" t="str">
        <f>IF('Universes &amp; Series'!$A23="","",'Universes &amp; Series'!$A23)</f>
        <v/>
      </c>
      <c r="B28" s="138" t="str">
        <f>IF($A28="","",'Universes &amp; Series'!$B23)</f>
        <v/>
      </c>
      <c r="C28" s="139"/>
      <c r="D28" s="139"/>
      <c r="E28" s="139"/>
      <c r="F28" s="139"/>
      <c r="G28" s="139"/>
      <c r="H28" s="139"/>
      <c r="I28" s="139"/>
      <c r="J28" s="139"/>
      <c r="K28" s="138"/>
      <c r="L28" s="140" t="str">
        <f t="shared" si="0"/>
        <v/>
      </c>
    </row>
    <row r="29" spans="1:12" ht="19.95" customHeight="1" x14ac:dyDescent="0.3">
      <c r="A29" s="125" t="str">
        <f>IF('Universes &amp; Series'!$A24="","",'Universes &amp; Series'!$A24)</f>
        <v/>
      </c>
      <c r="B29" s="126" t="str">
        <f>IF($A29="","",'Universes &amp; Series'!$B24)</f>
        <v/>
      </c>
      <c r="C29" s="128"/>
      <c r="D29" s="128"/>
      <c r="E29" s="128"/>
      <c r="F29" s="128"/>
      <c r="G29" s="128"/>
      <c r="H29" s="128"/>
      <c r="I29" s="128"/>
      <c r="J29" s="128"/>
      <c r="K29" s="126"/>
      <c r="L29" s="127" t="str">
        <f t="shared" si="0"/>
        <v/>
      </c>
    </row>
    <row r="30" spans="1:12" ht="22.05" customHeight="1" x14ac:dyDescent="0.3">
      <c r="A30" s="141" t="s">
        <v>312</v>
      </c>
      <c r="B30" s="141"/>
      <c r="C30" s="142">
        <f t="shared" ref="C30:J30" si="1">SUM(C10:C29)</f>
        <v>20</v>
      </c>
      <c r="D30" s="142">
        <f t="shared" si="1"/>
        <v>21</v>
      </c>
      <c r="E30" s="142">
        <f t="shared" si="1"/>
        <v>10</v>
      </c>
      <c r="F30" s="142">
        <f t="shared" si="1"/>
        <v>15</v>
      </c>
      <c r="G30" s="142">
        <f t="shared" si="1"/>
        <v>13</v>
      </c>
      <c r="H30" s="142">
        <f t="shared" si="1"/>
        <v>14</v>
      </c>
      <c r="I30" s="142">
        <f t="shared" si="1"/>
        <v>13</v>
      </c>
      <c r="J30" s="142">
        <f t="shared" si="1"/>
        <v>163</v>
      </c>
      <c r="K30" s="141" t="str">
        <f>COUNTA(K10:K29)&amp;" Custom Calendars"</f>
        <v>6 Custom Calendars</v>
      </c>
      <c r="L30" s="143" t="str">
        <f>SUM(C30:I30)&amp;" Total Canon Entities"</f>
        <v>106 Total Canon Entities</v>
      </c>
    </row>
    <row r="32" spans="1:12" ht="22.05" customHeight="1" x14ac:dyDescent="0.3">
      <c r="A32" s="184" t="s">
        <v>313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</row>
  </sheetData>
  <mergeCells count="20">
    <mergeCell ref="A1:L1"/>
    <mergeCell ref="A6:C6"/>
    <mergeCell ref="D6:F6"/>
    <mergeCell ref="A7:C7"/>
    <mergeCell ref="G7:I7"/>
    <mergeCell ref="A2:L2"/>
    <mergeCell ref="A5:C5"/>
    <mergeCell ref="G5:I5"/>
    <mergeCell ref="D4:F4"/>
    <mergeCell ref="A32:L32"/>
    <mergeCell ref="A8:L8"/>
    <mergeCell ref="G4:I4"/>
    <mergeCell ref="A4:C4"/>
    <mergeCell ref="D5:F5"/>
    <mergeCell ref="J5:L5"/>
    <mergeCell ref="J6:L6"/>
    <mergeCell ref="G6:I6"/>
    <mergeCell ref="J4:L4"/>
    <mergeCell ref="D7:F7"/>
    <mergeCell ref="J7:L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Dashboard</vt:lpstr>
      <vt:lpstr>Config</vt:lpstr>
      <vt:lpstr>Universes &amp; Series</vt:lpstr>
      <vt:lpstr>My Books</vt:lpstr>
      <vt:lpstr>Daily Writing Log</vt:lpstr>
      <vt:lpstr>Calc</vt:lpstr>
      <vt:lpstr>Continuity &amp; Compilers</vt:lpstr>
      <vt:lpstr>World Bible &amp; Lore</vt:lpstr>
      <vt:lpstr>lst_Books</vt:lpstr>
      <vt:lpstr>lst_BookTypes</vt:lpstr>
      <vt:lpstr>lst_Series</vt:lpstr>
      <vt:lpstr>lst_Stages</vt:lpstr>
      <vt:lpstr>lst_Universes</vt:lpstr>
      <vt:lpstr>Calc!Print_Area</vt:lpstr>
      <vt:lpstr>Config!Print_Area</vt:lpstr>
      <vt:lpstr>'Continuity &amp; Compilers'!Print_Area</vt:lpstr>
      <vt:lpstr>'Daily Writing Log'!Print_Area</vt:lpstr>
      <vt:lpstr>Dashboard!Print_Area</vt:lpstr>
      <vt:lpstr>'My Books'!Print_Area</vt:lpstr>
      <vt:lpstr>'Universes &amp; Series'!Print_Area</vt:lpstr>
      <vt:lpstr>'World Bible &amp; Lore'!Print_Area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Nagar</cp:lastModifiedBy>
  <dcterms:created xsi:type="dcterms:W3CDTF">2026-10-16T16:11:31Z</dcterms:created>
  <dcterms:modified xsi:type="dcterms:W3CDTF">2026-10-17T05:35:11Z</dcterms:modified>
</cp:coreProperties>
</file>